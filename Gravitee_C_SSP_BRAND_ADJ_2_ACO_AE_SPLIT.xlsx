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75" sheetId="1" r:id="rId4"/>
    <sheet state="hidden" name="128" sheetId="2" r:id="rId5"/>
    <sheet state="hidden" name="2023 Overview" sheetId="3" r:id="rId6"/>
    <sheet state="hidden" name="2023-AS IS" sheetId="4" r:id="rId7"/>
    <sheet state="hidden" name="Sheet5" sheetId="5" r:id="rId8"/>
    <sheet state="hidden" name="Sheet6" sheetId="6" r:id="rId9"/>
    <sheet state="hidden" name="2023-TO BE" sheetId="7" r:id="rId10"/>
    <sheet state="visible" name="Overall Performance" sheetId="8" r:id="rId11"/>
    <sheet state="visible" name="Inbound Cascade EMESA NORTH" sheetId="9" r:id="rId12"/>
    <sheet state="visible" name="Inbound Cascade EMESA SOUTH" sheetId="10" r:id="rId13"/>
    <sheet state="visible" name="Inbound Cascade NORAM" sheetId="11" r:id="rId14"/>
    <sheet state="visible" name="Events Cascade EMESA" sheetId="12" r:id="rId15"/>
    <sheet state="visible" name="Events Cascade NORAM" sheetId="13" r:id="rId16"/>
    <sheet state="visible" name="Partner Cascade EMESA NORTH" sheetId="14" r:id="rId17"/>
    <sheet state="visible" name="Partner Cascade EMESA SOUTH" sheetId="15" r:id="rId18"/>
    <sheet state="visible" name="Partner Cascade NORAM" sheetId="16" r:id="rId19"/>
    <sheet state="visible" name="Outbound Cascade EMESA NORTH" sheetId="17" r:id="rId20"/>
    <sheet state="visible" name="Outbound Cascade EMESA SOUTH" sheetId="18" r:id="rId21"/>
    <sheet state="visible" name="Outbound Cascade NORAM" sheetId="19" r:id="rId22"/>
    <sheet state="visible" name="BDR Rollout" sheetId="20" r:id="rId23"/>
    <sheet state="visible" name="ILO Cascade EMESA NORTH" sheetId="21" r:id="rId24"/>
    <sheet state="visible" name="ILO Cascade EMESA SOUTH" sheetId="22" r:id="rId25"/>
    <sheet state="visible" name="ILO Cascade NORAM" sheetId="23" r:id="rId26"/>
    <sheet state="hidden" name="128(mark. cost per opp)" sheetId="24" r:id="rId27"/>
    <sheet state="hidden" name="Copy of 128(mark. cost per opp)" sheetId="25" r:id="rId28"/>
    <sheet state="hidden" name="128(Tobias)" sheetId="26" r:id="rId29"/>
    <sheet state="hidden" name="128(Mike P)" sheetId="27" r:id="rId30"/>
    <sheet state="hidden" name="128(Drew)" sheetId="28" r:id="rId31"/>
    <sheet state="hidden" name="128(Luke)" sheetId="29" r:id="rId32"/>
    <sheet state="hidden" name="128(Quentin)" sheetId="30" r:id="rId33"/>
    <sheet state="hidden" name="128(Adam)" sheetId="31" r:id="rId34"/>
  </sheets>
  <definedNames/>
  <calcPr/>
  <extLst>
    <ext uri="GoogleSheetsCustomDataVersion2">
      <go:sheetsCustomData xmlns:go="http://customooxmlschemas.google.com/" r:id="rId35" roundtripDataChecksum="gGhm5cWCR9l2sHCkQ8HtsLW3JzGTwHB0OyI63fh+IBc="/>
    </ext>
  </extLst>
</workbook>
</file>

<file path=xl/sharedStrings.xml><?xml version="1.0" encoding="utf-8"?>
<sst xmlns="http://schemas.openxmlformats.org/spreadsheetml/2006/main" count="3101" uniqueCount="200">
  <si>
    <t>Probability</t>
  </si>
  <si>
    <t>NA</t>
  </si>
  <si>
    <t>Q1 21</t>
  </si>
  <si>
    <t>Q2 21</t>
  </si>
  <si>
    <t>Q3 21</t>
  </si>
  <si>
    <t>Q4 21</t>
  </si>
  <si>
    <t>Q1 22</t>
  </si>
  <si>
    <t>Q2 22</t>
  </si>
  <si>
    <t>Q3 22</t>
  </si>
  <si>
    <t>Q4 22</t>
  </si>
  <si>
    <t>Q1 23</t>
  </si>
  <si>
    <t>Q2 23</t>
  </si>
  <si>
    <t>Q3 23</t>
  </si>
  <si>
    <t>Q4 23</t>
  </si>
  <si>
    <t>Opps</t>
  </si>
  <si>
    <t>Total Opps</t>
  </si>
  <si>
    <t>Target (175)</t>
  </si>
  <si>
    <t>ARR</t>
  </si>
  <si>
    <t>-</t>
  </si>
  <si>
    <t>Average ARR</t>
  </si>
  <si>
    <t>Pipeline Cover</t>
  </si>
  <si>
    <t>Opps Required</t>
  </si>
  <si>
    <t>Delta Opps</t>
  </si>
  <si>
    <t>Operating %</t>
  </si>
  <si>
    <t>Fully ramped QCs</t>
  </si>
  <si>
    <t>Opp Capacity</t>
  </si>
  <si>
    <t>Delta QCs</t>
  </si>
  <si>
    <t>2022 Opps at current run rate</t>
  </si>
  <si>
    <t>2022 target opps</t>
  </si>
  <si>
    <t>Delta</t>
  </si>
  <si>
    <t>Marketing Opps</t>
  </si>
  <si>
    <t>Budget ()</t>
  </si>
  <si>
    <t>Target (125)</t>
  </si>
  <si>
    <t>-%</t>
  </si>
  <si>
    <t>New</t>
  </si>
  <si>
    <t>Upsell</t>
  </si>
  <si>
    <t>Renewal</t>
  </si>
  <si>
    <t>Closing CARR</t>
  </si>
  <si>
    <t>Opening ARR</t>
  </si>
  <si>
    <t>Growth Rate</t>
  </si>
  <si>
    <t>Downside</t>
  </si>
  <si>
    <t>Base</t>
  </si>
  <si>
    <t>Upside</t>
  </si>
  <si>
    <t>Current Forecast</t>
  </si>
  <si>
    <t>Revised Forecast</t>
  </si>
  <si>
    <t>Run Rate SQLs</t>
  </si>
  <si>
    <t>Run Rate SQL-D</t>
  </si>
  <si>
    <t>Run Rate SQL-W</t>
  </si>
  <si>
    <t>Delta SQLs + Headroom</t>
  </si>
  <si>
    <t>Delta SQL-D</t>
  </si>
  <si>
    <t>Delta SQL-W</t>
  </si>
  <si>
    <t>MQL Required</t>
  </si>
  <si>
    <t>Marketing Spend Re</t>
  </si>
  <si>
    <t>Average marketing cost per opp ()</t>
  </si>
  <si>
    <t>SQLs</t>
  </si>
  <si>
    <t>QC Required</t>
  </si>
  <si>
    <t>Total SQLs</t>
  </si>
  <si>
    <t>Conversion</t>
  </si>
  <si>
    <t>Forecasted Opps</t>
  </si>
  <si>
    <t xml:space="preserve">Delta to Actual </t>
  </si>
  <si>
    <t>Base Target</t>
  </si>
  <si>
    <t>Resulting Bookings</t>
  </si>
  <si>
    <t>Closing ARR</t>
  </si>
  <si>
    <t>Q1 24</t>
  </si>
  <si>
    <t>Q2 24</t>
  </si>
  <si>
    <t>Q3 24</t>
  </si>
  <si>
    <t>Q4 24</t>
  </si>
  <si>
    <t>Q1 25</t>
  </si>
  <si>
    <t>Q2 25</t>
  </si>
  <si>
    <t>Q3 25</t>
  </si>
  <si>
    <t>Q4 25</t>
  </si>
  <si>
    <t>Q1 26</t>
  </si>
  <si>
    <t>Q2 26</t>
  </si>
  <si>
    <t>Q3 26</t>
  </si>
  <si>
    <t>Q4 26</t>
  </si>
  <si>
    <t>Q1 27</t>
  </si>
  <si>
    <t>Q2 27</t>
  </si>
  <si>
    <t>Q3 27</t>
  </si>
  <si>
    <t>Q4 27</t>
  </si>
  <si>
    <t>Q1 28</t>
  </si>
  <si>
    <t>Q2 28</t>
  </si>
  <si>
    <t>Q3 28</t>
  </si>
  <si>
    <t>Q4 28</t>
  </si>
  <si>
    <t>NORAM</t>
  </si>
  <si>
    <t>Inbound SQLs</t>
  </si>
  <si>
    <t>Outbound SQLs</t>
  </si>
  <si>
    <t>ILO SQLs</t>
  </si>
  <si>
    <t>Event SQLs</t>
  </si>
  <si>
    <t>Outbound Opps</t>
  </si>
  <si>
    <t>ILO Opps</t>
  </si>
  <si>
    <t>Inbound Opps</t>
  </si>
  <si>
    <t>Event Opps</t>
  </si>
  <si>
    <t>Partner Opps</t>
  </si>
  <si>
    <t>TOTAL NORAM OCR</t>
  </si>
  <si>
    <t>EMESA N</t>
  </si>
  <si>
    <t>TOTAL SQLs</t>
  </si>
  <si>
    <t>Total EMESA N OCR</t>
  </si>
  <si>
    <t>EMESA S</t>
  </si>
  <si>
    <t>Total EMESA S OCR</t>
  </si>
  <si>
    <t>Total OCR</t>
  </si>
  <si>
    <t>TOTAL NORAM OWR</t>
  </si>
  <si>
    <t>ACTUAL</t>
  </si>
  <si>
    <t>TOTAL NORAM UPSELL OWR</t>
  </si>
  <si>
    <t>Total EMESA N OWR</t>
  </si>
  <si>
    <t>TOTAL EMESA N UPSELL OWR</t>
  </si>
  <si>
    <t>Total EMESA S OWR</t>
  </si>
  <si>
    <t>TOTAL EMESA S UPSELL OWR</t>
  </si>
  <si>
    <t>Total OWR</t>
  </si>
  <si>
    <t>Average ACV NORAM NEW</t>
  </si>
  <si>
    <t>Average ACV EMESA N NEW</t>
  </si>
  <si>
    <t>Average ACV EMESA S NEW</t>
  </si>
  <si>
    <t>Average ACV NORAM UPSELL</t>
  </si>
  <si>
    <t>Average ACV EMESA N UPSELL</t>
  </si>
  <si>
    <t>Average ACV EMESA S UPSELL</t>
  </si>
  <si>
    <t>Opp Cov Ratio Improvement</t>
  </si>
  <si>
    <t>NORAM NB OUTBOUND Opp Cov Rat</t>
  </si>
  <si>
    <t>NORAM NB ILO Opp Cov Rat</t>
  </si>
  <si>
    <t>NORAM NB INBOUND Opp Cov Rat</t>
  </si>
  <si>
    <t>NORAM NB EVENT Opp Cov Rat</t>
  </si>
  <si>
    <t>NORAM NB PARTNER Opp Cov Rat</t>
  </si>
  <si>
    <t>EMESA N NB OUTBOUND Opp Cov Rat</t>
  </si>
  <si>
    <t>EMESA N NB ILO Opp Cov Rat</t>
  </si>
  <si>
    <t>EMESA N NB INBOUND Opp Cov Rat</t>
  </si>
  <si>
    <t>EMESA N NB EVENT Opp Cov Rat</t>
  </si>
  <si>
    <t>EMESA N NB PARTNER Opp Cov Rat</t>
  </si>
  <si>
    <t>EMESA S NB OUTBOUND Opp Cov Rat</t>
  </si>
  <si>
    <t>EMESA S NB ILO Opp Cov Rat</t>
  </si>
  <si>
    <t>EMESA S NB INBOUND Opp Cov Rat</t>
  </si>
  <si>
    <t>EMESA S NB EVENT Opp Cov Rat</t>
  </si>
  <si>
    <t>EMESA S NB PARTNER Opp Cov Rat</t>
  </si>
  <si>
    <t>NORAM UP Opp Cov Rat</t>
  </si>
  <si>
    <t>EMESA N UP Opp Cov Rat</t>
  </si>
  <si>
    <t>EMESA S UP Opp Cov Rat</t>
  </si>
  <si>
    <t>NORAM NB OUTBOUND Bookings</t>
  </si>
  <si>
    <t>NORAM NB ILO Bookings</t>
  </si>
  <si>
    <t>NORAM NB INBOUND Bookings</t>
  </si>
  <si>
    <t>NORAM NB EVENT Bookings</t>
  </si>
  <si>
    <t>NORAM NB PARTNER Bookings</t>
  </si>
  <si>
    <t>NORAM UP</t>
  </si>
  <si>
    <t>NORAM TOTAL BOOKINGS</t>
  </si>
  <si>
    <t>EMESA N NB OUTBOUND Bookings</t>
  </si>
  <si>
    <t>EMESA N NB ILO Bookings</t>
  </si>
  <si>
    <t>EMESA N NB INBOUND Bookings</t>
  </si>
  <si>
    <t>EMESA N NB EVENT Bookings</t>
  </si>
  <si>
    <t>EMESA N NB PARTNER Bookings</t>
  </si>
  <si>
    <t>EMESA N UP</t>
  </si>
  <si>
    <t>EMESA N TOTAL BOOKINGS</t>
  </si>
  <si>
    <t>EMESA S NB OUTBOUND Bookings</t>
  </si>
  <si>
    <t>EMESA S NB ILO Bookings</t>
  </si>
  <si>
    <t>EMESA S NB INBOUND Bookings</t>
  </si>
  <si>
    <t>EMESA S NB EVENT Bookings</t>
  </si>
  <si>
    <t>EMESA S NB PARTNER Bookings</t>
  </si>
  <si>
    <t>EMESA S UP</t>
  </si>
  <si>
    <t>EMESA S TOTAL BOOKINGS</t>
  </si>
  <si>
    <t>Churn</t>
  </si>
  <si>
    <t>M&amp;A ARR</t>
  </si>
  <si>
    <t>Adjustment</t>
  </si>
  <si>
    <t>NORAM CUSTOMERS</t>
  </si>
  <si>
    <t>EMESA N CUSTOMERS</t>
  </si>
  <si>
    <t>EMESA S CUSTOMERS</t>
  </si>
  <si>
    <t>Total Customers</t>
  </si>
  <si>
    <t>Proportion ELA/No-Upsell</t>
  </si>
  <si>
    <t>AM HC NORAM</t>
  </si>
  <si>
    <t>AM HC EMESA NORTH</t>
  </si>
  <si>
    <t>AM HC EMESA SOUTH</t>
  </si>
  <si>
    <t>AE HC NORAM</t>
  </si>
  <si>
    <t>AE HC EMESA NORTH</t>
  </si>
  <si>
    <t>AE HC EMESA SOUTH</t>
  </si>
  <si>
    <t>Quota (NB)</t>
  </si>
  <si>
    <t>Attainment</t>
  </si>
  <si>
    <t>Conv</t>
  </si>
  <si>
    <t>Total Opps Created</t>
  </si>
  <si>
    <t>Total Opps Worked</t>
  </si>
  <si>
    <t>Job Title</t>
  </si>
  <si>
    <t>BDR EMESA North</t>
  </si>
  <si>
    <t>% Attainment</t>
  </si>
  <si>
    <t>BDR India</t>
  </si>
  <si>
    <t>BDR EMESA South</t>
  </si>
  <si>
    <t>BDR NORAM</t>
  </si>
  <si>
    <t>SQLs per BDR per Quarter</t>
  </si>
  <si>
    <t>Current Number of Employees</t>
  </si>
  <si>
    <t>2025-01</t>
  </si>
  <si>
    <t>2025-02</t>
  </si>
  <si>
    <t>2025-03</t>
  </si>
  <si>
    <t>2025-04</t>
  </si>
  <si>
    <t>2026-01</t>
  </si>
  <si>
    <t>2026-02</t>
  </si>
  <si>
    <t>2026-03</t>
  </si>
  <si>
    <t>2026-04</t>
  </si>
  <si>
    <t>2027-01</t>
  </si>
  <si>
    <t>2027-02</t>
  </si>
  <si>
    <t>2027-03</t>
  </si>
  <si>
    <t>2027-04</t>
  </si>
  <si>
    <t>2028-01</t>
  </si>
  <si>
    <t>2028-02</t>
  </si>
  <si>
    <t>2028-03</t>
  </si>
  <si>
    <t>2028-04</t>
  </si>
  <si>
    <t>Ramp weight</t>
  </si>
  <si>
    <t>Av. ACV ()</t>
  </si>
  <si>
    <t>Required Opps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</si>
</sst>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[$£-809]#,##0.00"/>
    <numFmt numFmtId="166" formatCode="[$$]#,##0"/>
    <numFmt numFmtId="167" formatCode="&quot;£&quot;#,##0.00"/>
  </numFmts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theme="1"/>
      <name val="Inter"/>
    </font>
    <font>
      <sz val="10.0"/>
      <color theme="1"/>
      <name val="Inter"/>
    </font>
    <font>
      <sz val="12.0"/>
      <color rgb="FF000000"/>
      <name val="Calibri"/>
    </font>
    <font>
      <b/>
      <color theme="1"/>
      <name val="Inter"/>
    </font>
    <font>
      <color theme="1"/>
      <name val="Inter"/>
    </font>
    <font/>
    <font>
      <color rgb="FF000000"/>
      <name val="Inter"/>
    </font>
    <font>
      <color theme="1"/>
      <name val="Calibri"/>
    </font>
    <font>
      <sz val="10.0"/>
      <color theme="1"/>
      <name val="Arial"/>
    </font>
    <font>
      <b/>
      <sz val="11.0"/>
      <color theme="1"/>
      <name val="Arial"/>
    </font>
    <font>
      <sz val="11.0"/>
      <color rgb="FF242424"/>
      <name val="&quot;Gotham SSm A&quot;"/>
    </font>
  </fonts>
  <fills count="1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900FF"/>
        <bgColor rgb="FF9900FF"/>
      </patternFill>
    </fill>
    <fill>
      <patternFill patternType="solid">
        <fgColor rgb="FFCC4125"/>
        <bgColor rgb="FFCC4125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FAF9F9"/>
        <bgColor rgb="FFFAF9F9"/>
      </patternFill>
    </fill>
    <fill>
      <patternFill patternType="solid">
        <fgColor rgb="FFE06666"/>
        <bgColor rgb="FFE06666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dotted">
        <color rgb="FF000000"/>
      </right>
    </border>
    <border>
      <left style="thin">
        <color rgb="FF000000"/>
      </left>
      <top style="double">
        <color rgb="FF000000"/>
      </top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1" fillId="0" fontId="2" numFmtId="0" xfId="0" applyBorder="1" applyFont="1"/>
    <xf borderId="1" fillId="3" fontId="1" numFmtId="0" xfId="0" applyBorder="1" applyFont="1"/>
    <xf borderId="1" fillId="4" fontId="1" numFmtId="0" xfId="0" applyBorder="1" applyFill="1" applyFont="1"/>
    <xf borderId="1" fillId="0" fontId="2" numFmtId="3" xfId="0" applyBorder="1" applyFont="1" applyNumberFormat="1"/>
    <xf borderId="1" fillId="3" fontId="2" numFmtId="3" xfId="0" applyBorder="1" applyFont="1" applyNumberFormat="1"/>
    <xf borderId="1" fillId="0" fontId="2" numFmtId="1" xfId="0" applyBorder="1" applyFont="1" applyNumberFormat="1"/>
    <xf borderId="1" fillId="5" fontId="1" numFmtId="0" xfId="0" applyBorder="1" applyFill="1" applyFont="1"/>
    <xf borderId="1" fillId="5" fontId="2" numFmtId="3" xfId="0" applyBorder="1" applyFont="1" applyNumberFormat="1"/>
    <xf borderId="0" fillId="0" fontId="2" numFmtId="2" xfId="0" applyFont="1" applyNumberFormat="1"/>
    <xf borderId="1" fillId="0" fontId="2" numFmtId="9" xfId="0" applyBorder="1" applyFont="1" applyNumberFormat="1"/>
    <xf borderId="0" fillId="0" fontId="2" numFmtId="0" xfId="0" applyFont="1"/>
    <xf borderId="0" fillId="0" fontId="2" numFmtId="3" xfId="0" applyFont="1" applyNumberFormat="1"/>
    <xf borderId="0" fillId="0" fontId="1" numFmtId="0" xfId="0" applyFont="1"/>
    <xf borderId="0" fillId="0" fontId="1" numFmtId="3" xfId="0" applyFont="1" applyNumberFormat="1"/>
    <xf borderId="1" fillId="2" fontId="3" numFmtId="0" xfId="0" applyBorder="1" applyFont="1"/>
    <xf borderId="1" fillId="3" fontId="4" numFmtId="0" xfId="0" applyBorder="1" applyFont="1"/>
    <xf borderId="1" fillId="0" fontId="4" numFmtId="0" xfId="0" applyBorder="1" applyFont="1"/>
    <xf borderId="1" fillId="3" fontId="3" numFmtId="0" xfId="0" applyBorder="1" applyFont="1"/>
    <xf borderId="1" fillId="4" fontId="3" numFmtId="0" xfId="0" applyBorder="1" applyFont="1"/>
    <xf borderId="1" fillId="3" fontId="4" numFmtId="3" xfId="0" applyBorder="1" applyFont="1" applyNumberFormat="1"/>
    <xf borderId="1" fillId="0" fontId="4" numFmtId="3" xfId="0" applyBorder="1" applyFont="1" applyNumberFormat="1"/>
    <xf borderId="1" fillId="0" fontId="4" numFmtId="1" xfId="0" applyBorder="1" applyFont="1" applyNumberFormat="1"/>
    <xf borderId="0" fillId="0" fontId="4" numFmtId="3" xfId="0" applyFont="1" applyNumberFormat="1"/>
    <xf borderId="1" fillId="5" fontId="3" numFmtId="0" xfId="0" applyBorder="1" applyFont="1"/>
    <xf borderId="1" fillId="5" fontId="4" numFmtId="0" xfId="0" applyBorder="1" applyFont="1"/>
    <xf borderId="1" fillId="5" fontId="4" numFmtId="3" xfId="0" applyBorder="1" applyFont="1" applyNumberFormat="1"/>
    <xf borderId="1" fillId="0" fontId="3" numFmtId="0" xfId="0" applyBorder="1" applyFont="1"/>
    <xf borderId="1" fillId="0" fontId="4" numFmtId="9" xfId="0" applyBorder="1" applyFont="1" applyNumberFormat="1"/>
    <xf borderId="0" fillId="0" fontId="4" numFmtId="0" xfId="0" applyFont="1"/>
    <xf borderId="0" fillId="0" fontId="5" numFmtId="0" xfId="0" applyAlignment="1" applyFont="1">
      <alignment shrinkToFit="0" vertical="bottom" wrapText="0"/>
    </xf>
    <xf borderId="0" fillId="0" fontId="2" numFmtId="9" xfId="0" applyFont="1" applyNumberFormat="1"/>
    <xf borderId="0" fillId="0" fontId="2" numFmtId="1" xfId="0" applyFont="1" applyNumberFormat="1"/>
    <xf borderId="0" fillId="0" fontId="2" numFmtId="4" xfId="0" applyFont="1" applyNumberFormat="1"/>
    <xf borderId="1" fillId="0" fontId="1" numFmtId="0" xfId="0" applyAlignment="1" applyBorder="1" applyFont="1">
      <alignment shrinkToFit="0" wrapText="1"/>
    </xf>
    <xf borderId="1" fillId="3" fontId="4" numFmtId="9" xfId="0" applyBorder="1" applyFont="1" applyNumberFormat="1"/>
    <xf borderId="1" fillId="0" fontId="1" numFmtId="0" xfId="0" applyBorder="1" applyFont="1"/>
    <xf borderId="1" fillId="6" fontId="4" numFmtId="1" xfId="0" applyBorder="1" applyFill="1" applyFont="1" applyNumberFormat="1"/>
    <xf borderId="0" fillId="0" fontId="2" numFmtId="10" xfId="0" applyFont="1" applyNumberFormat="1"/>
    <xf borderId="1" fillId="7" fontId="2" numFmtId="1" xfId="0" applyBorder="1" applyFill="1" applyFont="1" applyNumberFormat="1"/>
    <xf borderId="0" fillId="8" fontId="2" numFmtId="0" xfId="0" applyAlignment="1" applyFill="1" applyFont="1">
      <alignment vertical="bottom"/>
    </xf>
    <xf borderId="1" fillId="2" fontId="6" numFmtId="0" xfId="0" applyAlignment="1" applyBorder="1" applyFont="1">
      <alignment vertical="bottom"/>
    </xf>
    <xf borderId="0" fillId="2" fontId="6" numFmtId="0" xfId="0" applyAlignment="1" applyFont="1">
      <alignment vertical="bottom"/>
    </xf>
    <xf borderId="2" fillId="9" fontId="6" numFmtId="0" xfId="0" applyAlignment="1" applyBorder="1" applyFill="1" applyFont="1">
      <alignment vertical="bottom"/>
    </xf>
    <xf borderId="0" fillId="9" fontId="6" numFmtId="0" xfId="0" applyAlignment="1" applyFont="1">
      <alignment vertical="bottom"/>
    </xf>
    <xf borderId="3" fillId="0" fontId="2" numFmtId="3" xfId="0" applyAlignment="1" applyBorder="1" applyFont="1" applyNumberFormat="1">
      <alignment vertical="bottom"/>
    </xf>
    <xf borderId="3" fillId="0" fontId="7" numFmtId="3" xfId="0" applyAlignment="1" applyBorder="1" applyFont="1" applyNumberFormat="1">
      <alignment horizontal="right" vertical="bottom"/>
    </xf>
    <xf borderId="0" fillId="0" fontId="7" numFmtId="3" xfId="0" applyAlignment="1" applyFont="1" applyNumberFormat="1">
      <alignment horizontal="right" vertical="bottom"/>
    </xf>
    <xf borderId="4" fillId="0" fontId="8" numFmtId="0" xfId="0" applyBorder="1" applyFont="1"/>
    <xf borderId="1" fillId="9" fontId="6" numFmtId="0" xfId="0" applyAlignment="1" applyBorder="1" applyFont="1">
      <alignment vertical="bottom"/>
    </xf>
    <xf borderId="1" fillId="0" fontId="2" numFmtId="3" xfId="0" applyAlignment="1" applyBorder="1" applyFont="1" applyNumberFormat="1">
      <alignment vertical="bottom"/>
    </xf>
    <xf borderId="1" fillId="0" fontId="7" numFmtId="3" xfId="0" applyAlignment="1" applyBorder="1" applyFont="1" applyNumberFormat="1">
      <alignment horizontal="right" vertical="bottom"/>
    </xf>
    <xf borderId="3" fillId="9" fontId="6" numFmtId="0" xfId="0" applyAlignment="1" applyBorder="1" applyFont="1">
      <alignment vertical="bottom"/>
    </xf>
    <xf borderId="5" fillId="9" fontId="6" numFmtId="0" xfId="0" applyAlignment="1" applyBorder="1" applyFont="1">
      <alignment vertical="bottom"/>
    </xf>
    <xf borderId="5" fillId="0" fontId="2" numFmtId="3" xfId="0" applyAlignment="1" applyBorder="1" applyFont="1" applyNumberFormat="1">
      <alignment vertical="bottom"/>
    </xf>
    <xf borderId="5" fillId="0" fontId="7" numFmtId="3" xfId="0" applyAlignment="1" applyBorder="1" applyFont="1" applyNumberFormat="1">
      <alignment horizontal="right" vertical="bottom"/>
    </xf>
    <xf borderId="6" fillId="9" fontId="6" numFmtId="0" xfId="0" applyAlignment="1" applyBorder="1" applyFont="1">
      <alignment vertical="bottom"/>
    </xf>
    <xf borderId="7" fillId="0" fontId="2" numFmtId="3" xfId="0" applyAlignment="1" applyBorder="1" applyFont="1" applyNumberFormat="1">
      <alignment vertical="bottom"/>
    </xf>
    <xf borderId="7" fillId="0" fontId="7" numFmtId="3" xfId="0" applyAlignment="1" applyBorder="1" applyFont="1" applyNumberFormat="1">
      <alignment horizontal="right" vertical="bottom"/>
    </xf>
    <xf borderId="8" fillId="9" fontId="6" numFmtId="0" xfId="0" applyAlignment="1" applyBorder="1" applyFont="1">
      <alignment vertical="bottom"/>
    </xf>
    <xf borderId="9" fillId="9" fontId="6" numFmtId="0" xfId="0" applyAlignment="1" applyBorder="1" applyFont="1">
      <alignment vertical="bottom"/>
    </xf>
    <xf borderId="10" fillId="0" fontId="2" numFmtId="3" xfId="0" applyAlignment="1" applyBorder="1" applyFont="1" applyNumberFormat="1">
      <alignment vertical="bottom"/>
    </xf>
    <xf borderId="11" fillId="9" fontId="6" numFmtId="0" xfId="0" applyAlignment="1" applyBorder="1" applyFont="1">
      <alignment vertical="bottom"/>
    </xf>
    <xf borderId="11" fillId="0" fontId="8" numFmtId="0" xfId="0" applyBorder="1" applyFont="1"/>
    <xf borderId="12" fillId="0" fontId="7" numFmtId="3" xfId="0" applyAlignment="1" applyBorder="1" applyFont="1" applyNumberFormat="1">
      <alignment horizontal="center" vertical="bottom"/>
    </xf>
    <xf borderId="12" fillId="0" fontId="7" numFmtId="3" xfId="0" applyAlignment="1" applyBorder="1" applyFont="1" applyNumberFormat="1">
      <alignment horizontal="right" vertical="bottom"/>
    </xf>
    <xf borderId="12" fillId="9" fontId="6" numFmtId="0" xfId="0" applyAlignment="1" applyBorder="1" applyFont="1">
      <alignment vertical="bottom"/>
    </xf>
    <xf borderId="13" fillId="9" fontId="6" numFmtId="0" xfId="0" applyAlignment="1" applyBorder="1" applyFont="1">
      <alignment vertical="bottom"/>
    </xf>
    <xf borderId="13" fillId="0" fontId="2" numFmtId="3" xfId="0" applyAlignment="1" applyBorder="1" applyFont="1" applyNumberFormat="1">
      <alignment vertical="bottom"/>
    </xf>
    <xf borderId="13" fillId="10" fontId="7" numFmtId="3" xfId="0" applyAlignment="1" applyBorder="1" applyFill="1" applyFont="1" applyNumberFormat="1">
      <alignment horizontal="right" vertical="bottom"/>
    </xf>
    <xf borderId="0" fillId="10" fontId="7" numFmtId="3" xfId="0" applyAlignment="1" applyFont="1" applyNumberFormat="1">
      <alignment horizontal="right" vertical="bottom"/>
    </xf>
    <xf borderId="10" fillId="0" fontId="8" numFmtId="0" xfId="0" applyBorder="1" applyFont="1"/>
    <xf borderId="1" fillId="10" fontId="7" numFmtId="3" xfId="0" applyAlignment="1" applyBorder="1" applyFont="1" applyNumberFormat="1">
      <alignment horizontal="right" vertical="bottom"/>
    </xf>
    <xf borderId="14" fillId="9" fontId="6" numFmtId="0" xfId="0" applyAlignment="1" applyBorder="1" applyFont="1">
      <alignment vertical="bottom"/>
    </xf>
    <xf borderId="10" fillId="10" fontId="7" numFmtId="3" xfId="0" applyAlignment="1" applyBorder="1" applyFont="1" applyNumberFormat="1">
      <alignment horizontal="right" vertical="bottom"/>
    </xf>
    <xf borderId="7" fillId="10" fontId="7" numFmtId="3" xfId="0" applyAlignment="1" applyBorder="1" applyFont="1" applyNumberFormat="1">
      <alignment horizontal="right" vertical="bottom"/>
    </xf>
    <xf borderId="10" fillId="0" fontId="7" numFmtId="3" xfId="0" applyAlignment="1" applyBorder="1" applyFont="1" applyNumberFormat="1">
      <alignment horizontal="right" vertical="bottom"/>
    </xf>
    <xf borderId="7" fillId="0" fontId="8" numFmtId="0" xfId="0" applyBorder="1" applyFont="1"/>
    <xf borderId="15" fillId="9" fontId="6" numFmtId="0" xfId="0" applyAlignment="1" applyBorder="1" applyFont="1">
      <alignment vertical="bottom"/>
    </xf>
    <xf borderId="15" fillId="0" fontId="8" numFmtId="0" xfId="0" applyBorder="1" applyFont="1"/>
    <xf borderId="16" fillId="0" fontId="2" numFmtId="3" xfId="0" applyAlignment="1" applyBorder="1" applyFont="1" applyNumberFormat="1">
      <alignment vertical="bottom"/>
    </xf>
    <xf borderId="16" fillId="0" fontId="7" numFmtId="3" xfId="0" applyAlignment="1" applyBorder="1" applyFont="1" applyNumberFormat="1">
      <alignment horizontal="right" vertical="bottom"/>
    </xf>
    <xf borderId="13" fillId="10" fontId="9" numFmtId="3" xfId="0" applyAlignment="1" applyBorder="1" applyFont="1" applyNumberFormat="1">
      <alignment horizontal="right" vertical="bottom"/>
    </xf>
    <xf borderId="14" fillId="0" fontId="8" numFmtId="0" xfId="0" applyBorder="1" applyFont="1"/>
    <xf borderId="2" fillId="11" fontId="6" numFmtId="0" xfId="0" applyAlignment="1" applyBorder="1" applyFill="1" applyFont="1">
      <alignment vertical="bottom"/>
    </xf>
    <xf borderId="6" fillId="11" fontId="6" numFmtId="0" xfId="0" applyAlignment="1" applyBorder="1" applyFont="1">
      <alignment vertical="bottom"/>
    </xf>
    <xf borderId="8" fillId="11" fontId="6" numFmtId="0" xfId="0" applyAlignment="1" applyBorder="1" applyFont="1">
      <alignment vertical="bottom"/>
    </xf>
    <xf borderId="17" fillId="0" fontId="8" numFmtId="0" xfId="0" applyBorder="1" applyFont="1"/>
    <xf borderId="9" fillId="11" fontId="6" numFmtId="0" xfId="0" applyAlignment="1" applyBorder="1" applyFont="1">
      <alignment vertical="bottom"/>
    </xf>
    <xf borderId="18" fillId="11" fontId="6" numFmtId="0" xfId="0" applyAlignment="1" applyBorder="1" applyFont="1">
      <alignment vertical="bottom"/>
    </xf>
    <xf borderId="19" fillId="0" fontId="8" numFmtId="0" xfId="0" applyBorder="1" applyFont="1"/>
    <xf borderId="20" fillId="11" fontId="2" numFmtId="3" xfId="0" applyAlignment="1" applyBorder="1" applyFont="1" applyNumberFormat="1">
      <alignment vertical="bottom"/>
    </xf>
    <xf borderId="20" fillId="11" fontId="7" numFmtId="3" xfId="0" applyAlignment="1" applyBorder="1" applyFont="1" applyNumberFormat="1">
      <alignment horizontal="right" vertical="bottom"/>
    </xf>
    <xf borderId="0" fillId="11" fontId="7" numFmtId="3" xfId="0" applyAlignment="1" applyFont="1" applyNumberFormat="1">
      <alignment horizontal="right" vertical="bottom"/>
    </xf>
    <xf borderId="14" fillId="12" fontId="6" numFmtId="0" xfId="0" applyAlignment="1" applyBorder="1" applyFill="1" applyFont="1">
      <alignment vertical="bottom"/>
    </xf>
    <xf borderId="16" fillId="12" fontId="2" numFmtId="3" xfId="0" applyAlignment="1" applyBorder="1" applyFont="1" applyNumberFormat="1">
      <alignment vertical="bottom"/>
    </xf>
    <xf borderId="16" fillId="12" fontId="7" numFmtId="3" xfId="0" applyAlignment="1" applyBorder="1" applyFont="1" applyNumberFormat="1">
      <alignment horizontal="right" vertical="bottom"/>
    </xf>
    <xf borderId="0" fillId="12" fontId="7" numFmtId="3" xfId="0" applyAlignment="1" applyFont="1" applyNumberFormat="1">
      <alignment horizontal="right" vertical="bottom"/>
    </xf>
    <xf borderId="14" fillId="11" fontId="6" numFmtId="0" xfId="0" applyAlignment="1" applyBorder="1" applyFont="1">
      <alignment vertical="bottom"/>
    </xf>
    <xf borderId="21" fillId="11" fontId="6" numFmtId="0" xfId="0" applyAlignment="1" applyBorder="1" applyFont="1">
      <alignment vertical="bottom"/>
    </xf>
    <xf borderId="13" fillId="11" fontId="6" numFmtId="0" xfId="0" applyAlignment="1" applyBorder="1" applyFont="1">
      <alignment vertical="bottom"/>
    </xf>
    <xf borderId="22" fillId="0" fontId="8" numFmtId="0" xfId="0" applyBorder="1" applyFont="1"/>
    <xf borderId="23" fillId="0" fontId="8" numFmtId="0" xfId="0" applyBorder="1" applyFont="1"/>
    <xf borderId="24" fillId="11" fontId="6" numFmtId="0" xfId="0" applyAlignment="1" applyBorder="1" applyFont="1">
      <alignment vertical="bottom"/>
    </xf>
    <xf borderId="10" fillId="11" fontId="2" numFmtId="3" xfId="0" applyAlignment="1" applyBorder="1" applyFont="1" applyNumberFormat="1">
      <alignment vertical="bottom"/>
    </xf>
    <xf borderId="10" fillId="12" fontId="2" numFmtId="3" xfId="0" applyAlignment="1" applyBorder="1" applyFont="1" applyNumberFormat="1">
      <alignment vertical="bottom"/>
    </xf>
    <xf borderId="10" fillId="12" fontId="7" numFmtId="3" xfId="0" applyAlignment="1" applyBorder="1" applyFont="1" applyNumberFormat="1">
      <alignment horizontal="right" vertical="bottom"/>
    </xf>
    <xf borderId="15" fillId="11" fontId="6" numFmtId="0" xfId="0" applyAlignment="1" applyBorder="1" applyFont="1">
      <alignment vertical="bottom"/>
    </xf>
    <xf borderId="25" fillId="0" fontId="7" numFmtId="3" xfId="0" applyAlignment="1" applyBorder="1" applyFont="1" applyNumberFormat="1">
      <alignment horizontal="right" vertical="bottom"/>
    </xf>
    <xf borderId="20" fillId="0" fontId="7" numFmtId="3" xfId="0" applyAlignment="1" applyBorder="1" applyFont="1" applyNumberFormat="1">
      <alignment horizontal="right" vertical="bottom"/>
    </xf>
    <xf borderId="26" fillId="5" fontId="6" numFmtId="0" xfId="0" applyAlignment="1" applyBorder="1" applyFont="1">
      <alignment vertical="bottom"/>
    </xf>
    <xf borderId="27" fillId="0" fontId="8" numFmtId="0" xfId="0" applyBorder="1" applyFont="1"/>
    <xf borderId="28" fillId="5" fontId="6" numFmtId="0" xfId="0" applyAlignment="1" applyBorder="1" applyFont="1">
      <alignment vertical="bottom"/>
    </xf>
    <xf borderId="29" fillId="0" fontId="8" numFmtId="0" xfId="0" applyBorder="1" applyFont="1"/>
    <xf borderId="30" fillId="5" fontId="6" numFmtId="0" xfId="0" applyAlignment="1" applyBorder="1" applyFont="1">
      <alignment vertical="bottom"/>
    </xf>
    <xf borderId="31" fillId="0" fontId="8" numFmtId="0" xfId="0" applyBorder="1" applyFont="1"/>
    <xf borderId="13" fillId="0" fontId="7" numFmtId="3" xfId="0" applyAlignment="1" applyBorder="1" applyFont="1" applyNumberFormat="1">
      <alignment horizontal="right" vertical="bottom"/>
    </xf>
    <xf borderId="11" fillId="0" fontId="7" numFmtId="3" xfId="0" applyAlignment="1" applyBorder="1" applyFont="1" applyNumberFormat="1">
      <alignment horizontal="right" vertical="bottom"/>
    </xf>
    <xf borderId="32" fillId="5" fontId="6" numFmtId="0" xfId="0" applyAlignment="1" applyBorder="1" applyFont="1">
      <alignment vertical="bottom"/>
    </xf>
    <xf borderId="33" fillId="0" fontId="8" numFmtId="0" xfId="0" applyBorder="1" applyFont="1"/>
    <xf borderId="14" fillId="0" fontId="7" numFmtId="3" xfId="0" applyAlignment="1" applyBorder="1" applyFont="1" applyNumberFormat="1">
      <alignment horizontal="right" vertical="bottom"/>
    </xf>
    <xf borderId="34" fillId="13" fontId="6" numFmtId="164" xfId="0" applyAlignment="1" applyBorder="1" applyFill="1" applyFont="1" applyNumberFormat="1">
      <alignment vertical="bottom"/>
    </xf>
    <xf borderId="16" fillId="0" fontId="7" numFmtId="164" xfId="0" applyAlignment="1" applyBorder="1" applyFont="1" applyNumberFormat="1">
      <alignment horizontal="right" vertical="bottom"/>
    </xf>
    <xf borderId="16" fillId="14" fontId="7" numFmtId="10" xfId="0" applyAlignment="1" applyBorder="1" applyFill="1" applyFont="1" applyNumberFormat="1">
      <alignment horizontal="right" vertical="bottom"/>
    </xf>
    <xf borderId="16" fillId="0" fontId="7" numFmtId="10" xfId="0" applyAlignment="1" applyBorder="1" applyFont="1" applyNumberFormat="1">
      <alignment horizontal="right" vertical="bottom"/>
    </xf>
    <xf borderId="14" fillId="0" fontId="7" numFmtId="164" xfId="0" applyAlignment="1" applyBorder="1" applyFont="1" applyNumberForma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35" fillId="15" fontId="6" numFmtId="164" xfId="0" applyAlignment="1" applyBorder="1" applyFill="1" applyFont="1" applyNumberFormat="1">
      <alignment vertical="bottom"/>
    </xf>
    <xf borderId="36" fillId="0" fontId="8" numFmtId="0" xfId="0" applyBorder="1" applyFont="1"/>
    <xf borderId="7" fillId="0" fontId="7" numFmtId="164" xfId="0" applyAlignment="1" applyBorder="1" applyFont="1" applyNumberFormat="1">
      <alignment horizontal="right" vertical="bottom"/>
    </xf>
    <xf borderId="7" fillId="14" fontId="7" numFmtId="164" xfId="0" applyAlignment="1" applyBorder="1" applyFont="1" applyNumberFormat="1">
      <alignment horizontal="right" vertical="bottom"/>
    </xf>
    <xf borderId="1" fillId="0" fontId="7" numFmtId="164" xfId="0" applyAlignment="1" applyBorder="1" applyFont="1" applyNumberFormat="1">
      <alignment horizontal="right" vertical="bottom"/>
    </xf>
    <xf borderId="1" fillId="14" fontId="7" numFmtId="164" xfId="0" applyAlignment="1" applyBorder="1" applyFont="1" applyNumberFormat="1">
      <alignment horizontal="right" vertical="bottom"/>
    </xf>
    <xf borderId="25" fillId="15" fontId="6" numFmtId="164" xfId="0" applyAlignment="1" applyBorder="1" applyFont="1" applyNumberFormat="1">
      <alignment vertical="bottom"/>
    </xf>
    <xf borderId="3" fillId="0" fontId="7" numFmtId="164" xfId="0" applyAlignment="1" applyBorder="1" applyFont="1" applyNumberFormat="1">
      <alignment horizontal="right" vertical="bottom"/>
    </xf>
    <xf borderId="3" fillId="14" fontId="7" numFmtId="164" xfId="0" applyAlignment="1" applyBorder="1" applyFont="1" applyNumberFormat="1">
      <alignment horizontal="right" vertical="bottom"/>
    </xf>
    <xf borderId="10" fillId="0" fontId="7" numFmtId="164" xfId="0" applyAlignment="1" applyBorder="1" applyFont="1" applyNumberFormat="1">
      <alignment horizontal="right" vertical="bottom"/>
    </xf>
    <xf borderId="30" fillId="15" fontId="6" numFmtId="1" xfId="0" applyAlignment="1" applyBorder="1" applyFont="1" applyNumberFormat="1">
      <alignment vertical="bottom"/>
    </xf>
    <xf borderId="13" fillId="0" fontId="7" numFmtId="1" xfId="0" applyAlignment="1" applyBorder="1" applyFont="1" applyNumberFormat="1">
      <alignment horizontal="right" vertical="bottom"/>
    </xf>
    <xf borderId="13" fillId="14" fontId="7" numFmtId="164" xfId="0" applyAlignment="1" applyBorder="1" applyFont="1" applyNumberFormat="1">
      <alignment horizontal="right" vertical="bottom"/>
    </xf>
    <xf borderId="13" fillId="0" fontId="7" numFmtId="164" xfId="0" applyAlignment="1" applyBorder="1" applyFont="1" applyNumberFormat="1">
      <alignment horizontal="right" vertical="bottom"/>
    </xf>
    <xf borderId="0" fillId="0" fontId="7" numFmtId="1" xfId="0" applyAlignment="1" applyFont="1" applyNumberFormat="1">
      <alignment horizontal="right" vertical="bottom"/>
    </xf>
    <xf borderId="34" fillId="15" fontId="6" numFmtId="164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horizontal="right" vertical="bottom"/>
    </xf>
    <xf borderId="5" fillId="14" fontId="7" numFmtId="164" xfId="0" applyAlignment="1" applyBorder="1" applyFont="1" applyNumberFormat="1">
      <alignment horizontal="right" vertical="bottom"/>
    </xf>
    <xf borderId="26" fillId="15" fontId="6" numFmtId="164" xfId="0" applyAlignment="1" applyBorder="1" applyFont="1" applyNumberFormat="1">
      <alignment vertical="bottom"/>
    </xf>
    <xf borderId="26" fillId="0" fontId="7" numFmtId="164" xfId="0" applyAlignment="1" applyBorder="1" applyFont="1" applyNumberFormat="1">
      <alignment horizontal="right" vertical="bottom"/>
    </xf>
    <xf borderId="27" fillId="0" fontId="7" numFmtId="164" xfId="0" applyAlignment="1" applyBorder="1" applyFont="1" applyNumberFormat="1">
      <alignment horizontal="right" vertical="bottom"/>
    </xf>
    <xf borderId="10" fillId="14" fontId="7" numFmtId="164" xfId="0" applyAlignment="1" applyBorder="1" applyFont="1" applyNumberFormat="1">
      <alignment horizontal="right" vertical="bottom"/>
    </xf>
    <xf borderId="30" fillId="5" fontId="6" numFmtId="164" xfId="0" applyAlignment="1" applyBorder="1" applyFont="1" applyNumberFormat="1">
      <alignment vertical="bottom"/>
    </xf>
    <xf borderId="26" fillId="5" fontId="6" numFmtId="164" xfId="0" applyAlignment="1" applyBorder="1" applyFont="1" applyNumberFormat="1">
      <alignment vertical="bottom"/>
    </xf>
    <xf borderId="34" fillId="5" fontId="6" numFmtId="16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7" fillId="0" fontId="2" numFmtId="3" xfId="0" applyAlignment="1" applyBorder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1" fillId="0" fontId="2" numFmtId="3" xfId="0" applyAlignment="1" applyBorder="1" applyFont="1" applyNumberFormat="1">
      <alignment horizontal="right" vertical="bottom"/>
    </xf>
    <xf borderId="26" fillId="5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32" fillId="5" fontId="1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2" numFmtId="3" xfId="0" applyAlignment="1" applyBorder="1" applyFont="1" applyNumberFormat="1">
      <alignment horizontal="right" vertical="bottom"/>
    </xf>
    <xf borderId="12" fillId="0" fontId="2" numFmtId="3" xfId="0" applyAlignment="1" applyBorder="1" applyFont="1" applyNumberFormat="1">
      <alignment horizontal="right" vertical="bottom"/>
    </xf>
    <xf borderId="10" fillId="0" fontId="2" numFmtId="0" xfId="0" applyAlignment="1" applyBorder="1" applyFont="1">
      <alignment vertical="bottom"/>
    </xf>
    <xf borderId="25" fillId="0" fontId="2" numFmtId="3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vertical="bottom"/>
    </xf>
    <xf borderId="3" fillId="0" fontId="2" numFmtId="3" xfId="0" applyAlignment="1" applyBorder="1" applyFont="1" applyNumberFormat="1">
      <alignment horizontal="right" vertical="bottom"/>
    </xf>
    <xf borderId="10" fillId="0" fontId="2" numFmtId="3" xfId="0" applyAlignment="1" applyBorder="1" applyFont="1" applyNumberFormat="1">
      <alignment horizontal="right" vertical="bottom"/>
    </xf>
    <xf borderId="34" fillId="5" fontId="1" numFmtId="0" xfId="0" applyAlignment="1" applyBorder="1" applyFont="1">
      <alignment vertical="bottom"/>
    </xf>
    <xf borderId="16" fillId="0" fontId="2" numFmtId="165" xfId="0" applyAlignment="1" applyBorder="1" applyFont="1" applyNumberFormat="1">
      <alignment vertical="bottom"/>
    </xf>
    <xf borderId="16" fillId="0" fontId="2" numFmtId="3" xfId="0" applyAlignment="1" applyBorder="1" applyFont="1" applyNumberFormat="1">
      <alignment horizontal="center" vertical="bottom"/>
    </xf>
    <xf borderId="16" fillId="0" fontId="2" numFmtId="3" xfId="0" applyAlignment="1" applyBorder="1" applyFont="1" applyNumberFormat="1">
      <alignment horizontal="right" vertical="bottom"/>
    </xf>
    <xf borderId="28" fillId="5" fontId="1" numFmtId="0" xfId="0" applyAlignment="1" applyBorder="1" applyFont="1">
      <alignment vertical="bottom"/>
    </xf>
    <xf borderId="3" fillId="0" fontId="2" numFmtId="0" xfId="0" applyAlignment="1" applyBorder="1" applyFont="1">
      <alignment horizontal="center" vertical="bottom"/>
    </xf>
    <xf borderId="0" fillId="0" fontId="10" numFmtId="166" xfId="0" applyFont="1" applyNumberFormat="1"/>
    <xf borderId="3" fillId="0" fontId="11" numFmtId="3" xfId="0" applyAlignment="1" applyBorder="1" applyFont="1" applyNumberFormat="1">
      <alignment horizontal="right" vertical="bottom"/>
    </xf>
    <xf borderId="0" fillId="0" fontId="12" numFmtId="3" xfId="0" applyAlignment="1" applyFont="1" applyNumberFormat="1">
      <alignment horizontal="right" vertical="bottom"/>
    </xf>
    <xf borderId="37" fillId="0" fontId="10" numFmtId="166" xfId="0" applyBorder="1" applyFont="1" applyNumberFormat="1"/>
    <xf borderId="13" fillId="0" fontId="2" numFmtId="0" xfId="0" applyAlignment="1" applyBorder="1" applyFont="1">
      <alignment vertical="bottom"/>
    </xf>
    <xf borderId="13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5" fillId="0" fontId="2" numFmtId="10" xfId="0" applyAlignment="1" applyBorder="1" applyFont="1" applyNumberFormat="1">
      <alignment horizontal="right" vertical="bottom"/>
    </xf>
    <xf borderId="1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5" fillId="15" fontId="1" numFmtId="0" xfId="0" applyAlignment="1" applyBorder="1" applyFont="1">
      <alignment vertical="bottom"/>
    </xf>
    <xf borderId="7" fillId="0" fontId="2" numFmtId="10" xfId="0" applyAlignment="1" applyBorder="1" applyFont="1" applyNumberFormat="1">
      <alignment horizontal="right" vertical="bottom"/>
    </xf>
    <xf borderId="7" fillId="0" fontId="2" numFmtId="9" xfId="0" applyAlignment="1" applyBorder="1" applyFont="1" applyNumberFormat="1">
      <alignment vertical="bottom"/>
    </xf>
    <xf borderId="26" fillId="15" fontId="1" numFmtId="0" xfId="0" applyAlignment="1" applyBorder="1" applyFont="1">
      <alignment vertical="bottom"/>
    </xf>
    <xf borderId="1" fillId="0" fontId="2" numFmtId="10" xfId="0" applyAlignment="1" applyBorder="1" applyFont="1" applyNumberFormat="1">
      <alignment horizontal="right" vertical="bottom"/>
    </xf>
    <xf borderId="28" fillId="15" fontId="1" numFmtId="0" xfId="0" applyAlignment="1" applyBorder="1" applyFont="1">
      <alignment vertical="bottom"/>
    </xf>
    <xf borderId="3" fillId="0" fontId="2" numFmtId="10" xfId="0" applyAlignment="1" applyBorder="1" applyFont="1" applyNumberFormat="1">
      <alignment horizontal="right" vertical="bottom"/>
    </xf>
    <xf borderId="30" fillId="15" fontId="1" numFmtId="0" xfId="0" applyAlignment="1" applyBorder="1" applyFont="1">
      <alignment vertical="bottom"/>
    </xf>
    <xf borderId="13" fillId="0" fontId="2" numFmtId="10" xfId="0" applyAlignment="1" applyBorder="1" applyFont="1" applyNumberFormat="1">
      <alignment horizontal="right" vertical="bottom"/>
    </xf>
    <xf borderId="11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2" numFmtId="10" xfId="0" applyAlignment="1" applyFont="1" applyNumberFormat="1">
      <alignment horizontal="right" vertical="bottom"/>
    </xf>
    <xf borderId="0" fillId="0" fontId="1" numFmtId="9" xfId="0" applyAlignment="1" applyFont="1" applyNumberFormat="1">
      <alignment vertical="bottom"/>
    </xf>
    <xf borderId="0" fillId="10" fontId="13" numFmtId="167" xfId="0" applyAlignment="1" applyFont="1" applyNumberFormat="1">
      <alignment horizontal="left"/>
    </xf>
    <xf borderId="0" fillId="0" fontId="2" numFmtId="10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1" fillId="2" fontId="2" numFmtId="0" xfId="0" applyAlignment="1" applyBorder="1" applyFont="1">
      <alignment vertical="bottom"/>
    </xf>
    <xf borderId="1" fillId="16" fontId="2" numFmtId="0" xfId="0" applyAlignment="1" applyBorder="1" applyFill="1" applyFont="1">
      <alignment vertical="bottom"/>
    </xf>
    <xf borderId="1" fillId="3" fontId="2" numFmtId="0" xfId="0" applyAlignment="1" applyBorder="1" applyFont="1">
      <alignment vertical="bottom"/>
    </xf>
    <xf borderId="1" fillId="0" fontId="7" numFmtId="9" xfId="0" applyAlignment="1" applyBorder="1" applyFont="1" applyNumberFormat="1">
      <alignment horizontal="right" vertical="bottom"/>
    </xf>
    <xf borderId="1" fillId="3" fontId="2" numFmtId="9" xfId="0" applyAlignment="1" applyBorder="1" applyFont="1" applyNumberFormat="1">
      <alignment vertical="bottom"/>
    </xf>
    <xf borderId="1" fillId="16" fontId="2" numFmtId="9" xfId="0" applyAlignment="1" applyBorder="1" applyFont="1" applyNumberFormat="1">
      <alignment vertical="bottom"/>
    </xf>
    <xf borderId="1" fillId="4" fontId="6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3" fontId="2" numFmtId="3" xfId="0" applyAlignment="1" applyBorder="1" applyFont="1" applyNumberFormat="1">
      <alignment vertical="bottom"/>
    </xf>
    <xf borderId="1" fillId="0" fontId="7" numFmtId="0" xfId="0" applyAlignment="1" applyBorder="1" applyFont="1">
      <alignment horizontal="right" vertical="bottom"/>
    </xf>
    <xf borderId="1" fillId="3" fontId="7" numFmtId="1" xfId="0" applyAlignment="1" applyBorder="1" applyFont="1" applyNumberFormat="1">
      <alignment horizontal="right" vertical="bottom"/>
    </xf>
    <xf borderId="1" fillId="3" fontId="7" numFmtId="9" xfId="0" applyAlignment="1" applyBorder="1" applyFont="1" applyNumberFormat="1">
      <alignment horizontal="right" vertical="bottom"/>
    </xf>
    <xf borderId="1" fillId="16" fontId="2" numFmtId="1" xfId="0" applyAlignment="1" applyBorder="1" applyFont="1" applyNumberFormat="1">
      <alignment vertical="bottom"/>
    </xf>
    <xf borderId="1" fillId="0" fontId="7" numFmtId="1" xfId="0" applyAlignment="1" applyBorder="1" applyFont="1" applyNumberFormat="1">
      <alignment horizontal="right" vertical="bottom"/>
    </xf>
    <xf borderId="1" fillId="16" fontId="2" numFmtId="3" xfId="0" applyAlignment="1" applyBorder="1" applyFont="1" applyNumberFormat="1">
      <alignment vertical="bottom"/>
    </xf>
    <xf borderId="3" fillId="4" fontId="6" numFmtId="0" xfId="0" applyAlignment="1" applyBorder="1" applyFont="1">
      <alignment vertical="bottom"/>
    </xf>
    <xf borderId="10" fillId="3" fontId="2" numFmtId="0" xfId="0" applyAlignment="1" applyBorder="1" applyFont="1">
      <alignment vertical="bottom"/>
    </xf>
    <xf borderId="10" fillId="3" fontId="2" numFmtId="3" xfId="0" applyAlignment="1" applyBorder="1" applyFont="1" applyNumberFormat="1">
      <alignment vertical="bottom"/>
    </xf>
    <xf borderId="7" fillId="3" fontId="2" numFmtId="3" xfId="0" applyAlignment="1" applyBorder="1" applyFont="1" applyNumberFormat="1">
      <alignment vertical="bottom"/>
    </xf>
    <xf borderId="10" fillId="16" fontId="2" numFmtId="3" xfId="0" applyAlignment="1" applyBorder="1" applyFont="1" applyNumberFormat="1">
      <alignment vertical="bottom"/>
    </xf>
    <xf borderId="4" fillId="3" fontId="2" numFmtId="3" xfId="0" applyAlignment="1" applyBorder="1" applyFont="1" applyNumberFormat="1">
      <alignment vertical="bottom"/>
    </xf>
    <xf borderId="13" fillId="5" fontId="6" numFmtId="0" xfId="0" applyAlignment="1" applyBorder="1" applyFont="1">
      <alignment vertical="bottom"/>
    </xf>
    <xf borderId="13" fillId="3" fontId="2" numFmtId="0" xfId="0" applyAlignment="1" applyBorder="1" applyFont="1">
      <alignment vertical="bottom"/>
    </xf>
    <xf borderId="13" fillId="16" fontId="2" numFmtId="0" xfId="0" applyAlignment="1" applyBorder="1" applyFont="1">
      <alignment vertical="bottom"/>
    </xf>
    <xf borderId="2" fillId="3" fontId="2" numFmtId="0" xfId="0" applyAlignment="1" applyBorder="1" applyFont="1">
      <alignment vertical="bottom"/>
    </xf>
    <xf borderId="12" fillId="3" fontId="2" numFmtId="0" xfId="0" applyAlignment="1" applyBorder="1" applyFont="1">
      <alignment vertical="bottom"/>
    </xf>
    <xf borderId="38" fillId="3" fontId="2" numFmtId="0" xfId="0" applyAlignment="1" applyBorder="1" applyFont="1">
      <alignment vertical="bottom"/>
    </xf>
    <xf borderId="7" fillId="5" fontId="6" numFmtId="0" xfId="0" applyAlignment="1" applyBorder="1" applyFont="1">
      <alignment vertical="bottom"/>
    </xf>
    <xf borderId="7" fillId="3" fontId="2" numFmtId="0" xfId="0" applyAlignment="1" applyBorder="1" applyFont="1">
      <alignment vertical="bottom"/>
    </xf>
    <xf borderId="7" fillId="16" fontId="2" numFmtId="0" xfId="0" applyAlignment="1" applyBorder="1" applyFont="1">
      <alignment vertical="bottom"/>
    </xf>
    <xf borderId="0" fillId="16" fontId="2" numFmtId="0" xfId="0" applyAlignment="1" applyFont="1">
      <alignment vertical="bottom"/>
    </xf>
    <xf borderId="0" fillId="14" fontId="2" numFmtId="0" xfId="0" applyAlignment="1" applyFont="1">
      <alignment vertical="bottom"/>
    </xf>
    <xf borderId="0" fillId="0" fontId="2" numFmtId="1" xfId="0" applyAlignment="1" applyFont="1" applyNumberFormat="1">
      <alignment vertical="bottom"/>
    </xf>
    <xf borderId="1" fillId="3" fontId="2" numFmtId="1" xfId="0" applyAlignment="1" applyBorder="1" applyFont="1" applyNumberFormat="1">
      <alignment vertical="bottom"/>
    </xf>
    <xf borderId="1" fillId="8" fontId="2" numFmtId="0" xfId="0" applyAlignment="1" applyBorder="1" applyFont="1">
      <alignment vertical="bottom"/>
    </xf>
    <xf borderId="1" fillId="8" fontId="2" numFmtId="9" xfId="0" applyAlignment="1" applyBorder="1" applyFont="1" applyNumberFormat="1">
      <alignment vertical="bottom"/>
    </xf>
    <xf borderId="1" fillId="8" fontId="2" numFmtId="3" xfId="0" applyAlignment="1" applyBorder="1" applyFont="1" applyNumberFormat="1">
      <alignment vertical="bottom"/>
    </xf>
    <xf borderId="1" fillId="8" fontId="2" numFmtId="1" xfId="0" applyAlignment="1" applyBorder="1" applyFont="1" applyNumberFormat="1">
      <alignment vertical="bottom"/>
    </xf>
    <xf borderId="3" fillId="8" fontId="2" numFmtId="0" xfId="0" applyAlignment="1" applyBorder="1" applyFont="1">
      <alignment vertical="bottom"/>
    </xf>
    <xf borderId="10" fillId="8" fontId="2" numFmtId="0" xfId="0" applyAlignment="1" applyBorder="1" applyFont="1">
      <alignment vertical="bottom"/>
    </xf>
    <xf borderId="10" fillId="8" fontId="2" numFmtId="3" xfId="0" applyAlignment="1" applyBorder="1" applyFont="1" applyNumberFormat="1">
      <alignment vertical="bottom"/>
    </xf>
    <xf borderId="7" fillId="8" fontId="2" numFmtId="3" xfId="0" applyAlignment="1" applyBorder="1" applyFont="1" applyNumberFormat="1">
      <alignment vertical="bottom"/>
    </xf>
    <xf borderId="13" fillId="0" fontId="7" numFmtId="0" xfId="0" applyAlignment="1" applyBorder="1" applyFont="1">
      <alignment horizontal="right" vertical="bottom"/>
    </xf>
    <xf borderId="0" fillId="17" fontId="2" numFmtId="0" xfId="0" applyAlignment="1" applyFill="1" applyFont="1">
      <alignment vertical="bottom"/>
    </xf>
    <xf borderId="1" fillId="3" fontId="7" numFmtId="0" xfId="0" applyAlignment="1" applyBorder="1" applyFont="1">
      <alignment horizontal="right" vertical="bottom"/>
    </xf>
    <xf borderId="1" fillId="5" fontId="7" numFmtId="3" xfId="0" applyAlignment="1" applyBorder="1" applyFont="1" applyNumberFormat="1">
      <alignment horizontal="right" vertical="bottom"/>
    </xf>
    <xf borderId="27" fillId="5" fontId="7" numFmtId="3" xfId="0" applyAlignment="1" applyBorder="1" applyFont="1" applyNumberFormat="1">
      <alignment horizontal="right" vertical="bottom"/>
    </xf>
    <xf borderId="36" fillId="0" fontId="7" numFmtId="3" xfId="0" applyAlignment="1" applyBorder="1" applyFont="1" applyNumberFormat="1">
      <alignment horizontal="right" vertical="bottom"/>
    </xf>
    <xf borderId="36" fillId="18" fontId="7" numFmtId="3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.25"/>
    <col customWidth="1" min="3" max="6" width="7.0"/>
    <col customWidth="1" min="7" max="8" width="8.38"/>
    <col customWidth="1" min="9" max="9" width="8.25"/>
    <col customWidth="1" min="10" max="11" width="8.38"/>
    <col customWidth="1" min="12" max="14" width="9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2</v>
      </c>
      <c r="B2" s="2"/>
      <c r="C2" s="3">
        <v>0.13</v>
      </c>
      <c r="D2" s="3">
        <v>0.43</v>
      </c>
      <c r="E2" s="3">
        <v>0.36</v>
      </c>
      <c r="F2" s="3">
        <v>0.08</v>
      </c>
      <c r="G2" s="2"/>
      <c r="H2" s="2"/>
      <c r="I2" s="2"/>
      <c r="J2" s="2"/>
      <c r="K2" s="2"/>
      <c r="L2" s="2"/>
      <c r="M2" s="2"/>
      <c r="N2" s="2"/>
    </row>
    <row r="3" ht="15.75" customHeight="1">
      <c r="A3" s="1" t="s">
        <v>3</v>
      </c>
      <c r="B3" s="2"/>
      <c r="C3" s="2"/>
      <c r="D3" s="3">
        <v>0.13</v>
      </c>
      <c r="E3" s="3">
        <v>0.43</v>
      </c>
      <c r="F3" s="3">
        <v>0.36</v>
      </c>
      <c r="G3" s="3">
        <v>0.08</v>
      </c>
      <c r="H3" s="2"/>
      <c r="I3" s="2"/>
      <c r="J3" s="2"/>
      <c r="K3" s="2"/>
      <c r="L3" s="2"/>
      <c r="M3" s="2"/>
      <c r="N3" s="2"/>
    </row>
    <row r="4" ht="15.75" customHeight="1">
      <c r="A4" s="1" t="s">
        <v>4</v>
      </c>
      <c r="B4" s="2"/>
      <c r="C4" s="2"/>
      <c r="D4" s="2"/>
      <c r="E4" s="3">
        <v>0.13</v>
      </c>
      <c r="F4" s="3">
        <v>0.43</v>
      </c>
      <c r="G4" s="3">
        <v>0.36</v>
      </c>
      <c r="H4" s="3">
        <v>0.08</v>
      </c>
      <c r="I4" s="2"/>
      <c r="J4" s="2"/>
      <c r="K4" s="2"/>
      <c r="L4" s="2"/>
      <c r="M4" s="2"/>
      <c r="N4" s="2"/>
    </row>
    <row r="5" ht="15.75" customHeight="1">
      <c r="A5" s="1" t="s">
        <v>5</v>
      </c>
      <c r="B5" s="2"/>
      <c r="C5" s="2"/>
      <c r="D5" s="2"/>
      <c r="E5" s="2"/>
      <c r="F5" s="3">
        <v>0.13</v>
      </c>
      <c r="G5" s="3">
        <v>0.43</v>
      </c>
      <c r="H5" s="3">
        <v>0.36</v>
      </c>
      <c r="I5" s="3">
        <v>0.08</v>
      </c>
      <c r="J5" s="2"/>
      <c r="K5" s="2"/>
      <c r="L5" s="2"/>
      <c r="M5" s="2"/>
      <c r="N5" s="2"/>
    </row>
    <row r="6" ht="15.75" customHeight="1">
      <c r="A6" s="1" t="s">
        <v>6</v>
      </c>
      <c r="B6" s="2"/>
      <c r="C6" s="2"/>
      <c r="D6" s="2"/>
      <c r="E6" s="2"/>
      <c r="F6" s="2"/>
      <c r="G6" s="3">
        <v>0.13</v>
      </c>
      <c r="H6" s="3">
        <v>0.43</v>
      </c>
      <c r="I6" s="3">
        <v>0.36</v>
      </c>
      <c r="J6" s="3">
        <v>0.08</v>
      </c>
      <c r="K6" s="2"/>
      <c r="L6" s="2"/>
      <c r="M6" s="2"/>
      <c r="N6" s="2"/>
    </row>
    <row r="7" ht="15.75" customHeight="1">
      <c r="A7" s="1" t="s">
        <v>7</v>
      </c>
      <c r="B7" s="2"/>
      <c r="C7" s="2"/>
      <c r="D7" s="2"/>
      <c r="E7" s="2"/>
      <c r="F7" s="2"/>
      <c r="G7" s="2"/>
      <c r="H7" s="3">
        <v>0.13</v>
      </c>
      <c r="I7" s="3">
        <v>0.43</v>
      </c>
      <c r="J7" s="3">
        <v>0.36</v>
      </c>
      <c r="K7" s="3">
        <v>0.08</v>
      </c>
      <c r="L7" s="2"/>
      <c r="M7" s="2"/>
      <c r="N7" s="2"/>
    </row>
    <row r="8" ht="15.75" customHeight="1">
      <c r="A8" s="1" t="s">
        <v>8</v>
      </c>
      <c r="B8" s="2"/>
      <c r="C8" s="2"/>
      <c r="D8" s="2"/>
      <c r="E8" s="2"/>
      <c r="F8" s="2"/>
      <c r="G8" s="2"/>
      <c r="H8" s="2"/>
      <c r="I8" s="3">
        <v>0.13</v>
      </c>
      <c r="J8" s="3">
        <v>0.43</v>
      </c>
      <c r="K8" s="3">
        <v>0.36</v>
      </c>
      <c r="L8" s="3">
        <v>0.08</v>
      </c>
      <c r="M8" s="2"/>
      <c r="N8" s="2"/>
    </row>
    <row r="9" ht="15.75" customHeight="1">
      <c r="A9" s="1" t="s">
        <v>9</v>
      </c>
      <c r="B9" s="2"/>
      <c r="C9" s="2"/>
      <c r="D9" s="2"/>
      <c r="E9" s="2"/>
      <c r="F9" s="2"/>
      <c r="G9" s="2"/>
      <c r="H9" s="2"/>
      <c r="I9" s="2"/>
      <c r="J9" s="3">
        <v>0.13</v>
      </c>
      <c r="K9" s="3">
        <v>0.43</v>
      </c>
      <c r="L9" s="3">
        <v>0.36</v>
      </c>
      <c r="M9" s="3">
        <v>0.08</v>
      </c>
      <c r="N9" s="2"/>
    </row>
    <row r="10" ht="15.75" customHeight="1">
      <c r="A10" s="1" t="s">
        <v>10</v>
      </c>
      <c r="B10" s="2"/>
      <c r="C10" s="2"/>
      <c r="D10" s="2"/>
      <c r="E10" s="2"/>
      <c r="F10" s="2"/>
      <c r="G10" s="2"/>
      <c r="H10" s="2"/>
      <c r="I10" s="2"/>
      <c r="J10" s="2"/>
      <c r="K10" s="3">
        <v>0.13</v>
      </c>
      <c r="L10" s="3">
        <v>0.43</v>
      </c>
      <c r="M10" s="3">
        <v>0.36</v>
      </c>
      <c r="N10" s="3">
        <v>0.08</v>
      </c>
    </row>
    <row r="11" ht="15.75" customHeight="1">
      <c r="A11" s="1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3">
        <v>0.13</v>
      </c>
      <c r="M11" s="3">
        <v>0.43</v>
      </c>
      <c r="N11" s="3">
        <v>0.36</v>
      </c>
    </row>
    <row r="12" ht="15.75" customHeight="1">
      <c r="A12" s="1" t="s">
        <v>12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>
        <v>0.13</v>
      </c>
      <c r="N12" s="3">
        <v>0.43</v>
      </c>
    </row>
    <row r="13" ht="15.75" customHeight="1">
      <c r="A13" s="1" t="s">
        <v>13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>
        <v>0.13</v>
      </c>
    </row>
    <row r="14" ht="15.75" customHeight="1">
      <c r="A14" s="4"/>
      <c r="B14" s="5" t="s">
        <v>14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6</v>
      </c>
      <c r="H14" s="5" t="s">
        <v>7</v>
      </c>
      <c r="I14" s="5" t="s">
        <v>8</v>
      </c>
      <c r="J14" s="5" t="s">
        <v>9</v>
      </c>
      <c r="K14" s="5" t="s">
        <v>10</v>
      </c>
      <c r="L14" s="5" t="s">
        <v>11</v>
      </c>
      <c r="M14" s="5" t="s">
        <v>12</v>
      </c>
      <c r="N14" s="5" t="s">
        <v>13</v>
      </c>
    </row>
    <row r="15" ht="15.75" customHeight="1">
      <c r="A15" s="5" t="s">
        <v>2</v>
      </c>
      <c r="B15" s="3">
        <v>29.0</v>
      </c>
      <c r="C15" s="6">
        <f t="shared" ref="C15:F15" si="1">$B15*C2</f>
        <v>3.77</v>
      </c>
      <c r="D15" s="6">
        <f t="shared" si="1"/>
        <v>12.47</v>
      </c>
      <c r="E15" s="6">
        <f t="shared" si="1"/>
        <v>10.44</v>
      </c>
      <c r="F15" s="6">
        <f t="shared" si="1"/>
        <v>2.32</v>
      </c>
      <c r="G15" s="7"/>
      <c r="H15" s="7"/>
      <c r="I15" s="7"/>
      <c r="J15" s="7"/>
      <c r="K15" s="7"/>
      <c r="L15" s="7"/>
      <c r="M15" s="7"/>
      <c r="N15" s="7"/>
    </row>
    <row r="16" ht="15.75" customHeight="1">
      <c r="A16" s="5" t="s">
        <v>3</v>
      </c>
      <c r="B16" s="3">
        <f>15+11+6</f>
        <v>32</v>
      </c>
      <c r="C16" s="7"/>
      <c r="D16" s="6">
        <f t="shared" ref="D16:G16" si="2">$B16*D3</f>
        <v>4.16</v>
      </c>
      <c r="E16" s="6">
        <f t="shared" si="2"/>
        <v>13.76</v>
      </c>
      <c r="F16" s="6">
        <f t="shared" si="2"/>
        <v>11.52</v>
      </c>
      <c r="G16" s="6">
        <f t="shared" si="2"/>
        <v>2.56</v>
      </c>
      <c r="H16" s="7"/>
      <c r="I16" s="7"/>
      <c r="J16" s="7"/>
      <c r="K16" s="7"/>
      <c r="L16" s="7"/>
      <c r="M16" s="7"/>
      <c r="N16" s="7"/>
    </row>
    <row r="17" ht="15.75" customHeight="1">
      <c r="A17" s="5" t="s">
        <v>4</v>
      </c>
      <c r="B17" s="3">
        <f>30+19+20</f>
        <v>69</v>
      </c>
      <c r="C17" s="7"/>
      <c r="D17" s="7"/>
      <c r="E17" s="6">
        <f t="shared" ref="E17:H17" si="3">$B17*E4</f>
        <v>8.97</v>
      </c>
      <c r="F17" s="6">
        <f t="shared" si="3"/>
        <v>29.67</v>
      </c>
      <c r="G17" s="6">
        <f t="shared" si="3"/>
        <v>24.84</v>
      </c>
      <c r="H17" s="6">
        <f t="shared" si="3"/>
        <v>5.52</v>
      </c>
      <c r="I17" s="7"/>
      <c r="J17" s="7"/>
      <c r="K17" s="7"/>
      <c r="L17" s="7"/>
      <c r="M17" s="7"/>
      <c r="N17" s="7"/>
    </row>
    <row r="18" ht="15.75" customHeight="1">
      <c r="A18" s="5" t="s">
        <v>5</v>
      </c>
      <c r="B18" s="3">
        <f>16+28+16</f>
        <v>60</v>
      </c>
      <c r="C18" s="7"/>
      <c r="D18" s="7"/>
      <c r="E18" s="7"/>
      <c r="F18" s="6">
        <f t="shared" ref="F18:I18" si="4">$B18*F5</f>
        <v>7.8</v>
      </c>
      <c r="G18" s="6">
        <f t="shared" si="4"/>
        <v>25.8</v>
      </c>
      <c r="H18" s="6">
        <f t="shared" si="4"/>
        <v>21.6</v>
      </c>
      <c r="I18" s="6">
        <f t="shared" si="4"/>
        <v>4.8</v>
      </c>
      <c r="J18" s="7"/>
      <c r="K18" s="7"/>
      <c r="L18" s="7"/>
      <c r="M18" s="7"/>
      <c r="N18" s="7"/>
    </row>
    <row r="19" ht="15.75" customHeight="1">
      <c r="A19" s="5" t="s">
        <v>6</v>
      </c>
      <c r="B19" s="3">
        <f>16+23+34</f>
        <v>73</v>
      </c>
      <c r="C19" s="7"/>
      <c r="D19" s="7"/>
      <c r="E19" s="7"/>
      <c r="F19" s="7"/>
      <c r="G19" s="6">
        <f t="shared" ref="G19:J19" si="5">$B19*G6</f>
        <v>9.49</v>
      </c>
      <c r="H19" s="6">
        <f t="shared" si="5"/>
        <v>31.39</v>
      </c>
      <c r="I19" s="6">
        <f t="shared" si="5"/>
        <v>26.28</v>
      </c>
      <c r="J19" s="6">
        <f t="shared" si="5"/>
        <v>5.84</v>
      </c>
      <c r="K19" s="7"/>
      <c r="L19" s="7"/>
      <c r="M19" s="7"/>
      <c r="N19" s="7"/>
    </row>
    <row r="20" ht="15.75" customHeight="1">
      <c r="A20" s="5" t="s">
        <v>7</v>
      </c>
      <c r="B20" s="8">
        <v>76.0</v>
      </c>
      <c r="C20" s="7"/>
      <c r="D20" s="7"/>
      <c r="E20" s="7"/>
      <c r="F20" s="7"/>
      <c r="G20" s="7"/>
      <c r="H20" s="6">
        <f t="shared" ref="H20:K20" si="6">$B20*H7</f>
        <v>9.88</v>
      </c>
      <c r="I20" s="6">
        <f t="shared" si="6"/>
        <v>32.68</v>
      </c>
      <c r="J20" s="6">
        <f t="shared" si="6"/>
        <v>27.36</v>
      </c>
      <c r="K20" s="6">
        <f t="shared" si="6"/>
        <v>6.08</v>
      </c>
      <c r="L20" s="7"/>
      <c r="M20" s="7"/>
      <c r="N20" s="7"/>
    </row>
    <row r="21" ht="15.75" customHeight="1">
      <c r="A21" s="5" t="s">
        <v>8</v>
      </c>
      <c r="B21" s="6">
        <v>150.0</v>
      </c>
      <c r="C21" s="7"/>
      <c r="D21" s="7"/>
      <c r="E21" s="7"/>
      <c r="F21" s="7"/>
      <c r="G21" s="7"/>
      <c r="H21" s="7"/>
      <c r="I21" s="6">
        <f t="shared" ref="I21:L21" si="7">$B21*I8</f>
        <v>19.5</v>
      </c>
      <c r="J21" s="6">
        <f t="shared" si="7"/>
        <v>64.5</v>
      </c>
      <c r="K21" s="6">
        <f t="shared" si="7"/>
        <v>54</v>
      </c>
      <c r="L21" s="6">
        <f t="shared" si="7"/>
        <v>12</v>
      </c>
      <c r="M21" s="7"/>
      <c r="N21" s="7"/>
    </row>
    <row r="22" ht="15.75" customHeight="1">
      <c r="A22" s="5" t="s">
        <v>9</v>
      </c>
      <c r="B22" s="6">
        <v>150.0</v>
      </c>
      <c r="C22" s="7"/>
      <c r="D22" s="7"/>
      <c r="E22" s="7"/>
      <c r="F22" s="7"/>
      <c r="G22" s="7"/>
      <c r="H22" s="7"/>
      <c r="I22" s="7"/>
      <c r="J22" s="6">
        <f t="shared" ref="J22:M22" si="8">$B22*J9</f>
        <v>19.5</v>
      </c>
      <c r="K22" s="6">
        <f t="shared" si="8"/>
        <v>64.5</v>
      </c>
      <c r="L22" s="6">
        <f t="shared" si="8"/>
        <v>54</v>
      </c>
      <c r="M22" s="6">
        <f t="shared" si="8"/>
        <v>12</v>
      </c>
      <c r="N22" s="7"/>
    </row>
    <row r="23" ht="15.75" customHeight="1">
      <c r="A23" s="5" t="s">
        <v>10</v>
      </c>
      <c r="B23" s="6">
        <v>150.0</v>
      </c>
      <c r="C23" s="7"/>
      <c r="D23" s="7"/>
      <c r="E23" s="7"/>
      <c r="F23" s="7"/>
      <c r="G23" s="7"/>
      <c r="H23" s="7"/>
      <c r="I23" s="7"/>
      <c r="J23" s="7"/>
      <c r="K23" s="6">
        <f t="shared" ref="K23:N23" si="9">$B23*K10</f>
        <v>19.5</v>
      </c>
      <c r="L23" s="6">
        <f t="shared" si="9"/>
        <v>64.5</v>
      </c>
      <c r="M23" s="6">
        <f t="shared" si="9"/>
        <v>54</v>
      </c>
      <c r="N23" s="6">
        <f t="shared" si="9"/>
        <v>12</v>
      </c>
    </row>
    <row r="24" ht="15.75" customHeight="1">
      <c r="A24" s="5" t="s">
        <v>11</v>
      </c>
      <c r="B24" s="6">
        <v>150.0</v>
      </c>
      <c r="C24" s="7"/>
      <c r="D24" s="7"/>
      <c r="E24" s="7"/>
      <c r="F24" s="7"/>
      <c r="G24" s="7"/>
      <c r="H24" s="7"/>
      <c r="I24" s="7"/>
      <c r="J24" s="7"/>
      <c r="K24" s="7"/>
      <c r="L24" s="6">
        <f t="shared" ref="L24:N24" si="10">$B24*L11</f>
        <v>19.5</v>
      </c>
      <c r="M24" s="6">
        <f t="shared" si="10"/>
        <v>64.5</v>
      </c>
      <c r="N24" s="6">
        <f t="shared" si="10"/>
        <v>54</v>
      </c>
    </row>
    <row r="25" ht="15.75" customHeight="1">
      <c r="A25" s="5" t="s">
        <v>12</v>
      </c>
      <c r="B25" s="6">
        <v>150.0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6">
        <f t="shared" ref="M25:N25" si="11">$B25*M12</f>
        <v>19.5</v>
      </c>
      <c r="N25" s="6">
        <f t="shared" si="11"/>
        <v>64.5</v>
      </c>
    </row>
    <row r="26" ht="15.75" customHeight="1">
      <c r="A26" s="5" t="s">
        <v>13</v>
      </c>
      <c r="B26" s="6">
        <v>150.0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>
        <f>$B26*N13</f>
        <v>19.5</v>
      </c>
    </row>
    <row r="27" ht="15.75" customHeight="1">
      <c r="A27" s="9" t="s">
        <v>15</v>
      </c>
      <c r="B27" s="2"/>
      <c r="C27" s="10">
        <f t="shared" ref="C27:N27" si="12">sum(C15:C26)</f>
        <v>3.77</v>
      </c>
      <c r="D27" s="10">
        <f t="shared" si="12"/>
        <v>16.63</v>
      </c>
      <c r="E27" s="10">
        <f t="shared" si="12"/>
        <v>33.17</v>
      </c>
      <c r="F27" s="10">
        <f t="shared" si="12"/>
        <v>51.31</v>
      </c>
      <c r="G27" s="10">
        <f t="shared" si="12"/>
        <v>62.69</v>
      </c>
      <c r="H27" s="10">
        <f t="shared" si="12"/>
        <v>68.39</v>
      </c>
      <c r="I27" s="10">
        <f t="shared" si="12"/>
        <v>83.26</v>
      </c>
      <c r="J27" s="10">
        <f t="shared" si="12"/>
        <v>117.2</v>
      </c>
      <c r="K27" s="10">
        <f t="shared" si="12"/>
        <v>144.08</v>
      </c>
      <c r="L27" s="10">
        <f t="shared" si="12"/>
        <v>150</v>
      </c>
      <c r="M27" s="10">
        <f t="shared" si="12"/>
        <v>150</v>
      </c>
      <c r="N27" s="10">
        <f t="shared" si="12"/>
        <v>150</v>
      </c>
    </row>
    <row r="28" ht="15.75" customHeight="1">
      <c r="A28" s="9" t="s">
        <v>16</v>
      </c>
      <c r="B28" s="2"/>
      <c r="C28" s="6">
        <v>775000.0</v>
      </c>
      <c r="D28" s="6">
        <v>775000.0</v>
      </c>
      <c r="E28" s="6">
        <v>775000.0</v>
      </c>
      <c r="F28" s="6">
        <v>775000.0</v>
      </c>
      <c r="G28" s="6">
        <v>582000.0</v>
      </c>
      <c r="H28" s="6">
        <v>749000.0</v>
      </c>
      <c r="I28" s="6">
        <v>1722115.0</v>
      </c>
      <c r="J28" s="6">
        <v>2322449.0</v>
      </c>
      <c r="K28" s="6">
        <v>2322449.0</v>
      </c>
      <c r="L28" s="6">
        <v>2322449.0</v>
      </c>
      <c r="M28" s="6">
        <v>2322449.0</v>
      </c>
      <c r="N28" s="6">
        <v>2322449.0</v>
      </c>
    </row>
    <row r="29" ht="15.75" customHeight="1">
      <c r="A29" s="9" t="s">
        <v>17</v>
      </c>
      <c r="B29" s="2"/>
      <c r="C29" s="6" t="s">
        <v>18</v>
      </c>
      <c r="D29" s="6" t="s">
        <v>18</v>
      </c>
      <c r="E29" s="6" t="s">
        <v>18</v>
      </c>
      <c r="F29" s="6" t="s">
        <v>18</v>
      </c>
      <c r="G29" s="6">
        <f>3267624+G28</f>
        <v>3849624</v>
      </c>
      <c r="H29" s="6">
        <f t="shared" ref="H29:N29" si="13">G29+H28</f>
        <v>4598624</v>
      </c>
      <c r="I29" s="6">
        <f t="shared" si="13"/>
        <v>6320739</v>
      </c>
      <c r="J29" s="6">
        <f t="shared" si="13"/>
        <v>8643188</v>
      </c>
      <c r="K29" s="6">
        <f t="shared" si="13"/>
        <v>10965637</v>
      </c>
      <c r="L29" s="6">
        <f t="shared" si="13"/>
        <v>13288086</v>
      </c>
      <c r="M29" s="6">
        <f t="shared" si="13"/>
        <v>15610535</v>
      </c>
      <c r="N29" s="6">
        <f t="shared" si="13"/>
        <v>17932984</v>
      </c>
      <c r="O29" s="11">
        <f>N29/J29</f>
        <v>2.074811285</v>
      </c>
    </row>
    <row r="30" ht="15.75" customHeight="1">
      <c r="A30" s="9" t="s">
        <v>19</v>
      </c>
      <c r="B30" s="2"/>
      <c r="C30" s="6">
        <v>35000.0</v>
      </c>
      <c r="D30" s="6">
        <v>35000.0</v>
      </c>
      <c r="E30" s="6">
        <v>35000.0</v>
      </c>
      <c r="F30" s="6">
        <v>35000.0</v>
      </c>
      <c r="G30" s="6">
        <v>35000.0</v>
      </c>
      <c r="H30" s="6">
        <v>35000.0</v>
      </c>
      <c r="I30" s="6">
        <v>45000.0</v>
      </c>
      <c r="J30" s="6">
        <v>45000.0</v>
      </c>
      <c r="K30" s="6">
        <v>45000.0</v>
      </c>
      <c r="L30" s="6">
        <v>45000.0</v>
      </c>
      <c r="M30" s="6">
        <v>45000.0</v>
      </c>
      <c r="N30" s="6">
        <v>45000.0</v>
      </c>
    </row>
    <row r="31" ht="15.75" customHeight="1">
      <c r="A31" s="9" t="s">
        <v>20</v>
      </c>
      <c r="B31" s="2"/>
      <c r="C31" s="3">
        <v>2.0</v>
      </c>
      <c r="D31" s="3">
        <v>2.0</v>
      </c>
      <c r="E31" s="3">
        <v>2.0</v>
      </c>
      <c r="F31" s="3">
        <v>2.0</v>
      </c>
      <c r="G31" s="3">
        <v>2.0</v>
      </c>
      <c r="H31" s="3">
        <v>2.5</v>
      </c>
      <c r="I31" s="3">
        <v>3.0</v>
      </c>
      <c r="J31" s="3">
        <v>3.0</v>
      </c>
      <c r="K31" s="3">
        <v>3.0</v>
      </c>
      <c r="L31" s="3">
        <v>3.0</v>
      </c>
      <c r="M31" s="3">
        <v>3.0</v>
      </c>
      <c r="N31" s="3">
        <v>3.0</v>
      </c>
    </row>
    <row r="32" ht="15.75" customHeight="1">
      <c r="A32" s="9" t="s">
        <v>21</v>
      </c>
      <c r="B32" s="2"/>
      <c r="C32" s="6">
        <f t="shared" ref="C32:N32" si="14">(C28/C30)*C31</f>
        <v>44.28571429</v>
      </c>
      <c r="D32" s="6">
        <f t="shared" si="14"/>
        <v>44.28571429</v>
      </c>
      <c r="E32" s="6">
        <f t="shared" si="14"/>
        <v>44.28571429</v>
      </c>
      <c r="F32" s="6">
        <f t="shared" si="14"/>
        <v>44.28571429</v>
      </c>
      <c r="G32" s="6">
        <f t="shared" si="14"/>
        <v>33.25714286</v>
      </c>
      <c r="H32" s="6">
        <f t="shared" si="14"/>
        <v>53.5</v>
      </c>
      <c r="I32" s="6">
        <f t="shared" si="14"/>
        <v>114.8076667</v>
      </c>
      <c r="J32" s="6">
        <f t="shared" si="14"/>
        <v>154.8299333</v>
      </c>
      <c r="K32" s="6">
        <f t="shared" si="14"/>
        <v>154.8299333</v>
      </c>
      <c r="L32" s="6">
        <f t="shared" si="14"/>
        <v>154.8299333</v>
      </c>
      <c r="M32" s="6">
        <f t="shared" si="14"/>
        <v>154.8299333</v>
      </c>
      <c r="N32" s="6">
        <f t="shared" si="14"/>
        <v>154.8299333</v>
      </c>
    </row>
    <row r="33" ht="15.75" customHeight="1">
      <c r="A33" s="9" t="s">
        <v>22</v>
      </c>
      <c r="B33" s="2"/>
      <c r="C33" s="6">
        <f t="shared" ref="C33:N33" si="15">C32-C27</f>
        <v>40.51571429</v>
      </c>
      <c r="D33" s="6">
        <f t="shared" si="15"/>
        <v>27.65571429</v>
      </c>
      <c r="E33" s="6">
        <f t="shared" si="15"/>
        <v>11.11571429</v>
      </c>
      <c r="F33" s="6">
        <f t="shared" si="15"/>
        <v>-7.024285714</v>
      </c>
      <c r="G33" s="6">
        <f t="shared" si="15"/>
        <v>-29.43285714</v>
      </c>
      <c r="H33" s="6">
        <f t="shared" si="15"/>
        <v>-14.89</v>
      </c>
      <c r="I33" s="6">
        <f t="shared" si="15"/>
        <v>31.54766667</v>
      </c>
      <c r="J33" s="6">
        <f t="shared" si="15"/>
        <v>37.62993333</v>
      </c>
      <c r="K33" s="6">
        <f t="shared" si="15"/>
        <v>10.74993333</v>
      </c>
      <c r="L33" s="6">
        <f t="shared" si="15"/>
        <v>4.829933333</v>
      </c>
      <c r="M33" s="6">
        <f t="shared" si="15"/>
        <v>4.829933333</v>
      </c>
      <c r="N33" s="6">
        <f t="shared" si="15"/>
        <v>4.829933333</v>
      </c>
    </row>
    <row r="34" ht="15.75" customHeight="1">
      <c r="A34" s="9" t="s">
        <v>23</v>
      </c>
      <c r="B34" s="2"/>
      <c r="C34" s="12">
        <f t="shared" ref="C34:N34" si="16">C27/C32</f>
        <v>0.08512903226</v>
      </c>
      <c r="D34" s="12">
        <f t="shared" si="16"/>
        <v>0.375516129</v>
      </c>
      <c r="E34" s="12">
        <f t="shared" si="16"/>
        <v>0.749</v>
      </c>
      <c r="F34" s="12">
        <f t="shared" si="16"/>
        <v>1.158612903</v>
      </c>
      <c r="G34" s="12">
        <f t="shared" si="16"/>
        <v>1.885008591</v>
      </c>
      <c r="H34" s="12">
        <f t="shared" si="16"/>
        <v>1.278317757</v>
      </c>
      <c r="I34" s="12">
        <f t="shared" si="16"/>
        <v>0.7252128923</v>
      </c>
      <c r="J34" s="12">
        <f t="shared" si="16"/>
        <v>0.7569595716</v>
      </c>
      <c r="K34" s="12">
        <f t="shared" si="16"/>
        <v>0.9305694119</v>
      </c>
      <c r="L34" s="12">
        <f t="shared" si="16"/>
        <v>0.9688049124</v>
      </c>
      <c r="M34" s="12">
        <f t="shared" si="16"/>
        <v>0.9688049124</v>
      </c>
      <c r="N34" s="12">
        <f t="shared" si="16"/>
        <v>0.9688049124</v>
      </c>
    </row>
    <row r="35" ht="15.75" customHeight="1">
      <c r="A35" s="13" t="s">
        <v>24</v>
      </c>
      <c r="C35" s="13">
        <v>0.0</v>
      </c>
      <c r="D35" s="13">
        <v>0.0</v>
      </c>
      <c r="E35" s="13">
        <v>0.0</v>
      </c>
      <c r="F35" s="13">
        <v>1.0</v>
      </c>
      <c r="G35" s="13">
        <v>1.0</v>
      </c>
      <c r="H35" s="13">
        <v>1.0</v>
      </c>
      <c r="I35" s="13">
        <v>5.0</v>
      </c>
      <c r="J35" s="13">
        <v>5.0</v>
      </c>
      <c r="K35" s="13">
        <v>7.0</v>
      </c>
      <c r="L35" s="13">
        <v>9.0</v>
      </c>
      <c r="M35" s="13">
        <v>9.0</v>
      </c>
      <c r="N35" s="13">
        <v>9.0</v>
      </c>
    </row>
    <row r="36" ht="15.75" customHeight="1">
      <c r="A36" s="13" t="s">
        <v>25</v>
      </c>
      <c r="C36" s="13">
        <f t="shared" ref="C36:N36" si="17">C35*13</f>
        <v>0</v>
      </c>
      <c r="D36" s="13">
        <f t="shared" si="17"/>
        <v>0</v>
      </c>
      <c r="E36" s="13">
        <f t="shared" si="17"/>
        <v>0</v>
      </c>
      <c r="F36" s="13">
        <f t="shared" si="17"/>
        <v>13</v>
      </c>
      <c r="G36" s="13">
        <f t="shared" si="17"/>
        <v>13</v>
      </c>
      <c r="H36" s="13">
        <f t="shared" si="17"/>
        <v>13</v>
      </c>
      <c r="I36" s="13">
        <f t="shared" si="17"/>
        <v>65</v>
      </c>
      <c r="J36" s="13">
        <f t="shared" si="17"/>
        <v>65</v>
      </c>
      <c r="K36" s="13">
        <f t="shared" si="17"/>
        <v>91</v>
      </c>
      <c r="L36" s="13">
        <f t="shared" si="17"/>
        <v>117</v>
      </c>
      <c r="M36" s="13">
        <f t="shared" si="17"/>
        <v>117</v>
      </c>
      <c r="N36" s="13">
        <f t="shared" si="17"/>
        <v>117</v>
      </c>
    </row>
    <row r="37" ht="15.75" customHeight="1">
      <c r="A37" s="13" t="s">
        <v>26</v>
      </c>
      <c r="C37" s="14">
        <f t="shared" ref="C37:N37" si="18">C36-C32</f>
        <v>-44.28571429</v>
      </c>
      <c r="D37" s="14">
        <f t="shared" si="18"/>
        <v>-44.28571429</v>
      </c>
      <c r="E37" s="14">
        <f t="shared" si="18"/>
        <v>-44.28571429</v>
      </c>
      <c r="F37" s="14">
        <f t="shared" si="18"/>
        <v>-31.28571429</v>
      </c>
      <c r="G37" s="14">
        <f t="shared" si="18"/>
        <v>-20.25714286</v>
      </c>
      <c r="H37" s="14">
        <f t="shared" si="18"/>
        <v>-40.5</v>
      </c>
      <c r="I37" s="14">
        <f t="shared" si="18"/>
        <v>-49.80766667</v>
      </c>
      <c r="J37" s="14">
        <f t="shared" si="18"/>
        <v>-89.82993333</v>
      </c>
      <c r="K37" s="14">
        <f t="shared" si="18"/>
        <v>-63.82993333</v>
      </c>
      <c r="L37" s="14">
        <f t="shared" si="18"/>
        <v>-37.82993333</v>
      </c>
      <c r="M37" s="14">
        <f t="shared" si="18"/>
        <v>-37.82993333</v>
      </c>
      <c r="N37" s="14">
        <f t="shared" si="18"/>
        <v>-37.82993333</v>
      </c>
    </row>
    <row r="38" ht="15.75" customHeight="1"/>
    <row r="39" ht="15.75" customHeight="1"/>
    <row r="40" ht="15.75" customHeight="1">
      <c r="A40" s="13" t="s">
        <v>27</v>
      </c>
      <c r="B40" s="13">
        <v>152.0</v>
      </c>
    </row>
    <row r="41" ht="15.75" customHeight="1">
      <c r="A41" s="13" t="s">
        <v>28</v>
      </c>
      <c r="B41" s="14">
        <f>sum(B21:B22)</f>
        <v>300</v>
      </c>
    </row>
    <row r="42" ht="15.75" customHeight="1">
      <c r="A42" s="15" t="s">
        <v>29</v>
      </c>
      <c r="B42" s="16">
        <f>B41-B40</f>
        <v>148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34:N34">
    <cfRule type="cellIs" dxfId="0" priority="1" operator="greaterThanOrEqual">
      <formula>0.9</formula>
    </cfRule>
  </conditionalFormatting>
  <conditionalFormatting sqref="C34:N34">
    <cfRule type="cellIs" dxfId="1" priority="2" operator="between">
      <formula>0.7</formula>
      <formula>0.9</formula>
    </cfRule>
  </conditionalFormatting>
  <conditionalFormatting sqref="C34:N34">
    <cfRule type="cellIs" dxfId="2" priority="3" operator="lessThan">
      <formula>0.7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.25"/>
    <col customWidth="1" min="3" max="3" width="14.0"/>
    <col customWidth="1" min="4" max="4" width="9.2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</cols>
  <sheetData>
    <row r="1" ht="15.75" customHeight="1">
      <c r="A1" s="17" t="s">
        <v>0</v>
      </c>
      <c r="B1" s="17" t="s">
        <v>1</v>
      </c>
      <c r="C1" s="17"/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</row>
    <row r="2" ht="15.75" customHeight="1">
      <c r="A2" s="17" t="s">
        <v>2</v>
      </c>
      <c r="B2" s="18"/>
      <c r="C2" s="18"/>
      <c r="D2" s="18"/>
      <c r="E2" s="19">
        <v>0.13</v>
      </c>
      <c r="F2" s="19">
        <v>0.43</v>
      </c>
      <c r="G2" s="19">
        <v>0.36</v>
      </c>
      <c r="H2" s="19">
        <v>0.08</v>
      </c>
      <c r="I2" s="18"/>
      <c r="J2" s="18"/>
      <c r="K2" s="18"/>
      <c r="L2" s="18"/>
      <c r="M2" s="18"/>
      <c r="N2" s="18"/>
      <c r="O2" s="18"/>
      <c r="P2" s="18"/>
    </row>
    <row r="3" ht="15.75" customHeight="1">
      <c r="A3" s="17" t="s">
        <v>3</v>
      </c>
      <c r="B3" s="18"/>
      <c r="C3" s="18"/>
      <c r="D3" s="18"/>
      <c r="E3" s="18"/>
      <c r="F3" s="19">
        <v>0.13</v>
      </c>
      <c r="G3" s="19">
        <v>0.43</v>
      </c>
      <c r="H3" s="19">
        <v>0.36</v>
      </c>
      <c r="I3" s="19">
        <v>0.08</v>
      </c>
      <c r="J3" s="18"/>
      <c r="K3" s="18"/>
      <c r="L3" s="18"/>
      <c r="M3" s="18"/>
      <c r="N3" s="18"/>
      <c r="O3" s="18"/>
      <c r="P3" s="18"/>
    </row>
    <row r="4" ht="15.75" customHeight="1">
      <c r="A4" s="17" t="s">
        <v>4</v>
      </c>
      <c r="B4" s="18"/>
      <c r="C4" s="18"/>
      <c r="D4" s="18"/>
      <c r="E4" s="18"/>
      <c r="F4" s="18"/>
      <c r="G4" s="19">
        <v>0.13</v>
      </c>
      <c r="H4" s="19">
        <v>0.43</v>
      </c>
      <c r="I4" s="19">
        <v>0.36</v>
      </c>
      <c r="J4" s="19">
        <v>0.08</v>
      </c>
      <c r="K4" s="18"/>
      <c r="L4" s="18"/>
      <c r="M4" s="18"/>
      <c r="N4" s="18"/>
      <c r="O4" s="18"/>
      <c r="P4" s="18"/>
    </row>
    <row r="5" ht="15.75" customHeight="1">
      <c r="A5" s="17" t="s">
        <v>5</v>
      </c>
      <c r="B5" s="18"/>
      <c r="C5" s="18"/>
      <c r="D5" s="18"/>
      <c r="E5" s="18"/>
      <c r="F5" s="18"/>
      <c r="G5" s="18"/>
      <c r="H5" s="19">
        <v>0.13</v>
      </c>
      <c r="I5" s="19">
        <v>0.43</v>
      </c>
      <c r="J5" s="19">
        <v>0.36</v>
      </c>
      <c r="K5" s="19">
        <v>0.08</v>
      </c>
      <c r="L5" s="18"/>
      <c r="M5" s="18"/>
      <c r="N5" s="18"/>
      <c r="O5" s="18"/>
      <c r="P5" s="18"/>
    </row>
    <row r="6" ht="15.75" customHeight="1">
      <c r="A6" s="17" t="s">
        <v>6</v>
      </c>
      <c r="B6" s="18"/>
      <c r="C6" s="18"/>
      <c r="D6" s="18"/>
      <c r="E6" s="18"/>
      <c r="F6" s="18"/>
      <c r="G6" s="18"/>
      <c r="H6" s="18"/>
      <c r="I6" s="19">
        <v>0.13</v>
      </c>
      <c r="J6" s="19">
        <v>0.43</v>
      </c>
      <c r="K6" s="19">
        <v>0.36</v>
      </c>
      <c r="L6" s="19">
        <v>0.08</v>
      </c>
      <c r="M6" s="18"/>
      <c r="N6" s="18"/>
      <c r="O6" s="18"/>
      <c r="P6" s="18"/>
    </row>
    <row r="7" ht="15.75" customHeight="1">
      <c r="A7" s="17" t="s">
        <v>7</v>
      </c>
      <c r="B7" s="18"/>
      <c r="C7" s="18"/>
      <c r="D7" s="18"/>
      <c r="E7" s="18"/>
      <c r="F7" s="18"/>
      <c r="G7" s="18"/>
      <c r="H7" s="18"/>
      <c r="I7" s="18"/>
      <c r="J7" s="19">
        <v>0.13</v>
      </c>
      <c r="K7" s="19">
        <v>0.43</v>
      </c>
      <c r="L7" s="19">
        <v>0.36</v>
      </c>
      <c r="M7" s="19">
        <v>0.08</v>
      </c>
      <c r="N7" s="18"/>
      <c r="O7" s="18"/>
      <c r="P7" s="18"/>
    </row>
    <row r="8" ht="15.75" customHeight="1">
      <c r="A8" s="17" t="s">
        <v>8</v>
      </c>
      <c r="B8" s="18"/>
      <c r="C8" s="18"/>
      <c r="D8" s="18"/>
      <c r="E8" s="18"/>
      <c r="F8" s="18"/>
      <c r="G8" s="18"/>
      <c r="H8" s="18"/>
      <c r="I8" s="18"/>
      <c r="J8" s="18"/>
      <c r="K8" s="19">
        <v>0.13</v>
      </c>
      <c r="L8" s="19">
        <v>0.43</v>
      </c>
      <c r="M8" s="19">
        <v>0.36</v>
      </c>
      <c r="N8" s="19">
        <v>0.08</v>
      </c>
      <c r="O8" s="18"/>
      <c r="P8" s="18"/>
    </row>
    <row r="9" ht="15.75" customHeight="1">
      <c r="A9" s="17" t="s">
        <v>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9">
        <v>0.13</v>
      </c>
      <c r="M9" s="19">
        <v>0.43</v>
      </c>
      <c r="N9" s="19">
        <v>0.36</v>
      </c>
      <c r="O9" s="19">
        <v>0.08</v>
      </c>
      <c r="P9" s="18"/>
    </row>
    <row r="10" ht="15.75" customHeight="1">
      <c r="A10" s="17" t="s">
        <v>10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>
        <v>0.17</v>
      </c>
      <c r="N10" s="19">
        <v>0.5</v>
      </c>
      <c r="O10" s="19">
        <v>0.3</v>
      </c>
      <c r="P10" s="19">
        <v>0.03</v>
      </c>
    </row>
    <row r="11" ht="15.75" customHeight="1">
      <c r="A11" s="17" t="s">
        <v>11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>
        <v>0.17</v>
      </c>
      <c r="O11" s="19">
        <v>0.5</v>
      </c>
      <c r="P11" s="19">
        <v>0.3</v>
      </c>
    </row>
    <row r="12" ht="15.75" customHeight="1">
      <c r="A12" s="17" t="s">
        <v>12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>
        <v>0.17</v>
      </c>
      <c r="P12" s="19">
        <v>0.5</v>
      </c>
    </row>
    <row r="13" ht="15.75" customHeight="1">
      <c r="A13" s="17" t="s">
        <v>13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>
        <v>0.17</v>
      </c>
    </row>
    <row r="14" ht="15.75" customHeight="1">
      <c r="A14" s="20"/>
      <c r="B14" s="21" t="s">
        <v>14</v>
      </c>
      <c r="C14" s="21" t="s">
        <v>30</v>
      </c>
      <c r="D14" s="21" t="s">
        <v>31</v>
      </c>
      <c r="E14" s="21" t="s">
        <v>2</v>
      </c>
      <c r="F14" s="21" t="s">
        <v>3</v>
      </c>
      <c r="G14" s="21" t="s">
        <v>4</v>
      </c>
      <c r="H14" s="21" t="s">
        <v>5</v>
      </c>
      <c r="I14" s="21" t="s">
        <v>6</v>
      </c>
      <c r="J14" s="21" t="s">
        <v>7</v>
      </c>
      <c r="K14" s="21" t="s">
        <v>8</v>
      </c>
      <c r="L14" s="21" t="s">
        <v>9</v>
      </c>
      <c r="M14" s="21" t="s">
        <v>10</v>
      </c>
      <c r="N14" s="21" t="s">
        <v>11</v>
      </c>
      <c r="O14" s="21" t="s">
        <v>12</v>
      </c>
      <c r="P14" s="21" t="s">
        <v>13</v>
      </c>
    </row>
    <row r="15" ht="15.75" customHeight="1">
      <c r="A15" s="21" t="s">
        <v>2</v>
      </c>
      <c r="B15" s="19">
        <v>29.0</v>
      </c>
      <c r="C15" s="22"/>
      <c r="D15" s="22"/>
      <c r="E15" s="23">
        <f t="shared" ref="E15:H15" si="1">$B15*E2</f>
        <v>3.77</v>
      </c>
      <c r="F15" s="23">
        <f t="shared" si="1"/>
        <v>12.47</v>
      </c>
      <c r="G15" s="23">
        <f t="shared" si="1"/>
        <v>10.44</v>
      </c>
      <c r="H15" s="23">
        <f t="shared" si="1"/>
        <v>2.32</v>
      </c>
      <c r="I15" s="22"/>
      <c r="J15" s="22"/>
      <c r="K15" s="22"/>
      <c r="L15" s="22"/>
      <c r="M15" s="22"/>
      <c r="N15" s="22"/>
      <c r="O15" s="22"/>
      <c r="P15" s="22"/>
    </row>
    <row r="16" ht="15.75" customHeight="1">
      <c r="A16" s="21" t="s">
        <v>3</v>
      </c>
      <c r="B16" s="19">
        <f>15+11+6</f>
        <v>32</v>
      </c>
      <c r="C16" s="22"/>
      <c r="D16" s="22"/>
      <c r="E16" s="22"/>
      <c r="F16" s="23">
        <f t="shared" ref="F16:I16" si="2">$B16*F3</f>
        <v>4.16</v>
      </c>
      <c r="G16" s="23">
        <f t="shared" si="2"/>
        <v>13.76</v>
      </c>
      <c r="H16" s="23">
        <f t="shared" si="2"/>
        <v>11.52</v>
      </c>
      <c r="I16" s="23">
        <f t="shared" si="2"/>
        <v>2.56</v>
      </c>
      <c r="J16" s="22"/>
      <c r="K16" s="22"/>
      <c r="L16" s="22"/>
      <c r="M16" s="22"/>
      <c r="N16" s="22"/>
      <c r="O16" s="22"/>
      <c r="P16" s="22"/>
    </row>
    <row r="17" ht="15.75" customHeight="1">
      <c r="A17" s="21" t="s">
        <v>4</v>
      </c>
      <c r="B17" s="19">
        <f>30+19+20</f>
        <v>69</v>
      </c>
      <c r="C17" s="22"/>
      <c r="D17" s="22"/>
      <c r="E17" s="22"/>
      <c r="F17" s="22"/>
      <c r="G17" s="23">
        <f t="shared" ref="G17:J17" si="3">$B17*G4</f>
        <v>8.97</v>
      </c>
      <c r="H17" s="23">
        <f t="shared" si="3"/>
        <v>29.67</v>
      </c>
      <c r="I17" s="23">
        <f t="shared" si="3"/>
        <v>24.84</v>
      </c>
      <c r="J17" s="23">
        <f t="shared" si="3"/>
        <v>5.52</v>
      </c>
      <c r="K17" s="22"/>
      <c r="L17" s="22"/>
      <c r="M17" s="22"/>
      <c r="N17" s="22"/>
      <c r="O17" s="22"/>
      <c r="P17" s="22"/>
    </row>
    <row r="18" ht="15.75" customHeight="1">
      <c r="A18" s="21" t="s">
        <v>5</v>
      </c>
      <c r="B18" s="19">
        <f>16+28+16</f>
        <v>60</v>
      </c>
      <c r="C18" s="22"/>
      <c r="D18" s="22"/>
      <c r="E18" s="22"/>
      <c r="F18" s="22"/>
      <c r="G18" s="22"/>
      <c r="H18" s="23">
        <f t="shared" ref="H18:K18" si="4">$B18*H5</f>
        <v>7.8</v>
      </c>
      <c r="I18" s="23">
        <f t="shared" si="4"/>
        <v>25.8</v>
      </c>
      <c r="J18" s="23">
        <f t="shared" si="4"/>
        <v>21.6</v>
      </c>
      <c r="K18" s="23">
        <f t="shared" si="4"/>
        <v>4.8</v>
      </c>
      <c r="L18" s="22"/>
      <c r="M18" s="22"/>
      <c r="N18" s="22"/>
      <c r="O18" s="22"/>
      <c r="P18" s="22"/>
    </row>
    <row r="19" ht="15.75" customHeight="1">
      <c r="A19" s="21" t="s">
        <v>6</v>
      </c>
      <c r="B19" s="19">
        <f>16+23+34</f>
        <v>73</v>
      </c>
      <c r="C19" s="22"/>
      <c r="D19" s="23">
        <v>657933.0</v>
      </c>
      <c r="E19" s="22"/>
      <c r="F19" s="22"/>
      <c r="G19" s="22"/>
      <c r="H19" s="22"/>
      <c r="I19" s="23">
        <f t="shared" ref="I19:L19" si="5">$B19*I6</f>
        <v>9.49</v>
      </c>
      <c r="J19" s="23">
        <f t="shared" si="5"/>
        <v>31.39</v>
      </c>
      <c r="K19" s="23">
        <f t="shared" si="5"/>
        <v>26.28</v>
      </c>
      <c r="L19" s="23">
        <f t="shared" si="5"/>
        <v>5.84</v>
      </c>
      <c r="M19" s="22"/>
      <c r="N19" s="22"/>
      <c r="O19" s="22"/>
      <c r="P19" s="22"/>
    </row>
    <row r="20" ht="15.75" customHeight="1">
      <c r="A20" s="21" t="s">
        <v>7</v>
      </c>
      <c r="B20" s="24">
        <v>76.0</v>
      </c>
      <c r="C20" s="22"/>
      <c r="D20" s="23">
        <v>852976.0</v>
      </c>
      <c r="E20" s="22"/>
      <c r="F20" s="22"/>
      <c r="G20" s="22"/>
      <c r="H20" s="22"/>
      <c r="I20" s="22"/>
      <c r="J20" s="23">
        <f t="shared" ref="J20:M20" si="6">$B20*J7</f>
        <v>9.88</v>
      </c>
      <c r="K20" s="23">
        <f t="shared" si="6"/>
        <v>32.68</v>
      </c>
      <c r="L20" s="23">
        <f t="shared" si="6"/>
        <v>27.36</v>
      </c>
      <c r="M20" s="23">
        <f t="shared" si="6"/>
        <v>6.08</v>
      </c>
      <c r="N20" s="22"/>
      <c r="O20" s="22"/>
      <c r="P20" s="22"/>
    </row>
    <row r="21" ht="15.75" customHeight="1">
      <c r="A21" s="21" t="s">
        <v>8</v>
      </c>
      <c r="B21" s="23">
        <f>23*3.5</f>
        <v>80.5</v>
      </c>
      <c r="C21" s="23">
        <f>B21*0.7</f>
        <v>56.35</v>
      </c>
      <c r="D21" s="23">
        <v>1038700.0</v>
      </c>
      <c r="E21" s="22"/>
      <c r="F21" s="22"/>
      <c r="G21" s="22"/>
      <c r="H21" s="22"/>
      <c r="I21" s="22"/>
      <c r="J21" s="22"/>
      <c r="K21" s="23">
        <f t="shared" ref="K21:N21" si="7">$B21*K8</f>
        <v>10.465</v>
      </c>
      <c r="L21" s="23">
        <f t="shared" si="7"/>
        <v>34.615</v>
      </c>
      <c r="M21" s="23">
        <f t="shared" si="7"/>
        <v>28.98</v>
      </c>
      <c r="N21" s="23">
        <f t="shared" si="7"/>
        <v>6.44</v>
      </c>
      <c r="O21" s="22"/>
      <c r="P21" s="22"/>
    </row>
    <row r="22" ht="15.75" customHeight="1">
      <c r="A22" s="21" t="s">
        <v>9</v>
      </c>
      <c r="B22" s="23">
        <f>32*3.5</f>
        <v>112</v>
      </c>
      <c r="C22" s="23">
        <f t="shared" ref="C22:C26" si="9">B22*0.75</f>
        <v>84</v>
      </c>
      <c r="D22" s="23">
        <v>834200.0</v>
      </c>
      <c r="E22" s="22"/>
      <c r="F22" s="22"/>
      <c r="G22" s="22"/>
      <c r="H22" s="22"/>
      <c r="I22" s="22"/>
      <c r="J22" s="22"/>
      <c r="K22" s="22"/>
      <c r="L22" s="23">
        <f t="shared" ref="L22:O22" si="8">$B22*L9</f>
        <v>14.56</v>
      </c>
      <c r="M22" s="23">
        <f t="shared" si="8"/>
        <v>48.16</v>
      </c>
      <c r="N22" s="23">
        <f t="shared" si="8"/>
        <v>40.32</v>
      </c>
      <c r="O22" s="23">
        <f t="shared" si="8"/>
        <v>8.96</v>
      </c>
      <c r="P22" s="22"/>
    </row>
    <row r="23" ht="15.75" customHeight="1">
      <c r="A23" s="21" t="s">
        <v>10</v>
      </c>
      <c r="B23" s="23">
        <f>26*3.5</f>
        <v>91</v>
      </c>
      <c r="C23" s="23">
        <f t="shared" si="9"/>
        <v>68.25</v>
      </c>
      <c r="D23" s="25">
        <v>645203.0</v>
      </c>
      <c r="E23" s="22"/>
      <c r="F23" s="22"/>
      <c r="G23" s="22"/>
      <c r="H23" s="22"/>
      <c r="I23" s="22"/>
      <c r="J23" s="22"/>
      <c r="K23" s="22"/>
      <c r="L23" s="22"/>
      <c r="M23" s="23">
        <f t="shared" ref="M23:P23" si="10">$B23*M10</f>
        <v>15.47</v>
      </c>
      <c r="N23" s="23">
        <f t="shared" si="10"/>
        <v>45.5</v>
      </c>
      <c r="O23" s="23">
        <f t="shared" si="10"/>
        <v>27.3</v>
      </c>
      <c r="P23" s="23">
        <f t="shared" si="10"/>
        <v>2.73</v>
      </c>
      <c r="Q23" s="13">
        <f t="shared" ref="Q23:Q26" si="12">D23/C23</f>
        <v>9453.52381</v>
      </c>
    </row>
    <row r="24" ht="15.75" customHeight="1">
      <c r="A24" s="21" t="s">
        <v>11</v>
      </c>
      <c r="B24" s="23">
        <f>34*3.5</f>
        <v>119</v>
      </c>
      <c r="C24" s="23">
        <f t="shared" si="9"/>
        <v>89.25</v>
      </c>
      <c r="D24" s="23">
        <v>677625.0</v>
      </c>
      <c r="E24" s="22"/>
      <c r="F24" s="22"/>
      <c r="G24" s="22"/>
      <c r="H24" s="22"/>
      <c r="I24" s="22"/>
      <c r="J24" s="22"/>
      <c r="K24" s="22"/>
      <c r="L24" s="22"/>
      <c r="M24" s="22"/>
      <c r="N24" s="23">
        <f t="shared" ref="N24:P24" si="11">$B24*N11</f>
        <v>20.23</v>
      </c>
      <c r="O24" s="23">
        <f t="shared" si="11"/>
        <v>59.5</v>
      </c>
      <c r="P24" s="23">
        <f t="shared" si="11"/>
        <v>35.7</v>
      </c>
      <c r="Q24" s="13">
        <f t="shared" si="12"/>
        <v>7592.436975</v>
      </c>
    </row>
    <row r="25" ht="15.75" customHeight="1">
      <c r="A25" s="21" t="s">
        <v>12</v>
      </c>
      <c r="B25" s="23">
        <f t="shared" ref="B25:B26" si="14">35*3.5</f>
        <v>122.5</v>
      </c>
      <c r="C25" s="23">
        <f t="shared" si="9"/>
        <v>91.875</v>
      </c>
      <c r="D25" s="23">
        <v>616219.0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>
        <f t="shared" ref="O25:P25" si="13">$B25*O12</f>
        <v>20.825</v>
      </c>
      <c r="P25" s="23">
        <f t="shared" si="13"/>
        <v>61.25</v>
      </c>
      <c r="Q25" s="13">
        <f t="shared" si="12"/>
        <v>6707.145578</v>
      </c>
    </row>
    <row r="26" ht="15.75" customHeight="1">
      <c r="A26" s="21" t="s">
        <v>13</v>
      </c>
      <c r="B26" s="23">
        <f t="shared" si="14"/>
        <v>122.5</v>
      </c>
      <c r="C26" s="23">
        <f t="shared" si="9"/>
        <v>91.875</v>
      </c>
      <c r="D26" s="23">
        <v>616219.0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>
        <f>$B26*P13</f>
        <v>20.825</v>
      </c>
      <c r="Q26" s="13">
        <f t="shared" si="12"/>
        <v>6707.145578</v>
      </c>
    </row>
    <row r="27" ht="15.75" customHeight="1">
      <c r="A27" s="26" t="s">
        <v>15</v>
      </c>
      <c r="B27" s="18"/>
      <c r="C27" s="27"/>
      <c r="D27" s="27"/>
      <c r="E27" s="28">
        <f t="shared" ref="E27:P27" si="15">sum(E15:E26)</f>
        <v>3.77</v>
      </c>
      <c r="F27" s="28">
        <f t="shared" si="15"/>
        <v>16.63</v>
      </c>
      <c r="G27" s="28">
        <f t="shared" si="15"/>
        <v>33.17</v>
      </c>
      <c r="H27" s="28">
        <f t="shared" si="15"/>
        <v>51.31</v>
      </c>
      <c r="I27" s="28">
        <f t="shared" si="15"/>
        <v>62.69</v>
      </c>
      <c r="J27" s="28">
        <f t="shared" si="15"/>
        <v>68.39</v>
      </c>
      <c r="K27" s="28">
        <f t="shared" si="15"/>
        <v>74.225</v>
      </c>
      <c r="L27" s="28">
        <f t="shared" si="15"/>
        <v>82.375</v>
      </c>
      <c r="M27" s="28">
        <f t="shared" si="15"/>
        <v>98.69</v>
      </c>
      <c r="N27" s="28">
        <f t="shared" si="15"/>
        <v>112.49</v>
      </c>
      <c r="O27" s="28">
        <f t="shared" si="15"/>
        <v>116.585</v>
      </c>
      <c r="P27" s="28">
        <f t="shared" si="15"/>
        <v>120.505</v>
      </c>
    </row>
    <row r="28" ht="15.75" customHeight="1">
      <c r="A28" s="26" t="s">
        <v>32</v>
      </c>
      <c r="B28" s="18"/>
      <c r="C28" s="22"/>
      <c r="D28" s="22"/>
      <c r="E28" s="23" t="s">
        <v>18</v>
      </c>
      <c r="F28" s="23" t="s">
        <v>18</v>
      </c>
      <c r="G28" s="23" t="s">
        <v>18</v>
      </c>
      <c r="H28" s="23" t="s">
        <v>18</v>
      </c>
      <c r="I28" s="23">
        <v>582000.0</v>
      </c>
      <c r="J28" s="23">
        <v>749000.0</v>
      </c>
      <c r="K28" s="23">
        <v>1041247.0</v>
      </c>
      <c r="L28" s="23">
        <v>1428099.0</v>
      </c>
      <c r="M28" s="23">
        <f>($J$28/$I$28)*L28</f>
        <v>1837879.985</v>
      </c>
      <c r="N28" s="23">
        <f t="shared" ref="N28:P28" si="16">M28</f>
        <v>1837879.985</v>
      </c>
      <c r="O28" s="23">
        <f t="shared" si="16"/>
        <v>1837879.985</v>
      </c>
      <c r="P28" s="23">
        <f t="shared" si="16"/>
        <v>1837879.985</v>
      </c>
    </row>
    <row r="29" ht="15.75" customHeight="1">
      <c r="A29" s="26" t="s">
        <v>17</v>
      </c>
      <c r="B29" s="18"/>
      <c r="C29" s="22"/>
      <c r="D29" s="22"/>
      <c r="E29" s="23" t="s">
        <v>18</v>
      </c>
      <c r="F29" s="23" t="s">
        <v>18</v>
      </c>
      <c r="G29" s="23" t="s">
        <v>18</v>
      </c>
      <c r="H29" s="23" t="s">
        <v>18</v>
      </c>
      <c r="I29" s="23">
        <f>3267624+I28</f>
        <v>3849624</v>
      </c>
      <c r="J29" s="23">
        <f t="shared" ref="J29:P29" si="17">I29+J28</f>
        <v>4598624</v>
      </c>
      <c r="K29" s="23">
        <f t="shared" si="17"/>
        <v>5639871</v>
      </c>
      <c r="L29" s="23">
        <f t="shared" si="17"/>
        <v>7067970</v>
      </c>
      <c r="M29" s="23">
        <f t="shared" si="17"/>
        <v>8905849.985</v>
      </c>
      <c r="N29" s="23">
        <f t="shared" si="17"/>
        <v>10743729.97</v>
      </c>
      <c r="O29" s="23">
        <f t="shared" si="17"/>
        <v>12581609.95</v>
      </c>
      <c r="P29" s="23">
        <f t="shared" si="17"/>
        <v>14419489.94</v>
      </c>
    </row>
    <row r="30" ht="15.75" customHeight="1">
      <c r="A30" s="26" t="s">
        <v>19</v>
      </c>
      <c r="B30" s="18"/>
      <c r="C30" s="22"/>
      <c r="D30" s="22"/>
      <c r="E30" s="23">
        <v>35000.0</v>
      </c>
      <c r="F30" s="23">
        <v>35000.0</v>
      </c>
      <c r="G30" s="23">
        <v>35000.0</v>
      </c>
      <c r="H30" s="23">
        <v>35000.0</v>
      </c>
      <c r="I30" s="23">
        <v>35000.0</v>
      </c>
      <c r="J30" s="23">
        <v>35000.0</v>
      </c>
      <c r="K30" s="23">
        <v>45000.0</v>
      </c>
      <c r="L30" s="23">
        <v>45000.0</v>
      </c>
      <c r="M30" s="23">
        <v>45000.0</v>
      </c>
      <c r="N30" s="23">
        <v>45000.0</v>
      </c>
      <c r="O30" s="23">
        <v>45000.0</v>
      </c>
      <c r="P30" s="23">
        <v>45000.0</v>
      </c>
    </row>
    <row r="31" ht="15.75" customHeight="1">
      <c r="A31" s="26" t="s">
        <v>20</v>
      </c>
      <c r="B31" s="18"/>
      <c r="C31" s="18"/>
      <c r="D31" s="18"/>
      <c r="E31" s="19">
        <v>2.0</v>
      </c>
      <c r="F31" s="19">
        <v>2.0</v>
      </c>
      <c r="G31" s="19">
        <v>2.0</v>
      </c>
      <c r="H31" s="19">
        <v>2.0</v>
      </c>
      <c r="I31" s="19">
        <v>2.0</v>
      </c>
      <c r="J31" s="19">
        <v>2.5</v>
      </c>
      <c r="K31" s="19">
        <v>3.0</v>
      </c>
      <c r="L31" s="19">
        <v>3.0</v>
      </c>
      <c r="M31" s="19">
        <v>3.0</v>
      </c>
      <c r="N31" s="19">
        <v>3.0</v>
      </c>
      <c r="O31" s="19">
        <v>3.0</v>
      </c>
      <c r="P31" s="19">
        <v>3.0</v>
      </c>
    </row>
    <row r="32" ht="15.75" customHeight="1">
      <c r="A32" s="26" t="s">
        <v>21</v>
      </c>
      <c r="B32" s="18"/>
      <c r="C32" s="22"/>
      <c r="D32" s="22"/>
      <c r="E32" s="23" t="s">
        <v>18</v>
      </c>
      <c r="F32" s="23" t="s">
        <v>18</v>
      </c>
      <c r="G32" s="23" t="s">
        <v>18</v>
      </c>
      <c r="H32" s="23" t="s">
        <v>18</v>
      </c>
      <c r="I32" s="23">
        <f t="shared" ref="I32:P32" si="18">(I28/I30)*I31</f>
        <v>33.25714286</v>
      </c>
      <c r="J32" s="23">
        <f t="shared" si="18"/>
        <v>53.5</v>
      </c>
      <c r="K32" s="23">
        <f t="shared" si="18"/>
        <v>69.41646667</v>
      </c>
      <c r="L32" s="23">
        <f t="shared" si="18"/>
        <v>95.2066</v>
      </c>
      <c r="M32" s="23">
        <f t="shared" si="18"/>
        <v>122.5253323</v>
      </c>
      <c r="N32" s="23">
        <f t="shared" si="18"/>
        <v>122.5253323</v>
      </c>
      <c r="O32" s="23">
        <f t="shared" si="18"/>
        <v>122.5253323</v>
      </c>
      <c r="P32" s="23">
        <f t="shared" si="18"/>
        <v>122.5253323</v>
      </c>
    </row>
    <row r="33" ht="15.75" customHeight="1">
      <c r="A33" s="26" t="s">
        <v>22</v>
      </c>
      <c r="B33" s="18"/>
      <c r="C33" s="18"/>
      <c r="D33" s="18"/>
      <c r="E33" s="19" t="s">
        <v>18</v>
      </c>
      <c r="F33" s="19" t="s">
        <v>18</v>
      </c>
      <c r="G33" s="19" t="s">
        <v>18</v>
      </c>
      <c r="H33" s="19" t="s">
        <v>18</v>
      </c>
      <c r="I33" s="23">
        <f t="shared" ref="I33:P33" si="19">I32-I27</f>
        <v>-29.43285714</v>
      </c>
      <c r="J33" s="23">
        <f t="shared" si="19"/>
        <v>-14.89</v>
      </c>
      <c r="K33" s="23">
        <f t="shared" si="19"/>
        <v>-4.808533333</v>
      </c>
      <c r="L33" s="23">
        <f t="shared" si="19"/>
        <v>12.8316</v>
      </c>
      <c r="M33" s="23">
        <f t="shared" si="19"/>
        <v>23.8353323</v>
      </c>
      <c r="N33" s="23">
        <f t="shared" si="19"/>
        <v>10.0353323</v>
      </c>
      <c r="O33" s="23">
        <f t="shared" si="19"/>
        <v>5.940332302</v>
      </c>
      <c r="P33" s="23">
        <f t="shared" si="19"/>
        <v>2.020332302</v>
      </c>
    </row>
    <row r="34" ht="15.75" customHeight="1">
      <c r="A34" s="29" t="s">
        <v>23</v>
      </c>
      <c r="B34" s="18"/>
      <c r="C34" s="18"/>
      <c r="D34" s="18"/>
      <c r="E34" s="19" t="s">
        <v>33</v>
      </c>
      <c r="F34" s="19" t="s">
        <v>33</v>
      </c>
      <c r="G34" s="19" t="s">
        <v>33</v>
      </c>
      <c r="H34" s="19" t="s">
        <v>33</v>
      </c>
      <c r="I34" s="30">
        <f t="shared" ref="I34:P34" si="20">I27/I32</f>
        <v>1.885008591</v>
      </c>
      <c r="J34" s="30">
        <f t="shared" si="20"/>
        <v>1.278317757</v>
      </c>
      <c r="K34" s="30">
        <f t="shared" si="20"/>
        <v>1.069270788</v>
      </c>
      <c r="L34" s="30">
        <f t="shared" si="20"/>
        <v>0.8652236295</v>
      </c>
      <c r="M34" s="30">
        <f t="shared" si="20"/>
        <v>0.8054660873</v>
      </c>
      <c r="N34" s="30">
        <f t="shared" si="20"/>
        <v>0.9180958573</v>
      </c>
      <c r="O34" s="30">
        <f t="shared" si="20"/>
        <v>0.9515175173</v>
      </c>
      <c r="P34" s="30">
        <f t="shared" si="20"/>
        <v>0.9835109013</v>
      </c>
    </row>
    <row r="35" ht="15.75" customHeight="1">
      <c r="A35" s="31" t="s">
        <v>24</v>
      </c>
      <c r="B35" s="31"/>
      <c r="C35" s="31"/>
      <c r="D35" s="31"/>
      <c r="E35" s="31">
        <v>0.0</v>
      </c>
      <c r="F35" s="31">
        <v>0.0</v>
      </c>
      <c r="G35" s="31">
        <v>0.0</v>
      </c>
      <c r="H35" s="31">
        <v>1.0</v>
      </c>
      <c r="I35" s="31">
        <v>1.0</v>
      </c>
      <c r="J35" s="31">
        <v>1.0</v>
      </c>
      <c r="K35" s="31">
        <v>5.0</v>
      </c>
      <c r="L35" s="31">
        <v>5.0</v>
      </c>
      <c r="M35" s="31">
        <v>7.0</v>
      </c>
      <c r="N35" s="31">
        <v>9.0</v>
      </c>
      <c r="O35" s="31">
        <v>9.0</v>
      </c>
      <c r="P35" s="31">
        <v>9.0</v>
      </c>
    </row>
    <row r="36" ht="15.75" customHeight="1">
      <c r="A36" s="31" t="s">
        <v>25</v>
      </c>
      <c r="B36" s="31"/>
      <c r="C36" s="31"/>
      <c r="D36" s="31"/>
      <c r="E36" s="31">
        <f t="shared" ref="E36:P36" si="21">E35*13</f>
        <v>0</v>
      </c>
      <c r="F36" s="31">
        <f t="shared" si="21"/>
        <v>0</v>
      </c>
      <c r="G36" s="31">
        <f t="shared" si="21"/>
        <v>0</v>
      </c>
      <c r="H36" s="31">
        <f t="shared" si="21"/>
        <v>13</v>
      </c>
      <c r="I36" s="31">
        <f t="shared" si="21"/>
        <v>13</v>
      </c>
      <c r="J36" s="31">
        <f t="shared" si="21"/>
        <v>13</v>
      </c>
      <c r="K36" s="31">
        <f t="shared" si="21"/>
        <v>65</v>
      </c>
      <c r="L36" s="31">
        <f t="shared" si="21"/>
        <v>65</v>
      </c>
      <c r="M36" s="31">
        <f t="shared" si="21"/>
        <v>91</v>
      </c>
      <c r="N36" s="31">
        <f t="shared" si="21"/>
        <v>117</v>
      </c>
      <c r="O36" s="31">
        <f t="shared" si="21"/>
        <v>117</v>
      </c>
      <c r="P36" s="31">
        <f t="shared" si="21"/>
        <v>117</v>
      </c>
    </row>
    <row r="37" ht="15.75" customHeight="1">
      <c r="A37" s="31" t="s">
        <v>26</v>
      </c>
      <c r="B37" s="31"/>
      <c r="C37" s="31"/>
      <c r="D37" s="31"/>
      <c r="E37" s="31" t="s">
        <v>18</v>
      </c>
      <c r="F37" s="31" t="s">
        <v>18</v>
      </c>
      <c r="G37" s="31" t="s">
        <v>18</v>
      </c>
      <c r="H37" s="31" t="s">
        <v>18</v>
      </c>
      <c r="I37" s="25">
        <f t="shared" ref="I37:P37" si="22">I36-I32</f>
        <v>-20.25714286</v>
      </c>
      <c r="J37" s="25">
        <f t="shared" si="22"/>
        <v>-40.5</v>
      </c>
      <c r="K37" s="25">
        <f t="shared" si="22"/>
        <v>-4.416466667</v>
      </c>
      <c r="L37" s="25">
        <f t="shared" si="22"/>
        <v>-30.2066</v>
      </c>
      <c r="M37" s="25">
        <f t="shared" si="22"/>
        <v>-31.5253323</v>
      </c>
      <c r="N37" s="25">
        <f t="shared" si="22"/>
        <v>-5.525332302</v>
      </c>
      <c r="O37" s="25">
        <f t="shared" si="22"/>
        <v>-5.525332302</v>
      </c>
      <c r="P37" s="25">
        <f t="shared" si="22"/>
        <v>-5.525332302</v>
      </c>
    </row>
    <row r="38" ht="15.75" customHeight="1"/>
    <row r="39" ht="15.75" customHeight="1"/>
    <row r="40" ht="15.75" customHeight="1">
      <c r="A40" s="13" t="s">
        <v>27</v>
      </c>
      <c r="B40" s="13">
        <v>152.0</v>
      </c>
    </row>
    <row r="41" ht="15.75" customHeight="1">
      <c r="A41" s="13" t="s">
        <v>28</v>
      </c>
      <c r="B41" s="14">
        <f>sum(B21:B22)</f>
        <v>192.5</v>
      </c>
    </row>
    <row r="42" ht="15.75" customHeight="1">
      <c r="A42" s="15" t="s">
        <v>29</v>
      </c>
      <c r="B42" s="16">
        <f>B41-B40</f>
        <v>40.5</v>
      </c>
    </row>
    <row r="43" ht="15.75" customHeight="1"/>
    <row r="44" ht="15.75" customHeight="1"/>
    <row r="45" ht="15.75" customHeight="1"/>
    <row r="46" ht="15.75" customHeight="1"/>
    <row r="47" ht="15.75" customHeight="1">
      <c r="A47" s="32" t="s">
        <v>34</v>
      </c>
      <c r="M47" s="14">
        <v>1416002.0</v>
      </c>
      <c r="N47" s="14">
        <v>1522002.0</v>
      </c>
      <c r="O47" s="14">
        <v>1618000.0</v>
      </c>
      <c r="P47" s="14">
        <v>1756002.0</v>
      </c>
    </row>
    <row r="48" ht="15.75" customHeight="1">
      <c r="A48" s="32" t="s">
        <v>35</v>
      </c>
      <c r="M48" s="14">
        <v>344422.0</v>
      </c>
      <c r="N48" s="14">
        <v>340265.0</v>
      </c>
      <c r="O48" s="14">
        <v>527572.0</v>
      </c>
      <c r="P48" s="14">
        <v>926325.0</v>
      </c>
    </row>
    <row r="49" ht="15.75" customHeight="1">
      <c r="A49" s="32" t="s">
        <v>36</v>
      </c>
      <c r="M49" s="14">
        <v>1148072.0</v>
      </c>
      <c r="N49" s="14">
        <v>1134217.0</v>
      </c>
      <c r="O49" s="14">
        <v>1758574.0</v>
      </c>
      <c r="P49" s="14">
        <v>3087751.0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34:P34">
    <cfRule type="cellIs" dxfId="0" priority="1" operator="greaterThanOrEqual">
      <formula>0.9</formula>
    </cfRule>
  </conditionalFormatting>
  <conditionalFormatting sqref="C34:P34">
    <cfRule type="cellIs" dxfId="1" priority="2" operator="between">
      <formula>0.7</formula>
      <formula>0.9</formula>
    </cfRule>
  </conditionalFormatting>
  <conditionalFormatting sqref="C34:P34">
    <cfRule type="cellIs" dxfId="2" priority="3" operator="lessThan">
      <formula>0.7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6" width="12.63"/>
  </cols>
  <sheetData>
    <row r="1" ht="15.75" customHeight="1">
      <c r="B1" s="13" t="s">
        <v>37</v>
      </c>
      <c r="C1" s="13" t="s">
        <v>38</v>
      </c>
      <c r="D1" s="13" t="s">
        <v>39</v>
      </c>
    </row>
    <row r="2" ht="15.75" customHeight="1">
      <c r="A2" s="13" t="s">
        <v>40</v>
      </c>
      <c r="B2" s="14">
        <v>1.07E7</v>
      </c>
      <c r="C2" s="14">
        <v>6455827.0</v>
      </c>
      <c r="D2" s="33">
        <f t="shared" ref="D2:D6" si="1">(B2-C2)/C2</f>
        <v>0.6574173998</v>
      </c>
    </row>
    <row r="3" ht="15.75" customHeight="1">
      <c r="A3" s="13" t="s">
        <v>41</v>
      </c>
      <c r="B3" s="14">
        <v>1.29E7</v>
      </c>
      <c r="C3" s="14">
        <v>6455827.0</v>
      </c>
      <c r="D3" s="33">
        <f t="shared" si="1"/>
        <v>0.9981948091</v>
      </c>
    </row>
    <row r="4" ht="15.75" customHeight="1">
      <c r="A4" s="13" t="s">
        <v>42</v>
      </c>
      <c r="B4" s="14">
        <v>1.36E7</v>
      </c>
      <c r="C4" s="14">
        <v>6455827.0</v>
      </c>
      <c r="D4" s="33">
        <f t="shared" si="1"/>
        <v>1.106623985</v>
      </c>
    </row>
    <row r="5" ht="15.75" customHeight="1">
      <c r="A5" s="13" t="s">
        <v>43</v>
      </c>
      <c r="B5" s="14">
        <f>'2023-AS IS'!X40</f>
        <v>10425660.68</v>
      </c>
      <c r="C5" s="14">
        <v>6455827.0</v>
      </c>
      <c r="D5" s="33">
        <f t="shared" si="1"/>
        <v>0.6149225619</v>
      </c>
    </row>
    <row r="6" ht="15.75" customHeight="1">
      <c r="A6" s="13" t="s">
        <v>44</v>
      </c>
      <c r="B6" s="14">
        <f>'2023-TO BE'!X40</f>
        <v>11409396.46</v>
      </c>
      <c r="C6" s="14">
        <v>6455827.0</v>
      </c>
      <c r="D6" s="33">
        <f t="shared" si="1"/>
        <v>0.7673020766</v>
      </c>
    </row>
    <row r="7" ht="15.75" customHeight="1"/>
    <row r="8" ht="15.75" customHeight="1">
      <c r="A8" s="13" t="s">
        <v>45</v>
      </c>
      <c r="B8" s="13">
        <f>sum('2023-AS IS'!B23:B26)</f>
        <v>588</v>
      </c>
    </row>
    <row r="9" ht="15.75" customHeight="1">
      <c r="A9" s="13" t="s">
        <v>46</v>
      </c>
      <c r="B9" s="14">
        <f>79/110*B8</f>
        <v>422.2909091</v>
      </c>
    </row>
    <row r="10" ht="15.75" customHeight="1">
      <c r="A10" s="13" t="s">
        <v>47</v>
      </c>
      <c r="B10" s="14">
        <f>B8-B9</f>
        <v>165.7090909</v>
      </c>
    </row>
    <row r="11" ht="15.75" customHeight="1">
      <c r="A11" s="13" t="s">
        <v>48</v>
      </c>
      <c r="B11" s="34">
        <f>(sum('2023-TO BE'!B23:B26)-B8)*1.1</f>
        <v>136.4</v>
      </c>
    </row>
    <row r="12" ht="15.75" customHeight="1">
      <c r="A12" s="13" t="s">
        <v>49</v>
      </c>
      <c r="B12" s="14">
        <f>B11-B13</f>
        <v>78.74</v>
      </c>
      <c r="C12" s="35"/>
    </row>
    <row r="13" ht="15.75" customHeight="1">
      <c r="A13" s="13" t="s">
        <v>50</v>
      </c>
      <c r="B13" s="14">
        <f>(B10/B8)*0.15/0.1*B11</f>
        <v>57.66</v>
      </c>
    </row>
    <row r="14" ht="15.75" customHeight="1">
      <c r="A14" s="13" t="s">
        <v>51</v>
      </c>
      <c r="B14" s="14">
        <f>B12/0.25</f>
        <v>314.96</v>
      </c>
    </row>
    <row r="15" ht="15.75" customHeight="1">
      <c r="A15" s="13" t="s">
        <v>52</v>
      </c>
      <c r="B15" s="14">
        <f>B14*'2023-TO BE'!Y26*0.09</f>
        <v>275779.712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2" max="6" width="5.88"/>
    <col customWidth="1" min="7" max="7" width="5.63"/>
    <col customWidth="1" min="8" max="8" width="6.25"/>
    <col customWidth="1" min="9" max="9" width="6.75"/>
    <col customWidth="1" min="10" max="10" width="5.25"/>
    <col customWidth="1" hidden="1" min="11" max="11" width="14.0"/>
    <col customWidth="1" hidden="1" min="12" max="12" width="9.25"/>
    <col customWidth="1" hidden="1" min="13" max="16" width="6.63"/>
    <col customWidth="1" hidden="1" min="17" max="17" width="7.63"/>
    <col customWidth="1" hidden="1" min="18" max="18" width="7.5"/>
    <col customWidth="1" hidden="1" min="19" max="19" width="8.75"/>
    <col customWidth="1" hidden="1" min="20" max="20" width="8.38"/>
    <col customWidth="1" min="21" max="24" width="9.38"/>
    <col customWidth="1" hidden="1" min="25" max="25" width="15.0"/>
    <col customWidth="1" min="26" max="26" width="13.5"/>
  </cols>
  <sheetData>
    <row r="1" ht="15.75" customHeight="1">
      <c r="A1" s="17" t="s">
        <v>0</v>
      </c>
      <c r="B1" s="17"/>
      <c r="C1" s="17" t="s">
        <v>7</v>
      </c>
      <c r="D1" s="17" t="s">
        <v>8</v>
      </c>
      <c r="E1" s="17" t="s">
        <v>9</v>
      </c>
      <c r="F1" s="17" t="s">
        <v>10</v>
      </c>
      <c r="G1" s="17" t="s">
        <v>11</v>
      </c>
      <c r="H1" s="17" t="s">
        <v>12</v>
      </c>
      <c r="I1" s="17" t="s">
        <v>13</v>
      </c>
      <c r="J1" s="17" t="s">
        <v>1</v>
      </c>
      <c r="K1" s="17"/>
      <c r="L1" s="17"/>
      <c r="M1" s="17" t="s">
        <v>2</v>
      </c>
      <c r="N1" s="17" t="s">
        <v>3</v>
      </c>
      <c r="O1" s="17" t="s">
        <v>4</v>
      </c>
      <c r="P1" s="17" t="s">
        <v>5</v>
      </c>
      <c r="Q1" s="17" t="s">
        <v>6</v>
      </c>
      <c r="R1" s="17" t="s">
        <v>7</v>
      </c>
      <c r="S1" s="17" t="s">
        <v>8</v>
      </c>
      <c r="T1" s="17" t="s">
        <v>9</v>
      </c>
      <c r="U1" s="17" t="s">
        <v>10</v>
      </c>
      <c r="V1" s="17" t="s">
        <v>11</v>
      </c>
      <c r="W1" s="17" t="s">
        <v>12</v>
      </c>
      <c r="X1" s="17" t="s">
        <v>13</v>
      </c>
      <c r="Y1" s="36" t="s">
        <v>53</v>
      </c>
    </row>
    <row r="2" ht="15.75" hidden="1" customHeight="1">
      <c r="A2" s="17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>
        <v>0.13</v>
      </c>
      <c r="N2" s="19">
        <v>0.43</v>
      </c>
      <c r="O2" s="19">
        <v>0.36</v>
      </c>
      <c r="P2" s="19">
        <v>0.08</v>
      </c>
      <c r="Q2" s="18"/>
      <c r="R2" s="18"/>
      <c r="S2" s="18"/>
      <c r="T2" s="18"/>
      <c r="U2" s="18"/>
      <c r="V2" s="18"/>
      <c r="W2" s="18"/>
      <c r="X2" s="18"/>
      <c r="Y2" s="3"/>
    </row>
    <row r="3" ht="15.75" hidden="1" customHeight="1">
      <c r="A3" s="17" t="s">
        <v>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9">
        <v>0.13</v>
      </c>
      <c r="O3" s="19">
        <v>0.43</v>
      </c>
      <c r="P3" s="19">
        <v>0.36</v>
      </c>
      <c r="Q3" s="19">
        <v>0.08</v>
      </c>
      <c r="R3" s="18"/>
      <c r="S3" s="18"/>
      <c r="T3" s="18"/>
      <c r="U3" s="18"/>
      <c r="V3" s="18"/>
      <c r="W3" s="18"/>
      <c r="X3" s="18"/>
      <c r="Y3" s="3"/>
    </row>
    <row r="4" ht="15.75" hidden="1" customHeight="1">
      <c r="A4" s="17" t="s">
        <v>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>
        <v>0.13</v>
      </c>
      <c r="P4" s="19">
        <v>0.43</v>
      </c>
      <c r="Q4" s="19">
        <v>0.36</v>
      </c>
      <c r="R4" s="19">
        <v>0.08</v>
      </c>
      <c r="S4" s="18"/>
      <c r="T4" s="18"/>
      <c r="U4" s="18"/>
      <c r="V4" s="18"/>
      <c r="W4" s="18"/>
      <c r="X4" s="18"/>
      <c r="Y4" s="3"/>
    </row>
    <row r="5" ht="15.75" hidden="1" customHeight="1">
      <c r="A5" s="17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>
        <v>0.13</v>
      </c>
      <c r="Q5" s="19">
        <v>0.43</v>
      </c>
      <c r="R5" s="19">
        <v>0.36</v>
      </c>
      <c r="S5" s="19">
        <v>0.08</v>
      </c>
      <c r="T5" s="18"/>
      <c r="U5" s="18"/>
      <c r="V5" s="18"/>
      <c r="W5" s="18"/>
      <c r="X5" s="18"/>
      <c r="Y5" s="3"/>
    </row>
    <row r="6" ht="15.75" customHeight="1">
      <c r="A6" s="17" t="s">
        <v>6</v>
      </c>
      <c r="B6" s="18"/>
      <c r="C6" s="30">
        <v>0.1</v>
      </c>
      <c r="D6" s="30">
        <v>0.01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0">
        <v>0.13</v>
      </c>
      <c r="R6" s="30">
        <v>0.43</v>
      </c>
      <c r="S6" s="30">
        <v>0.36</v>
      </c>
      <c r="T6" s="30">
        <v>0.08</v>
      </c>
      <c r="U6" s="37"/>
      <c r="V6" s="37"/>
      <c r="W6" s="37"/>
      <c r="X6" s="37"/>
      <c r="Y6" s="3"/>
    </row>
    <row r="7" ht="15.75" customHeight="1">
      <c r="A7" s="17" t="s">
        <v>7</v>
      </c>
      <c r="B7" s="18"/>
      <c r="C7" s="30">
        <f>227/255</f>
        <v>0.8901960784</v>
      </c>
      <c r="D7" s="30">
        <v>0.1</v>
      </c>
      <c r="E7" s="30">
        <v>0.01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0">
        <v>0.13</v>
      </c>
      <c r="S7" s="30">
        <v>0.43</v>
      </c>
      <c r="T7" s="30">
        <v>0.36</v>
      </c>
      <c r="U7" s="30">
        <v>0.11</v>
      </c>
      <c r="V7" s="37"/>
      <c r="W7" s="37"/>
      <c r="X7" s="37"/>
      <c r="Y7" s="3"/>
    </row>
    <row r="8" ht="15.75" customHeight="1">
      <c r="A8" s="17" t="s">
        <v>8</v>
      </c>
      <c r="B8" s="18"/>
      <c r="C8" s="37"/>
      <c r="D8" s="30">
        <f>227/255</f>
        <v>0.8901960784</v>
      </c>
      <c r="E8" s="30">
        <v>0.1</v>
      </c>
      <c r="F8" s="30">
        <v>0.01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0">
        <v>0.13</v>
      </c>
      <c r="T8" s="30">
        <v>0.43</v>
      </c>
      <c r="U8" s="30">
        <v>0.26</v>
      </c>
      <c r="V8" s="30">
        <v>0.11</v>
      </c>
      <c r="W8" s="37"/>
      <c r="X8" s="37"/>
      <c r="Y8" s="3"/>
    </row>
    <row r="9" ht="15.75" customHeight="1">
      <c r="A9" s="17" t="s">
        <v>9</v>
      </c>
      <c r="B9" s="18"/>
      <c r="C9" s="37"/>
      <c r="D9" s="37"/>
      <c r="E9" s="30">
        <f>227/255</f>
        <v>0.8901960784</v>
      </c>
      <c r="F9" s="30">
        <v>0.1</v>
      </c>
      <c r="G9" s="30">
        <v>0.01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0">
        <v>0.13</v>
      </c>
      <c r="U9" s="30">
        <v>0.4</v>
      </c>
      <c r="V9" s="30">
        <v>0.26</v>
      </c>
      <c r="W9" s="30">
        <v>0.11</v>
      </c>
      <c r="X9" s="37"/>
      <c r="Y9" s="3"/>
    </row>
    <row r="10" ht="15.75" customHeight="1">
      <c r="A10" s="17" t="s">
        <v>10</v>
      </c>
      <c r="B10" s="18"/>
      <c r="C10" s="37"/>
      <c r="D10" s="37"/>
      <c r="E10" s="37"/>
      <c r="F10" s="30">
        <f>227/255</f>
        <v>0.8901960784</v>
      </c>
      <c r="G10" s="30">
        <v>0.1</v>
      </c>
      <c r="H10" s="30">
        <v>0.01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0">
        <v>0.23</v>
      </c>
      <c r="V10" s="30">
        <v>0.4</v>
      </c>
      <c r="W10" s="30">
        <v>0.26</v>
      </c>
      <c r="X10" s="30">
        <v>0.11</v>
      </c>
      <c r="Y10" s="3"/>
    </row>
    <row r="11" ht="15.75" customHeight="1">
      <c r="A11" s="17" t="s">
        <v>11</v>
      </c>
      <c r="B11" s="18"/>
      <c r="C11" s="37"/>
      <c r="D11" s="37"/>
      <c r="E11" s="37"/>
      <c r="F11" s="37"/>
      <c r="G11" s="30">
        <f>227/255</f>
        <v>0.8901960784</v>
      </c>
      <c r="H11" s="30">
        <v>0.1</v>
      </c>
      <c r="I11" s="30">
        <v>0.01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0">
        <v>0.23</v>
      </c>
      <c r="W11" s="30">
        <v>0.4</v>
      </c>
      <c r="X11" s="30">
        <v>0.26</v>
      </c>
      <c r="Y11" s="30"/>
    </row>
    <row r="12" ht="15.75" customHeight="1">
      <c r="A12" s="17" t="s">
        <v>12</v>
      </c>
      <c r="B12" s="18"/>
      <c r="C12" s="37"/>
      <c r="D12" s="37"/>
      <c r="E12" s="37"/>
      <c r="F12" s="37"/>
      <c r="G12" s="37"/>
      <c r="H12" s="30">
        <f>227/255</f>
        <v>0.8901960784</v>
      </c>
      <c r="I12" s="30">
        <v>0.1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0">
        <v>0.23</v>
      </c>
      <c r="X12" s="30">
        <v>0.4</v>
      </c>
      <c r="Y12" s="3"/>
    </row>
    <row r="13" ht="15.75" customHeight="1">
      <c r="A13" s="17" t="s">
        <v>13</v>
      </c>
      <c r="B13" s="18"/>
      <c r="C13" s="37"/>
      <c r="D13" s="37"/>
      <c r="E13" s="37"/>
      <c r="F13" s="37"/>
      <c r="G13" s="37"/>
      <c r="H13" s="37"/>
      <c r="I13" s="30">
        <v>0.89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0">
        <v>0.13</v>
      </c>
      <c r="Y13" s="3"/>
    </row>
    <row r="14" ht="15.75" customHeight="1">
      <c r="A14" s="20"/>
      <c r="B14" s="21" t="s">
        <v>54</v>
      </c>
      <c r="C14" s="21" t="s">
        <v>7</v>
      </c>
      <c r="D14" s="21" t="s">
        <v>8</v>
      </c>
      <c r="E14" s="21" t="s">
        <v>9</v>
      </c>
      <c r="F14" s="21" t="s">
        <v>10</v>
      </c>
      <c r="G14" s="21" t="s">
        <v>11</v>
      </c>
      <c r="H14" s="21" t="s">
        <v>12</v>
      </c>
      <c r="I14" s="21" t="s">
        <v>13</v>
      </c>
      <c r="J14" s="21" t="s">
        <v>14</v>
      </c>
      <c r="K14" s="21" t="s">
        <v>30</v>
      </c>
      <c r="L14" s="21" t="s">
        <v>31</v>
      </c>
      <c r="M14" s="21" t="s">
        <v>2</v>
      </c>
      <c r="N14" s="21" t="s">
        <v>3</v>
      </c>
      <c r="O14" s="21" t="s">
        <v>4</v>
      </c>
      <c r="P14" s="21" t="s">
        <v>5</v>
      </c>
      <c r="Q14" s="21" t="s">
        <v>6</v>
      </c>
      <c r="R14" s="21" t="s">
        <v>7</v>
      </c>
      <c r="S14" s="21" t="s">
        <v>8</v>
      </c>
      <c r="T14" s="21" t="s">
        <v>9</v>
      </c>
      <c r="U14" s="21" t="s">
        <v>10</v>
      </c>
      <c r="V14" s="21" t="s">
        <v>11</v>
      </c>
      <c r="W14" s="21" t="s">
        <v>12</v>
      </c>
      <c r="X14" s="21" t="s">
        <v>13</v>
      </c>
      <c r="Y14" s="3"/>
      <c r="Z14" s="38" t="s">
        <v>55</v>
      </c>
    </row>
    <row r="15" ht="15.75" hidden="1" customHeight="1">
      <c r="A15" s="21" t="s">
        <v>2</v>
      </c>
      <c r="B15" s="22"/>
      <c r="C15" s="22"/>
      <c r="D15" s="22"/>
      <c r="E15" s="22"/>
      <c r="F15" s="22"/>
      <c r="G15" s="22"/>
      <c r="H15" s="22"/>
      <c r="I15" s="22"/>
      <c r="J15" s="19">
        <v>29.0</v>
      </c>
      <c r="K15" s="22"/>
      <c r="L15" s="22"/>
      <c r="M15" s="23">
        <f t="shared" ref="M15:P15" si="1">$J15*M2</f>
        <v>3.77</v>
      </c>
      <c r="N15" s="23">
        <f t="shared" si="1"/>
        <v>12.47</v>
      </c>
      <c r="O15" s="23">
        <f t="shared" si="1"/>
        <v>10.44</v>
      </c>
      <c r="P15" s="23">
        <f t="shared" si="1"/>
        <v>2.32</v>
      </c>
      <c r="Q15" s="22"/>
      <c r="R15" s="22"/>
      <c r="S15" s="22"/>
      <c r="T15" s="22"/>
      <c r="U15" s="22"/>
      <c r="V15" s="22"/>
      <c r="W15" s="22"/>
      <c r="X15" s="22"/>
      <c r="Y15" s="3"/>
      <c r="Z15" s="3"/>
    </row>
    <row r="16" ht="15.75" hidden="1" customHeight="1">
      <c r="A16" s="21" t="s">
        <v>3</v>
      </c>
      <c r="B16" s="22"/>
      <c r="C16" s="22"/>
      <c r="D16" s="22"/>
      <c r="E16" s="22"/>
      <c r="F16" s="22"/>
      <c r="G16" s="22"/>
      <c r="H16" s="22"/>
      <c r="I16" s="22"/>
      <c r="J16" s="19">
        <f>15+11+6</f>
        <v>32</v>
      </c>
      <c r="K16" s="22"/>
      <c r="L16" s="22"/>
      <c r="M16" s="22"/>
      <c r="N16" s="23">
        <f t="shared" ref="N16:Q16" si="2">$J16*N3</f>
        <v>4.16</v>
      </c>
      <c r="O16" s="23">
        <f t="shared" si="2"/>
        <v>13.76</v>
      </c>
      <c r="P16" s="23">
        <f t="shared" si="2"/>
        <v>11.52</v>
      </c>
      <c r="Q16" s="23">
        <f t="shared" si="2"/>
        <v>2.56</v>
      </c>
      <c r="R16" s="22"/>
      <c r="S16" s="22"/>
      <c r="T16" s="22"/>
      <c r="U16" s="22"/>
      <c r="V16" s="22"/>
      <c r="W16" s="22"/>
      <c r="X16" s="22"/>
      <c r="Y16" s="3"/>
      <c r="Z16" s="3"/>
    </row>
    <row r="17" ht="15.75" hidden="1" customHeight="1">
      <c r="A17" s="21" t="s">
        <v>4</v>
      </c>
      <c r="B17" s="22"/>
      <c r="C17" s="22"/>
      <c r="D17" s="22"/>
      <c r="E17" s="22"/>
      <c r="F17" s="22"/>
      <c r="G17" s="22"/>
      <c r="H17" s="22"/>
      <c r="I17" s="22"/>
      <c r="J17" s="19">
        <f>30+19+20</f>
        <v>69</v>
      </c>
      <c r="K17" s="22"/>
      <c r="L17" s="22"/>
      <c r="M17" s="22"/>
      <c r="N17" s="22"/>
      <c r="O17" s="23">
        <f t="shared" ref="O17:R17" si="3">$J17*O4</f>
        <v>8.97</v>
      </c>
      <c r="P17" s="23">
        <f t="shared" si="3"/>
        <v>29.67</v>
      </c>
      <c r="Q17" s="23">
        <f t="shared" si="3"/>
        <v>24.84</v>
      </c>
      <c r="R17" s="23">
        <f t="shared" si="3"/>
        <v>5.52</v>
      </c>
      <c r="S17" s="22"/>
      <c r="T17" s="22"/>
      <c r="U17" s="22"/>
      <c r="V17" s="22"/>
      <c r="W17" s="22"/>
      <c r="X17" s="22"/>
      <c r="Y17" s="3"/>
      <c r="Z17" s="3"/>
    </row>
    <row r="18" ht="15.75" hidden="1" customHeight="1">
      <c r="A18" s="21" t="s">
        <v>5</v>
      </c>
      <c r="B18" s="22"/>
      <c r="C18" s="22"/>
      <c r="D18" s="22"/>
      <c r="E18" s="22"/>
      <c r="F18" s="22"/>
      <c r="G18" s="22"/>
      <c r="H18" s="22"/>
      <c r="I18" s="22"/>
      <c r="J18" s="19">
        <f>16+28+16</f>
        <v>60</v>
      </c>
      <c r="K18" s="22"/>
      <c r="L18" s="22"/>
      <c r="M18" s="22"/>
      <c r="N18" s="22"/>
      <c r="O18" s="22"/>
      <c r="P18" s="23">
        <f t="shared" ref="P18:S18" si="4">$J18*P5</f>
        <v>7.8</v>
      </c>
      <c r="Q18" s="23">
        <f t="shared" si="4"/>
        <v>25.8</v>
      </c>
      <c r="R18" s="23">
        <f t="shared" si="4"/>
        <v>21.6</v>
      </c>
      <c r="S18" s="23">
        <f t="shared" si="4"/>
        <v>4.8</v>
      </c>
      <c r="T18" s="22"/>
      <c r="U18" s="22"/>
      <c r="V18" s="22"/>
      <c r="W18" s="22"/>
      <c r="X18" s="22"/>
      <c r="Y18" s="3"/>
      <c r="Z18" s="3"/>
    </row>
    <row r="19" ht="15.75" hidden="1" customHeight="1">
      <c r="A19" s="21" t="s">
        <v>6</v>
      </c>
      <c r="B19" s="19">
        <v>56.0</v>
      </c>
      <c r="C19" s="23">
        <f t="shared" ref="C19:C20" si="6">$B19*C6</f>
        <v>5.6</v>
      </c>
      <c r="D19" s="22"/>
      <c r="E19" s="22"/>
      <c r="F19" s="22"/>
      <c r="G19" s="22"/>
      <c r="H19" s="22"/>
      <c r="I19" s="22"/>
      <c r="J19" s="19">
        <f>16+23+34</f>
        <v>73</v>
      </c>
      <c r="K19" s="22"/>
      <c r="L19" s="23">
        <v>657933.0</v>
      </c>
      <c r="M19" s="22"/>
      <c r="N19" s="22"/>
      <c r="O19" s="22"/>
      <c r="P19" s="22"/>
      <c r="Q19" s="23">
        <f t="shared" ref="Q19:T19" si="5">$J19*Q6</f>
        <v>9.49</v>
      </c>
      <c r="R19" s="23">
        <f t="shared" si="5"/>
        <v>31.39</v>
      </c>
      <c r="S19" s="23">
        <f t="shared" si="5"/>
        <v>26.28</v>
      </c>
      <c r="T19" s="23">
        <f t="shared" si="5"/>
        <v>5.84</v>
      </c>
      <c r="U19" s="22"/>
      <c r="V19" s="22"/>
      <c r="W19" s="22"/>
      <c r="X19" s="22"/>
      <c r="Y19" s="3"/>
      <c r="Z19" s="3"/>
    </row>
    <row r="20" ht="15.75" customHeight="1">
      <c r="A20" s="21" t="s">
        <v>7</v>
      </c>
      <c r="B20" s="18">
        <v>128.0</v>
      </c>
      <c r="C20" s="23">
        <f t="shared" si="6"/>
        <v>113.945098</v>
      </c>
      <c r="D20" s="23">
        <f t="shared" ref="D20:D21" si="8">$B20*D7</f>
        <v>12.8</v>
      </c>
      <c r="E20" s="22"/>
      <c r="F20" s="22"/>
      <c r="G20" s="22"/>
      <c r="H20" s="22"/>
      <c r="I20" s="22"/>
      <c r="J20" s="24">
        <v>91.0</v>
      </c>
      <c r="K20" s="22"/>
      <c r="L20" s="23">
        <v>852976.0</v>
      </c>
      <c r="M20" s="22"/>
      <c r="N20" s="22"/>
      <c r="O20" s="22"/>
      <c r="P20" s="22"/>
      <c r="Q20" s="22"/>
      <c r="R20" s="23">
        <f t="shared" ref="R20:U20" si="7">$J20*R7</f>
        <v>11.83</v>
      </c>
      <c r="S20" s="23">
        <f t="shared" si="7"/>
        <v>39.13</v>
      </c>
      <c r="T20" s="23">
        <f t="shared" si="7"/>
        <v>32.76</v>
      </c>
      <c r="U20" s="23">
        <f t="shared" si="7"/>
        <v>10.01</v>
      </c>
      <c r="V20" s="22"/>
      <c r="W20" s="22"/>
      <c r="X20" s="22"/>
      <c r="Y20" s="3"/>
      <c r="Z20" s="3"/>
    </row>
    <row r="21" ht="15.75" customHeight="1">
      <c r="A21" s="21" t="s">
        <v>8</v>
      </c>
      <c r="B21" s="18">
        <v>190.0</v>
      </c>
      <c r="C21" s="18"/>
      <c r="D21" s="23">
        <f t="shared" si="8"/>
        <v>169.1372549</v>
      </c>
      <c r="E21" s="23">
        <f t="shared" ref="E21:F21" si="9">$B21*E8</f>
        <v>19</v>
      </c>
      <c r="F21" s="23">
        <f t="shared" si="9"/>
        <v>1.9</v>
      </c>
      <c r="G21" s="22"/>
      <c r="H21" s="22"/>
      <c r="I21" s="22"/>
      <c r="J21" s="23">
        <v>83.0</v>
      </c>
      <c r="K21" s="23">
        <f t="shared" ref="K21:K26" si="12">J21*0.75</f>
        <v>62.25</v>
      </c>
      <c r="L21" s="23">
        <v>1038700.0</v>
      </c>
      <c r="M21" s="22"/>
      <c r="N21" s="22"/>
      <c r="O21" s="22"/>
      <c r="P21" s="22"/>
      <c r="Q21" s="22"/>
      <c r="R21" s="22"/>
      <c r="S21" s="23">
        <f t="shared" ref="S21:V21" si="10">$J21*S8</f>
        <v>10.79</v>
      </c>
      <c r="T21" s="23">
        <f t="shared" si="10"/>
        <v>35.69</v>
      </c>
      <c r="U21" s="23">
        <f t="shared" si="10"/>
        <v>21.58</v>
      </c>
      <c r="V21" s="23">
        <f t="shared" si="10"/>
        <v>9.13</v>
      </c>
      <c r="W21" s="22"/>
      <c r="X21" s="22"/>
      <c r="Y21" s="6">
        <f t="shared" ref="Y21:Y26" si="14">L21/K21</f>
        <v>16685.94378</v>
      </c>
      <c r="Z21" s="8">
        <f t="shared" ref="Z21:Z26" si="15">J21/15</f>
        <v>5.533333333</v>
      </c>
    </row>
    <row r="22" ht="15.75" customHeight="1">
      <c r="A22" s="21" t="s">
        <v>9</v>
      </c>
      <c r="B22" s="18">
        <v>144.0</v>
      </c>
      <c r="C22" s="18"/>
      <c r="D22" s="18"/>
      <c r="E22" s="23">
        <f t="shared" ref="E22:G22" si="11">$B22*E9</f>
        <v>128.1882353</v>
      </c>
      <c r="F22" s="23">
        <f t="shared" si="11"/>
        <v>14.4</v>
      </c>
      <c r="G22" s="23">
        <f t="shared" si="11"/>
        <v>1.44</v>
      </c>
      <c r="H22" s="22"/>
      <c r="I22" s="22"/>
      <c r="J22" s="23">
        <v>94.0</v>
      </c>
      <c r="K22" s="23">
        <f t="shared" si="12"/>
        <v>70.5</v>
      </c>
      <c r="L22" s="23">
        <v>834200.0</v>
      </c>
      <c r="M22" s="22"/>
      <c r="N22" s="22"/>
      <c r="O22" s="22"/>
      <c r="P22" s="22"/>
      <c r="Q22" s="22"/>
      <c r="R22" s="22"/>
      <c r="S22" s="22"/>
      <c r="T22" s="23">
        <f t="shared" ref="T22:W22" si="13">$J22*T9</f>
        <v>12.22</v>
      </c>
      <c r="U22" s="23">
        <f t="shared" si="13"/>
        <v>37.6</v>
      </c>
      <c r="V22" s="23">
        <f t="shared" si="13"/>
        <v>24.44</v>
      </c>
      <c r="W22" s="23">
        <f t="shared" si="13"/>
        <v>10.34</v>
      </c>
      <c r="X22" s="22"/>
      <c r="Y22" s="6">
        <f t="shared" si="14"/>
        <v>11832.62411</v>
      </c>
      <c r="Z22" s="8">
        <f t="shared" si="15"/>
        <v>6.266666667</v>
      </c>
    </row>
    <row r="23" ht="15.75" customHeight="1">
      <c r="A23" s="21" t="s">
        <v>10</v>
      </c>
      <c r="B23" s="18">
        <v>147.0</v>
      </c>
      <c r="C23" s="18"/>
      <c r="D23" s="18"/>
      <c r="E23" s="18"/>
      <c r="F23" s="23">
        <f t="shared" ref="F23:H23" si="16">$B23*F10</f>
        <v>130.8588235</v>
      </c>
      <c r="G23" s="23">
        <f t="shared" si="16"/>
        <v>14.7</v>
      </c>
      <c r="H23" s="23">
        <f t="shared" si="16"/>
        <v>1.47</v>
      </c>
      <c r="I23" s="22"/>
      <c r="J23" s="23">
        <f>(70/(31+28+14))*(31+28+31)</f>
        <v>86.30136986</v>
      </c>
      <c r="K23" s="23">
        <f t="shared" si="12"/>
        <v>64.7260274</v>
      </c>
      <c r="L23" s="25">
        <v>645203.0</v>
      </c>
      <c r="M23" s="22"/>
      <c r="N23" s="22"/>
      <c r="O23" s="22"/>
      <c r="P23" s="22"/>
      <c r="Q23" s="22"/>
      <c r="R23" s="22"/>
      <c r="S23" s="22"/>
      <c r="T23" s="22"/>
      <c r="U23" s="23">
        <f t="shared" ref="U23:X23" si="17">$J23*U10</f>
        <v>19.84931507</v>
      </c>
      <c r="V23" s="23">
        <f t="shared" si="17"/>
        <v>34.52054795</v>
      </c>
      <c r="W23" s="23">
        <f t="shared" si="17"/>
        <v>22.43835616</v>
      </c>
      <c r="X23" s="23">
        <f t="shared" si="17"/>
        <v>9.493150685</v>
      </c>
      <c r="Y23" s="6">
        <f t="shared" si="14"/>
        <v>9968.215661</v>
      </c>
      <c r="Z23" s="8">
        <f t="shared" si="15"/>
        <v>5.753424658</v>
      </c>
    </row>
    <row r="24" ht="15.75" customHeight="1">
      <c r="A24" s="21" t="s">
        <v>11</v>
      </c>
      <c r="B24" s="18">
        <v>147.0</v>
      </c>
      <c r="C24" s="18"/>
      <c r="D24" s="18"/>
      <c r="E24" s="18"/>
      <c r="F24" s="18"/>
      <c r="G24" s="23">
        <f t="shared" ref="G24:I24" si="18">$B24*G11</f>
        <v>130.8588235</v>
      </c>
      <c r="H24" s="23">
        <f t="shared" si="18"/>
        <v>14.7</v>
      </c>
      <c r="I24" s="23">
        <f t="shared" si="18"/>
        <v>1.47</v>
      </c>
      <c r="J24" s="23">
        <f>G29</f>
        <v>80.84935294</v>
      </c>
      <c r="K24" s="23">
        <f t="shared" si="12"/>
        <v>60.63701471</v>
      </c>
      <c r="L24" s="23">
        <v>677625.0</v>
      </c>
      <c r="M24" s="22"/>
      <c r="N24" s="22"/>
      <c r="O24" s="22"/>
      <c r="P24" s="22"/>
      <c r="Q24" s="22"/>
      <c r="R24" s="22"/>
      <c r="S24" s="22"/>
      <c r="T24" s="22"/>
      <c r="U24" s="22"/>
      <c r="V24" s="23">
        <f t="shared" ref="V24:X24" si="19">$J24*V11</f>
        <v>18.59535118</v>
      </c>
      <c r="W24" s="23">
        <f t="shared" si="19"/>
        <v>32.33974118</v>
      </c>
      <c r="X24" s="23">
        <f t="shared" si="19"/>
        <v>21.02083176</v>
      </c>
      <c r="Y24" s="6">
        <f t="shared" si="14"/>
        <v>11175.1049</v>
      </c>
      <c r="Z24" s="8">
        <f t="shared" si="15"/>
        <v>5.389956863</v>
      </c>
    </row>
    <row r="25" ht="15.75" customHeight="1">
      <c r="A25" s="21" t="s">
        <v>12</v>
      </c>
      <c r="B25" s="18">
        <v>147.0</v>
      </c>
      <c r="C25" s="18"/>
      <c r="D25" s="18"/>
      <c r="E25" s="18"/>
      <c r="F25" s="18"/>
      <c r="G25" s="18"/>
      <c r="H25" s="23">
        <f t="shared" ref="H25:I25" si="20">$B25*H12</f>
        <v>130.8588235</v>
      </c>
      <c r="I25" s="23">
        <f t="shared" si="20"/>
        <v>14.7</v>
      </c>
      <c r="J25" s="23">
        <f>H29</f>
        <v>80.86585294</v>
      </c>
      <c r="K25" s="23">
        <f t="shared" si="12"/>
        <v>60.64938971</v>
      </c>
      <c r="L25" s="23">
        <v>677625.0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3">
        <f t="shared" ref="W25:X25" si="21">$J25*W12</f>
        <v>18.59914618</v>
      </c>
      <c r="X25" s="23">
        <f t="shared" si="21"/>
        <v>32.34634118</v>
      </c>
      <c r="Y25" s="6">
        <f t="shared" si="14"/>
        <v>11172.82471</v>
      </c>
      <c r="Z25" s="8">
        <f t="shared" si="15"/>
        <v>5.391056863</v>
      </c>
    </row>
    <row r="26" ht="15.75" customHeight="1">
      <c r="A26" s="21" t="s">
        <v>13</v>
      </c>
      <c r="B26" s="18">
        <v>147.0</v>
      </c>
      <c r="C26" s="18"/>
      <c r="D26" s="18"/>
      <c r="E26" s="18"/>
      <c r="F26" s="18"/>
      <c r="G26" s="18"/>
      <c r="H26" s="18"/>
      <c r="I26" s="23">
        <f>$B26*I13</f>
        <v>130.83</v>
      </c>
      <c r="J26" s="23">
        <f>I29</f>
        <v>80.85</v>
      </c>
      <c r="K26" s="23">
        <f t="shared" si="12"/>
        <v>60.6375</v>
      </c>
      <c r="L26" s="23">
        <v>677625.0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3">
        <f>$J26*X13</f>
        <v>10.5105</v>
      </c>
      <c r="Y26" s="6">
        <f t="shared" si="14"/>
        <v>11175.01546</v>
      </c>
      <c r="Z26" s="8">
        <f t="shared" si="15"/>
        <v>5.39</v>
      </c>
    </row>
    <row r="27" ht="15.75" customHeight="1">
      <c r="A27" s="26" t="s">
        <v>56</v>
      </c>
      <c r="B27" s="18"/>
      <c r="C27" s="23">
        <f t="shared" ref="C27:I27" si="22">sum(C19:C26)</f>
        <v>119.545098</v>
      </c>
      <c r="D27" s="23">
        <f t="shared" si="22"/>
        <v>181.9372549</v>
      </c>
      <c r="E27" s="23">
        <f t="shared" si="22"/>
        <v>147.1882353</v>
      </c>
      <c r="F27" s="23">
        <f t="shared" si="22"/>
        <v>147.1588235</v>
      </c>
      <c r="G27" s="23">
        <f t="shared" si="22"/>
        <v>146.9988235</v>
      </c>
      <c r="H27" s="23">
        <f t="shared" si="22"/>
        <v>147.0288235</v>
      </c>
      <c r="I27" s="23">
        <f t="shared" si="22"/>
        <v>147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3"/>
    </row>
    <row r="28" ht="15.75" customHeight="1">
      <c r="A28" s="26" t="s">
        <v>57</v>
      </c>
      <c r="B28" s="18"/>
      <c r="C28" s="30">
        <f t="shared" ref="C28:E28" si="23">0.5</f>
        <v>0.5</v>
      </c>
      <c r="D28" s="30">
        <f t="shared" si="23"/>
        <v>0.5</v>
      </c>
      <c r="E28" s="30">
        <f t="shared" si="23"/>
        <v>0.5</v>
      </c>
      <c r="F28" s="30">
        <v>0.55</v>
      </c>
      <c r="G28" s="30">
        <v>0.55</v>
      </c>
      <c r="H28" s="30">
        <v>0.55</v>
      </c>
      <c r="I28" s="30">
        <v>0.55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3"/>
    </row>
    <row r="29" ht="15.75" customHeight="1">
      <c r="A29" s="26" t="s">
        <v>58</v>
      </c>
      <c r="B29" s="18"/>
      <c r="C29" s="19">
        <f t="shared" ref="C29:I29" si="24">C27*C28</f>
        <v>59.77254902</v>
      </c>
      <c r="D29" s="19">
        <f t="shared" si="24"/>
        <v>90.96862745</v>
      </c>
      <c r="E29" s="19">
        <f t="shared" si="24"/>
        <v>73.59411765</v>
      </c>
      <c r="F29" s="24">
        <f t="shared" si="24"/>
        <v>80.93735294</v>
      </c>
      <c r="G29" s="24">
        <f t="shared" si="24"/>
        <v>80.84935294</v>
      </c>
      <c r="H29" s="24">
        <f t="shared" si="24"/>
        <v>80.86585294</v>
      </c>
      <c r="I29" s="24">
        <f t="shared" si="24"/>
        <v>80.85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3"/>
    </row>
    <row r="30" ht="15.75" customHeight="1">
      <c r="A30" s="26" t="s">
        <v>59</v>
      </c>
      <c r="B30" s="18"/>
      <c r="C30" s="19"/>
      <c r="D30" s="19"/>
      <c r="E30" s="19"/>
      <c r="F30" s="39">
        <f>F29-J23</f>
        <v>-5.364016922</v>
      </c>
      <c r="G30" s="24">
        <f>G29-J24</f>
        <v>0</v>
      </c>
      <c r="H30" s="24">
        <f>H29-J25</f>
        <v>0</v>
      </c>
      <c r="I30" s="24">
        <f>I29-J26</f>
        <v>0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3"/>
    </row>
    <row r="31" ht="15.75" customHeight="1">
      <c r="A31" s="26" t="s">
        <v>15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7"/>
      <c r="M31" s="28">
        <f t="shared" ref="M31:X31" si="25">sum(M15:M26)</f>
        <v>3.77</v>
      </c>
      <c r="N31" s="28">
        <f t="shared" si="25"/>
        <v>16.63</v>
      </c>
      <c r="O31" s="28">
        <f t="shared" si="25"/>
        <v>33.17</v>
      </c>
      <c r="P31" s="28">
        <f t="shared" si="25"/>
        <v>51.31</v>
      </c>
      <c r="Q31" s="28">
        <f t="shared" si="25"/>
        <v>62.69</v>
      </c>
      <c r="R31" s="28">
        <f t="shared" si="25"/>
        <v>70.34</v>
      </c>
      <c r="S31" s="28">
        <f t="shared" si="25"/>
        <v>81</v>
      </c>
      <c r="T31" s="28">
        <f t="shared" si="25"/>
        <v>86.51</v>
      </c>
      <c r="U31" s="23">
        <f t="shared" si="25"/>
        <v>89.03931507</v>
      </c>
      <c r="V31" s="23">
        <f t="shared" si="25"/>
        <v>86.68589912</v>
      </c>
      <c r="W31" s="23">
        <f t="shared" si="25"/>
        <v>83.71724352</v>
      </c>
      <c r="X31" s="23">
        <f t="shared" si="25"/>
        <v>73.37082363</v>
      </c>
      <c r="Y31" s="3"/>
    </row>
    <row r="32" ht="15.75" customHeight="1">
      <c r="A32" s="26" t="s">
        <v>60</v>
      </c>
      <c r="B32" s="18"/>
      <c r="C32" s="18"/>
      <c r="D32" s="18"/>
      <c r="E32" s="18"/>
      <c r="F32" s="18"/>
      <c r="G32" s="18"/>
      <c r="H32" s="18"/>
      <c r="I32" s="18"/>
      <c r="J32" s="18"/>
      <c r="K32" s="22"/>
      <c r="L32" s="22"/>
      <c r="M32" s="23" t="s">
        <v>18</v>
      </c>
      <c r="N32" s="23" t="s">
        <v>18</v>
      </c>
      <c r="O32" s="23" t="s">
        <v>18</v>
      </c>
      <c r="P32" s="23" t="s">
        <v>18</v>
      </c>
      <c r="Q32" s="23">
        <v>582000.0</v>
      </c>
      <c r="R32" s="23">
        <v>749000.0</v>
      </c>
      <c r="S32" s="23">
        <v>1204000.0</v>
      </c>
      <c r="T32" s="23">
        <v>1750000.0</v>
      </c>
      <c r="U32" s="23">
        <v>1375000.0</v>
      </c>
      <c r="V32" s="23">
        <v>1700000.0</v>
      </c>
      <c r="W32" s="23">
        <f t="shared" ref="W32:X32" si="26">V32</f>
        <v>1700000</v>
      </c>
      <c r="X32" s="23">
        <f t="shared" si="26"/>
        <v>1700000</v>
      </c>
      <c r="Y32" s="3"/>
    </row>
    <row r="33" ht="15.75" customHeight="1">
      <c r="A33" s="26" t="s">
        <v>17</v>
      </c>
      <c r="B33" s="18"/>
      <c r="C33" s="18"/>
      <c r="D33" s="18"/>
      <c r="E33" s="18"/>
      <c r="F33" s="18"/>
      <c r="G33" s="18"/>
      <c r="H33" s="18"/>
      <c r="I33" s="18"/>
      <c r="J33" s="18"/>
      <c r="K33" s="22"/>
      <c r="L33" s="22"/>
      <c r="M33" s="23" t="s">
        <v>18</v>
      </c>
      <c r="N33" s="23" t="s">
        <v>18</v>
      </c>
      <c r="O33" s="23" t="s">
        <v>18</v>
      </c>
      <c r="P33" s="23" t="s">
        <v>18</v>
      </c>
      <c r="Q33" s="23">
        <f>3267624+Q32</f>
        <v>3849624</v>
      </c>
      <c r="R33" s="23">
        <f t="shared" ref="R33:X33" si="27">Q33+R32</f>
        <v>4598624</v>
      </c>
      <c r="S33" s="23">
        <f t="shared" si="27"/>
        <v>5802624</v>
      </c>
      <c r="T33" s="23">
        <f t="shared" si="27"/>
        <v>7552624</v>
      </c>
      <c r="U33" s="23">
        <f t="shared" si="27"/>
        <v>8927624</v>
      </c>
      <c r="V33" s="23">
        <f t="shared" si="27"/>
        <v>10627624</v>
      </c>
      <c r="W33" s="23">
        <f t="shared" si="27"/>
        <v>12327624</v>
      </c>
      <c r="X33" s="23">
        <f t="shared" si="27"/>
        <v>14027624</v>
      </c>
      <c r="Y33" s="3"/>
    </row>
    <row r="34" ht="15.75" customHeight="1">
      <c r="A34" s="26" t="s">
        <v>19</v>
      </c>
      <c r="B34" s="18"/>
      <c r="C34" s="18"/>
      <c r="D34" s="18"/>
      <c r="E34" s="18"/>
      <c r="F34" s="18"/>
      <c r="G34" s="18"/>
      <c r="H34" s="18"/>
      <c r="I34" s="18"/>
      <c r="J34" s="18"/>
      <c r="K34" s="22"/>
      <c r="L34" s="22"/>
      <c r="M34" s="23">
        <v>35000.0</v>
      </c>
      <c r="N34" s="23">
        <v>35000.0</v>
      </c>
      <c r="O34" s="23">
        <v>35000.0</v>
      </c>
      <c r="P34" s="23">
        <v>35000.0</v>
      </c>
      <c r="Q34" s="23">
        <v>35000.0</v>
      </c>
      <c r="R34" s="23">
        <v>35000.0</v>
      </c>
      <c r="S34" s="23">
        <v>45000.0</v>
      </c>
      <c r="T34" s="23">
        <v>45000.0</v>
      </c>
      <c r="U34" s="23">
        <v>52373.0</v>
      </c>
      <c r="V34" s="23">
        <v>52373.0</v>
      </c>
      <c r="W34" s="23">
        <v>52373.0</v>
      </c>
      <c r="X34" s="23">
        <v>52373.0</v>
      </c>
      <c r="Y34" s="3"/>
    </row>
    <row r="35" ht="15.75" customHeight="1">
      <c r="A35" s="26" t="s">
        <v>20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9">
        <v>2.0</v>
      </c>
      <c r="N35" s="19">
        <v>2.0</v>
      </c>
      <c r="O35" s="19">
        <v>2.0</v>
      </c>
      <c r="P35" s="19">
        <v>2.0</v>
      </c>
      <c r="Q35" s="19">
        <v>2.0</v>
      </c>
      <c r="R35" s="19">
        <v>3.0</v>
      </c>
      <c r="S35" s="19">
        <v>3.0</v>
      </c>
      <c r="T35" s="19">
        <v>3.0</v>
      </c>
      <c r="U35" s="19">
        <v>4.5</v>
      </c>
      <c r="V35" s="19">
        <v>3.5</v>
      </c>
      <c r="W35" s="19">
        <v>4.5</v>
      </c>
      <c r="X35" s="19">
        <v>3.5</v>
      </c>
      <c r="Y35" s="3"/>
    </row>
    <row r="36" ht="15.75" customHeight="1">
      <c r="A36" s="26" t="s">
        <v>21</v>
      </c>
      <c r="B36" s="18"/>
      <c r="C36" s="18"/>
      <c r="D36" s="18"/>
      <c r="E36" s="18"/>
      <c r="F36" s="18"/>
      <c r="G36" s="18"/>
      <c r="H36" s="18"/>
      <c r="I36" s="18"/>
      <c r="J36" s="18"/>
      <c r="K36" s="22"/>
      <c r="L36" s="22"/>
      <c r="M36" s="23" t="s">
        <v>18</v>
      </c>
      <c r="N36" s="23" t="s">
        <v>18</v>
      </c>
      <c r="O36" s="23" t="s">
        <v>18</v>
      </c>
      <c r="P36" s="23" t="s">
        <v>18</v>
      </c>
      <c r="Q36" s="23">
        <f t="shared" ref="Q36:X36" si="28">(Q32/Q34)*Q35</f>
        <v>33.25714286</v>
      </c>
      <c r="R36" s="23">
        <f t="shared" si="28"/>
        <v>64.2</v>
      </c>
      <c r="S36" s="23">
        <f t="shared" si="28"/>
        <v>80.26666667</v>
      </c>
      <c r="T36" s="23">
        <f t="shared" si="28"/>
        <v>116.6666667</v>
      </c>
      <c r="U36" s="23">
        <f t="shared" si="28"/>
        <v>118.1429362</v>
      </c>
      <c r="V36" s="23">
        <f t="shared" si="28"/>
        <v>113.6081569</v>
      </c>
      <c r="W36" s="23">
        <f t="shared" si="28"/>
        <v>146.0676303</v>
      </c>
      <c r="X36" s="23">
        <f t="shared" si="28"/>
        <v>113.6081569</v>
      </c>
      <c r="Y36" s="3"/>
    </row>
    <row r="37" ht="15.75" customHeight="1">
      <c r="A37" s="26" t="s">
        <v>22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9" t="s">
        <v>18</v>
      </c>
      <c r="N37" s="19" t="s">
        <v>18</v>
      </c>
      <c r="O37" s="19" t="s">
        <v>18</v>
      </c>
      <c r="P37" s="19" t="s">
        <v>18</v>
      </c>
      <c r="Q37" s="23">
        <f t="shared" ref="Q37:X37" si="29">Q36-Q31</f>
        <v>-29.43285714</v>
      </c>
      <c r="R37" s="23">
        <f t="shared" si="29"/>
        <v>-6.14</v>
      </c>
      <c r="S37" s="23">
        <f t="shared" si="29"/>
        <v>-0.7333333333</v>
      </c>
      <c r="T37" s="23">
        <f t="shared" si="29"/>
        <v>30.15666667</v>
      </c>
      <c r="U37" s="23">
        <f t="shared" si="29"/>
        <v>29.10362118</v>
      </c>
      <c r="V37" s="23">
        <f t="shared" si="29"/>
        <v>26.92225775</v>
      </c>
      <c r="W37" s="23">
        <f t="shared" si="29"/>
        <v>62.35038675</v>
      </c>
      <c r="X37" s="23">
        <f t="shared" si="29"/>
        <v>40.23733325</v>
      </c>
      <c r="Y37" s="3"/>
    </row>
    <row r="38" ht="15.75" customHeight="1">
      <c r="A38" s="26" t="s">
        <v>23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9" t="s">
        <v>33</v>
      </c>
      <c r="N38" s="19" t="s">
        <v>33</v>
      </c>
      <c r="O38" s="19" t="s">
        <v>33</v>
      </c>
      <c r="P38" s="19" t="s">
        <v>33</v>
      </c>
      <c r="Q38" s="30">
        <f t="shared" ref="Q38:X38" si="30">Q31/Q36</f>
        <v>1.885008591</v>
      </c>
      <c r="R38" s="30">
        <f t="shared" si="30"/>
        <v>1.095638629</v>
      </c>
      <c r="S38" s="30">
        <f t="shared" si="30"/>
        <v>1.009136213</v>
      </c>
      <c r="T38" s="30">
        <f t="shared" si="30"/>
        <v>0.7415142857</v>
      </c>
      <c r="U38" s="30">
        <f t="shared" si="30"/>
        <v>0.7536575431</v>
      </c>
      <c r="V38" s="30">
        <f t="shared" si="30"/>
        <v>0.76302531</v>
      </c>
      <c r="W38" s="30">
        <f t="shared" si="30"/>
        <v>0.5731402869</v>
      </c>
      <c r="X38" s="30">
        <f t="shared" si="30"/>
        <v>0.6458235539</v>
      </c>
      <c r="Y38" s="3"/>
    </row>
    <row r="39" ht="15.75" customHeight="1">
      <c r="A39" s="9" t="s">
        <v>61</v>
      </c>
      <c r="B39" s="2"/>
      <c r="C39" s="2"/>
      <c r="D39" s="2"/>
      <c r="E39" s="2"/>
      <c r="F39" s="2"/>
      <c r="G39" s="2"/>
      <c r="H39" s="2"/>
      <c r="I39" s="2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6">
        <f t="shared" ref="U39:X39" si="31">U38*U32</f>
        <v>1036279.122</v>
      </c>
      <c r="V39" s="6">
        <f t="shared" si="31"/>
        <v>1297143.027</v>
      </c>
      <c r="W39" s="6">
        <f t="shared" si="31"/>
        <v>974338.4877</v>
      </c>
      <c r="X39" s="6">
        <f t="shared" si="31"/>
        <v>1097900.042</v>
      </c>
      <c r="Y39" s="3"/>
    </row>
    <row r="40" ht="15.75" customHeight="1">
      <c r="A40" s="9" t="s">
        <v>37</v>
      </c>
      <c r="B40" s="2"/>
      <c r="C40" s="2"/>
      <c r="D40" s="2"/>
      <c r="E40" s="2"/>
      <c r="F40" s="2"/>
      <c r="G40" s="2"/>
      <c r="H40" s="2"/>
      <c r="I40" s="2"/>
      <c r="J40" s="2">
        <v>6450000.0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6">
        <f>6500000+U39-120000</f>
        <v>7416279.122</v>
      </c>
      <c r="V40" s="6">
        <f t="shared" ref="V40:X40" si="32">U40+V39-120000</f>
        <v>8593422.149</v>
      </c>
      <c r="W40" s="6">
        <f t="shared" si="32"/>
        <v>9447760.637</v>
      </c>
      <c r="X40" s="6">
        <f t="shared" si="32"/>
        <v>10425660.68</v>
      </c>
      <c r="AA40" s="14"/>
      <c r="AB40" s="14"/>
      <c r="AC40" s="33"/>
    </row>
    <row r="41" ht="15.75" customHeight="1">
      <c r="X41" s="40"/>
      <c r="AA41" s="14"/>
      <c r="AB41" s="14"/>
      <c r="AC41" s="33"/>
    </row>
    <row r="42" ht="15.75" customHeight="1">
      <c r="AA42" s="14"/>
      <c r="AB42" s="14"/>
      <c r="AC42" s="33"/>
    </row>
    <row r="43" ht="15.75" customHeight="1">
      <c r="AB43" s="14"/>
      <c r="AC43" s="3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5.63"/>
    <col customWidth="1" min="3" max="3" width="5.88"/>
    <col customWidth="1" min="4" max="5" width="6.0"/>
    <col customWidth="1" min="6" max="6" width="5.63"/>
    <col customWidth="1" min="7" max="7" width="5.88"/>
    <col customWidth="1" min="8" max="9" width="6.0"/>
  </cols>
  <sheetData>
    <row r="1" ht="15.75" customHeight="1">
      <c r="A1" s="17" t="s">
        <v>0</v>
      </c>
      <c r="B1" s="17" t="s">
        <v>10</v>
      </c>
      <c r="C1" s="17" t="s">
        <v>11</v>
      </c>
      <c r="D1" s="17" t="s">
        <v>12</v>
      </c>
      <c r="E1" s="17" t="s">
        <v>13</v>
      </c>
      <c r="F1" s="17" t="s">
        <v>10</v>
      </c>
      <c r="G1" s="17" t="s">
        <v>11</v>
      </c>
      <c r="H1" s="17" t="s">
        <v>12</v>
      </c>
      <c r="I1" s="17" t="s">
        <v>13</v>
      </c>
    </row>
    <row r="2" ht="15.75" customHeight="1">
      <c r="A2" s="17" t="s">
        <v>7</v>
      </c>
      <c r="B2" s="37"/>
      <c r="C2" s="37"/>
      <c r="D2" s="37"/>
      <c r="E2" s="37"/>
      <c r="F2" s="30">
        <v>0.08</v>
      </c>
      <c r="G2" s="37"/>
      <c r="H2" s="37"/>
      <c r="I2" s="37"/>
    </row>
    <row r="3" ht="15.75" customHeight="1">
      <c r="A3" s="17" t="s">
        <v>8</v>
      </c>
      <c r="B3" s="30">
        <v>0.01</v>
      </c>
      <c r="C3" s="37"/>
      <c r="D3" s="37"/>
      <c r="E3" s="37"/>
      <c r="F3" s="30">
        <v>0.36</v>
      </c>
      <c r="G3" s="30">
        <v>0.08</v>
      </c>
      <c r="H3" s="37"/>
      <c r="I3" s="37"/>
    </row>
    <row r="4" ht="15.75" customHeight="1">
      <c r="A4" s="17" t="s">
        <v>9</v>
      </c>
      <c r="B4" s="30">
        <v>0.1</v>
      </c>
      <c r="C4" s="30">
        <v>0.01</v>
      </c>
      <c r="D4" s="37"/>
      <c r="E4" s="37"/>
      <c r="F4" s="30">
        <v>0.43</v>
      </c>
      <c r="G4" s="30">
        <v>0.36</v>
      </c>
      <c r="H4" s="30">
        <v>0.08</v>
      </c>
      <c r="I4" s="37"/>
    </row>
    <row r="5" ht="15.75" customHeight="1">
      <c r="A5" s="17" t="s">
        <v>10</v>
      </c>
      <c r="B5" s="30">
        <f>227/255</f>
        <v>0.8901960784</v>
      </c>
      <c r="C5" s="30">
        <v>0.1</v>
      </c>
      <c r="D5" s="30">
        <v>0.01</v>
      </c>
      <c r="E5" s="37"/>
      <c r="F5" s="30">
        <v>0.13</v>
      </c>
      <c r="G5" s="30">
        <v>0.43</v>
      </c>
      <c r="H5" s="30">
        <v>0.36</v>
      </c>
      <c r="I5" s="30">
        <v>0.08</v>
      </c>
    </row>
    <row r="6" ht="15.75" customHeight="1">
      <c r="A6" s="17" t="s">
        <v>11</v>
      </c>
      <c r="B6" s="37"/>
      <c r="C6" s="30">
        <f>227/255</f>
        <v>0.8901960784</v>
      </c>
      <c r="D6" s="30">
        <v>0.1</v>
      </c>
      <c r="E6" s="30">
        <v>0.01</v>
      </c>
      <c r="F6" s="37"/>
      <c r="G6" s="30">
        <v>0.13</v>
      </c>
      <c r="H6" s="30">
        <v>0.43</v>
      </c>
      <c r="I6" s="30">
        <v>0.36</v>
      </c>
    </row>
    <row r="7" ht="15.75" customHeight="1">
      <c r="A7" s="17" t="s">
        <v>12</v>
      </c>
      <c r="B7" s="37"/>
      <c r="C7" s="37"/>
      <c r="D7" s="30">
        <f>227/255</f>
        <v>0.8901960784</v>
      </c>
      <c r="E7" s="30">
        <v>0.1</v>
      </c>
      <c r="F7" s="37"/>
      <c r="G7" s="37"/>
      <c r="H7" s="30">
        <v>0.13</v>
      </c>
      <c r="I7" s="30">
        <v>0.43</v>
      </c>
    </row>
    <row r="8" ht="15.75" customHeight="1">
      <c r="A8" s="17" t="s">
        <v>13</v>
      </c>
      <c r="B8" s="37"/>
      <c r="C8" s="37"/>
      <c r="D8" s="37"/>
      <c r="E8" s="30">
        <v>0.89</v>
      </c>
      <c r="F8" s="37"/>
      <c r="G8" s="37"/>
      <c r="H8" s="37"/>
      <c r="I8" s="30">
        <v>0.13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0"/>
      <c r="B1" s="21" t="s">
        <v>54</v>
      </c>
      <c r="C1" s="21" t="s">
        <v>7</v>
      </c>
      <c r="D1" s="21" t="s">
        <v>8</v>
      </c>
      <c r="E1" s="21" t="s">
        <v>9</v>
      </c>
      <c r="F1" s="21" t="s">
        <v>10</v>
      </c>
      <c r="G1" s="21" t="s">
        <v>11</v>
      </c>
      <c r="H1" s="21" t="s">
        <v>12</v>
      </c>
      <c r="I1" s="21" t="s">
        <v>13</v>
      </c>
      <c r="J1" s="21" t="s">
        <v>14</v>
      </c>
      <c r="K1" s="21" t="s">
        <v>30</v>
      </c>
      <c r="L1" s="21" t="s">
        <v>31</v>
      </c>
      <c r="M1" s="21" t="s">
        <v>2</v>
      </c>
      <c r="N1" s="21" t="s">
        <v>3</v>
      </c>
      <c r="O1" s="21" t="s">
        <v>4</v>
      </c>
      <c r="P1" s="21" t="s">
        <v>5</v>
      </c>
      <c r="Q1" s="21" t="s">
        <v>6</v>
      </c>
      <c r="R1" s="21" t="s">
        <v>7</v>
      </c>
      <c r="S1" s="21" t="s">
        <v>8</v>
      </c>
      <c r="T1" s="21" t="s">
        <v>9</v>
      </c>
      <c r="U1" s="21" t="s">
        <v>10</v>
      </c>
      <c r="V1" s="21" t="s">
        <v>11</v>
      </c>
      <c r="W1" s="21" t="s">
        <v>12</v>
      </c>
      <c r="X1" s="21" t="s">
        <v>13</v>
      </c>
    </row>
    <row r="2" ht="15.75" customHeight="1">
      <c r="A2" s="21" t="s">
        <v>8</v>
      </c>
      <c r="B2" s="18">
        <v>190.0</v>
      </c>
      <c r="C2" s="18"/>
      <c r="D2" s="23">
        <f>$B2*Sheet5!D5</f>
        <v>1.9</v>
      </c>
      <c r="E2" s="23">
        <f>$B2*Sheet5!E5</f>
        <v>0</v>
      </c>
      <c r="F2" s="23">
        <f>$B2*Sheet5!F5</f>
        <v>24.7</v>
      </c>
      <c r="G2" s="22"/>
      <c r="H2" s="22"/>
      <c r="I2" s="22"/>
      <c r="J2" s="23">
        <v>85.0</v>
      </c>
      <c r="K2" s="23">
        <f t="shared" ref="K2:K7" si="1">J2*0.75</f>
        <v>63.75</v>
      </c>
      <c r="L2" s="23">
        <v>1038700.0</v>
      </c>
      <c r="M2" s="22"/>
      <c r="N2" s="22"/>
      <c r="O2" s="22"/>
      <c r="P2" s="22"/>
      <c r="Q2" s="22"/>
      <c r="R2" s="22"/>
      <c r="S2" s="23">
        <f>$J2*Sheet5!S5</f>
        <v>0</v>
      </c>
      <c r="T2" s="23">
        <f>$J2*Sheet5!T5</f>
        <v>0</v>
      </c>
      <c r="U2" s="23">
        <f>$J2*Sheet5!U5</f>
        <v>0</v>
      </c>
      <c r="V2" s="23">
        <f>$J2*Sheet5!V5</f>
        <v>0</v>
      </c>
      <c r="W2" s="22"/>
      <c r="X2" s="22"/>
    </row>
    <row r="3" ht="15.75" customHeight="1">
      <c r="A3" s="21" t="s">
        <v>9</v>
      </c>
      <c r="B3" s="18">
        <v>144.0</v>
      </c>
      <c r="C3" s="18"/>
      <c r="D3" s="18"/>
      <c r="E3" s="23">
        <f>$B3*Sheet5!E6</f>
        <v>1.44</v>
      </c>
      <c r="F3" s="23">
        <f>$B3*Sheet5!F6</f>
        <v>0</v>
      </c>
      <c r="G3" s="23">
        <f>$B3*Sheet5!G6</f>
        <v>18.72</v>
      </c>
      <c r="H3" s="22"/>
      <c r="I3" s="22"/>
      <c r="J3" s="23">
        <v>84.0</v>
      </c>
      <c r="K3" s="23">
        <f t="shared" si="1"/>
        <v>63</v>
      </c>
      <c r="L3" s="23">
        <v>834200.0</v>
      </c>
      <c r="M3" s="22"/>
      <c r="N3" s="22"/>
      <c r="O3" s="22"/>
      <c r="P3" s="22"/>
      <c r="Q3" s="22"/>
      <c r="R3" s="22"/>
      <c r="S3" s="22"/>
      <c r="T3" s="23">
        <f>$J3*Sheet5!T6</f>
        <v>0</v>
      </c>
      <c r="U3" s="23">
        <f>$J3*Sheet5!U6</f>
        <v>0</v>
      </c>
      <c r="V3" s="23">
        <f>$J3*Sheet5!V6</f>
        <v>0</v>
      </c>
      <c r="W3" s="23">
        <f>$J3*Sheet5!W6</f>
        <v>0</v>
      </c>
      <c r="X3" s="22"/>
    </row>
    <row r="4" ht="15.75" customHeight="1">
      <c r="A4" s="21" t="s">
        <v>10</v>
      </c>
      <c r="B4" s="18">
        <v>147.0</v>
      </c>
      <c r="C4" s="18"/>
      <c r="D4" s="18"/>
      <c r="E4" s="18"/>
      <c r="F4" s="23">
        <f>$B4*Sheet5!F7</f>
        <v>0</v>
      </c>
      <c r="G4" s="23">
        <f>$B4*Sheet5!G7</f>
        <v>0</v>
      </c>
      <c r="H4" s="23">
        <f>$B4*Sheet5!H7</f>
        <v>19.11</v>
      </c>
      <c r="I4" s="22"/>
      <c r="J4" s="23">
        <f>(50/(31+28+7))*(31+28+31)</f>
        <v>68.18181818</v>
      </c>
      <c r="K4" s="23">
        <f t="shared" si="1"/>
        <v>51.13636364</v>
      </c>
      <c r="L4" s="25">
        <v>645203.0</v>
      </c>
      <c r="M4" s="22"/>
      <c r="N4" s="22"/>
      <c r="O4" s="22"/>
      <c r="P4" s="22"/>
      <c r="Q4" s="22"/>
      <c r="R4" s="22"/>
      <c r="S4" s="22"/>
      <c r="T4" s="22"/>
      <c r="U4" s="23">
        <f>$J4*Sheet5!U7</f>
        <v>0</v>
      </c>
      <c r="V4" s="23">
        <f>$J4*Sheet5!V7</f>
        <v>0</v>
      </c>
      <c r="W4" s="23">
        <f>$J4*Sheet5!W7</f>
        <v>0</v>
      </c>
      <c r="X4" s="23">
        <f>$J4*Sheet5!X7</f>
        <v>0</v>
      </c>
    </row>
    <row r="5" ht="15.75" customHeight="1">
      <c r="A5" s="21" t="s">
        <v>11</v>
      </c>
      <c r="B5" s="18">
        <v>147.0</v>
      </c>
      <c r="C5" s="18"/>
      <c r="D5" s="18"/>
      <c r="E5" s="18"/>
      <c r="F5" s="18"/>
      <c r="G5" s="23">
        <f>$B5*Sheet5!G8</f>
        <v>0</v>
      </c>
      <c r="H5" s="23">
        <f>$B5*Sheet5!H8</f>
        <v>0</v>
      </c>
      <c r="I5" s="23">
        <f>$B5*Sheet5!I8</f>
        <v>19.11</v>
      </c>
      <c r="J5" s="23">
        <f>G10</f>
        <v>9.502125813</v>
      </c>
      <c r="K5" s="23">
        <f t="shared" si="1"/>
        <v>7.12659436</v>
      </c>
      <c r="L5" s="23">
        <v>677625.0</v>
      </c>
      <c r="M5" s="22"/>
      <c r="N5" s="22"/>
      <c r="O5" s="22"/>
      <c r="P5" s="22"/>
      <c r="Q5" s="22"/>
      <c r="R5" s="22"/>
      <c r="S5" s="22"/>
      <c r="T5" s="22"/>
      <c r="U5" s="22"/>
      <c r="V5" s="23">
        <f>$J5*Sheet5!V8</f>
        <v>0</v>
      </c>
      <c r="W5" s="23">
        <f>$J5*Sheet5!W8</f>
        <v>0</v>
      </c>
      <c r="X5" s="23">
        <f>$J5*Sheet5!X8</f>
        <v>0</v>
      </c>
    </row>
    <row r="6" ht="15.75" customHeight="1">
      <c r="A6" s="21" t="s">
        <v>12</v>
      </c>
      <c r="B6" s="18">
        <v>147.0</v>
      </c>
      <c r="C6" s="18"/>
      <c r="D6" s="18"/>
      <c r="E6" s="18"/>
      <c r="F6" s="18"/>
      <c r="G6" s="18"/>
      <c r="H6" s="23">
        <f>$B6*Sheet5!H9</f>
        <v>0</v>
      </c>
      <c r="I6" s="23">
        <f>$B6*Sheet5!I9</f>
        <v>0</v>
      </c>
      <c r="J6" s="23">
        <f>H10</f>
        <v>9.700086768</v>
      </c>
      <c r="K6" s="23">
        <f t="shared" si="1"/>
        <v>7.275065076</v>
      </c>
      <c r="L6" s="23">
        <v>677625.0</v>
      </c>
      <c r="M6" s="22"/>
      <c r="N6" s="22"/>
      <c r="O6" s="22"/>
      <c r="P6" s="22"/>
      <c r="Q6" s="22"/>
      <c r="R6" s="22"/>
      <c r="S6" s="22"/>
      <c r="T6" s="22"/>
      <c r="U6" s="22"/>
      <c r="V6" s="22"/>
      <c r="W6" s="23">
        <f>$J6*Sheet5!W9</f>
        <v>0</v>
      </c>
      <c r="X6" s="23">
        <f>$J6*Sheet5!X9</f>
        <v>0</v>
      </c>
    </row>
    <row r="7" ht="15.75" customHeight="1">
      <c r="A7" s="21" t="s">
        <v>13</v>
      </c>
      <c r="B7" s="18">
        <v>147.0</v>
      </c>
      <c r="C7" s="18"/>
      <c r="D7" s="18"/>
      <c r="E7" s="18"/>
      <c r="F7" s="18"/>
      <c r="G7" s="18"/>
      <c r="H7" s="18"/>
      <c r="I7" s="23">
        <f>$B7*Sheet5!I10</f>
        <v>0</v>
      </c>
      <c r="J7" s="23">
        <f>I10</f>
        <v>9.700086768</v>
      </c>
      <c r="K7" s="23">
        <f t="shared" si="1"/>
        <v>7.275065076</v>
      </c>
      <c r="L7" s="23">
        <v>677625.0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3">
        <f>$J7*Sheet5!X10</f>
        <v>0</v>
      </c>
    </row>
    <row r="8" ht="15.75" customHeight="1">
      <c r="A8" s="26" t="s">
        <v>56</v>
      </c>
      <c r="B8" s="18"/>
      <c r="C8" s="19">
        <f t="shared" ref="C8:I8" si="2">sum(C2:C7)</f>
        <v>0</v>
      </c>
      <c r="D8" s="23">
        <f t="shared" si="2"/>
        <v>1.9</v>
      </c>
      <c r="E8" s="23">
        <f t="shared" si="2"/>
        <v>1.44</v>
      </c>
      <c r="F8" s="23">
        <f t="shared" si="2"/>
        <v>24.7</v>
      </c>
      <c r="G8" s="23">
        <f t="shared" si="2"/>
        <v>18.72</v>
      </c>
      <c r="H8" s="23">
        <f t="shared" si="2"/>
        <v>19.11</v>
      </c>
      <c r="I8" s="23">
        <f t="shared" si="2"/>
        <v>19.11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ht="15.75" customHeight="1">
      <c r="A9" s="26" t="s">
        <v>57</v>
      </c>
      <c r="B9" s="18"/>
      <c r="C9" s="30">
        <f t="shared" ref="C9:E9" si="3">0.5</f>
        <v>0.5</v>
      </c>
      <c r="D9" s="30">
        <f t="shared" si="3"/>
        <v>0.5</v>
      </c>
      <c r="E9" s="30">
        <f t="shared" si="3"/>
        <v>0.5</v>
      </c>
      <c r="F9" s="30">
        <f t="shared" ref="F9:I9" si="4">234/461</f>
        <v>0.5075921909</v>
      </c>
      <c r="G9" s="30">
        <f t="shared" si="4"/>
        <v>0.5075921909</v>
      </c>
      <c r="H9" s="30">
        <f t="shared" si="4"/>
        <v>0.5075921909</v>
      </c>
      <c r="I9" s="30">
        <f t="shared" si="4"/>
        <v>0.5075921909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ht="15.75" customHeight="1">
      <c r="A10" s="26" t="s">
        <v>58</v>
      </c>
      <c r="B10" s="18"/>
      <c r="C10" s="19">
        <f t="shared" ref="C10:I10" si="5">C8*C9</f>
        <v>0</v>
      </c>
      <c r="D10" s="19">
        <f t="shared" si="5"/>
        <v>0.95</v>
      </c>
      <c r="E10" s="19">
        <f t="shared" si="5"/>
        <v>0.72</v>
      </c>
      <c r="F10" s="24">
        <f t="shared" si="5"/>
        <v>12.53752711</v>
      </c>
      <c r="G10" s="24">
        <f t="shared" si="5"/>
        <v>9.502125813</v>
      </c>
      <c r="H10" s="24">
        <f t="shared" si="5"/>
        <v>9.700086768</v>
      </c>
      <c r="I10" s="24">
        <f t="shared" si="5"/>
        <v>9.700086768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ht="15.75" customHeight="1">
      <c r="A11" s="26" t="s">
        <v>59</v>
      </c>
      <c r="B11" s="18"/>
      <c r="C11" s="19"/>
      <c r="D11" s="19"/>
      <c r="E11" s="19"/>
      <c r="F11" s="39">
        <f>F10-J4</f>
        <v>-55.64429107</v>
      </c>
      <c r="G11" s="24">
        <f>G10-J5</f>
        <v>0</v>
      </c>
      <c r="H11" s="24">
        <f>H10-J6</f>
        <v>0</v>
      </c>
      <c r="I11" s="24">
        <f>I10-J7</f>
        <v>0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ht="15.75" customHeight="1">
      <c r="A12" s="26" t="s">
        <v>15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27"/>
      <c r="M12" s="28">
        <f t="shared" ref="M12:X12" si="6">sum(M2:M7)</f>
        <v>0</v>
      </c>
      <c r="N12" s="28">
        <f t="shared" si="6"/>
        <v>0</v>
      </c>
      <c r="O12" s="28">
        <f t="shared" si="6"/>
        <v>0</v>
      </c>
      <c r="P12" s="28">
        <f t="shared" si="6"/>
        <v>0</v>
      </c>
      <c r="Q12" s="28">
        <f t="shared" si="6"/>
        <v>0</v>
      </c>
      <c r="R12" s="28">
        <f t="shared" si="6"/>
        <v>0</v>
      </c>
      <c r="S12" s="28">
        <f t="shared" si="6"/>
        <v>0</v>
      </c>
      <c r="T12" s="28">
        <f t="shared" si="6"/>
        <v>0</v>
      </c>
      <c r="U12" s="23">
        <f t="shared" si="6"/>
        <v>0</v>
      </c>
      <c r="V12" s="23">
        <f t="shared" si="6"/>
        <v>0</v>
      </c>
      <c r="W12" s="23">
        <f t="shared" si="6"/>
        <v>0</v>
      </c>
      <c r="X12" s="23">
        <f t="shared" si="6"/>
        <v>0</v>
      </c>
    </row>
    <row r="13" ht="15.75" customHeight="1">
      <c r="A13" s="26" t="s">
        <v>60</v>
      </c>
      <c r="B13" s="18"/>
      <c r="C13" s="18"/>
      <c r="D13" s="18"/>
      <c r="E13" s="18"/>
      <c r="F13" s="18"/>
      <c r="G13" s="18"/>
      <c r="H13" s="18"/>
      <c r="I13" s="18"/>
      <c r="J13" s="18"/>
      <c r="K13" s="22"/>
      <c r="L13" s="22"/>
      <c r="M13" s="23" t="s">
        <v>18</v>
      </c>
      <c r="N13" s="23" t="s">
        <v>18</v>
      </c>
      <c r="O13" s="23" t="s">
        <v>18</v>
      </c>
      <c r="P13" s="23" t="s">
        <v>18</v>
      </c>
      <c r="Q13" s="23">
        <v>582000.0</v>
      </c>
      <c r="R13" s="23">
        <v>749000.0</v>
      </c>
      <c r="S13" s="23">
        <v>1204000.0</v>
      </c>
      <c r="T13" s="23">
        <v>1750000.0</v>
      </c>
      <c r="U13" s="23">
        <v>1375000.0</v>
      </c>
      <c r="V13" s="23">
        <v>1700000.0</v>
      </c>
      <c r="W13" s="23">
        <f t="shared" ref="W13:X13" si="7">V13</f>
        <v>1700000</v>
      </c>
      <c r="X13" s="23">
        <f t="shared" si="7"/>
        <v>1700000</v>
      </c>
    </row>
    <row r="14" ht="15.75" customHeight="1">
      <c r="A14" s="26" t="s">
        <v>17</v>
      </c>
      <c r="B14" s="18"/>
      <c r="C14" s="18"/>
      <c r="D14" s="18"/>
      <c r="E14" s="18"/>
      <c r="F14" s="18"/>
      <c r="G14" s="18"/>
      <c r="H14" s="18"/>
      <c r="I14" s="18"/>
      <c r="J14" s="18"/>
      <c r="K14" s="22"/>
      <c r="L14" s="22"/>
      <c r="M14" s="23" t="s">
        <v>18</v>
      </c>
      <c r="N14" s="23" t="s">
        <v>18</v>
      </c>
      <c r="O14" s="23" t="s">
        <v>18</v>
      </c>
      <c r="P14" s="23" t="s">
        <v>18</v>
      </c>
      <c r="Q14" s="23">
        <f>3267624+Q13</f>
        <v>3849624</v>
      </c>
      <c r="R14" s="23">
        <f t="shared" ref="R14:X14" si="8">Q14+R13</f>
        <v>4598624</v>
      </c>
      <c r="S14" s="23">
        <f t="shared" si="8"/>
        <v>5802624</v>
      </c>
      <c r="T14" s="23">
        <f t="shared" si="8"/>
        <v>7552624</v>
      </c>
      <c r="U14" s="23">
        <f t="shared" si="8"/>
        <v>8927624</v>
      </c>
      <c r="V14" s="23">
        <f t="shared" si="8"/>
        <v>10627624</v>
      </c>
      <c r="W14" s="23">
        <f t="shared" si="8"/>
        <v>12327624</v>
      </c>
      <c r="X14" s="23">
        <f t="shared" si="8"/>
        <v>14027624</v>
      </c>
    </row>
    <row r="15" ht="15.75" customHeight="1">
      <c r="A15" s="26" t="s">
        <v>19</v>
      </c>
      <c r="B15" s="18"/>
      <c r="C15" s="18"/>
      <c r="D15" s="18"/>
      <c r="E15" s="18"/>
      <c r="F15" s="18"/>
      <c r="G15" s="18"/>
      <c r="H15" s="18"/>
      <c r="I15" s="18"/>
      <c r="J15" s="18"/>
      <c r="K15" s="22"/>
      <c r="L15" s="22"/>
      <c r="M15" s="23">
        <v>35000.0</v>
      </c>
      <c r="N15" s="23">
        <v>35000.0</v>
      </c>
      <c r="O15" s="23">
        <v>35000.0</v>
      </c>
      <c r="P15" s="23">
        <v>35000.0</v>
      </c>
      <c r="Q15" s="23">
        <v>35000.0</v>
      </c>
      <c r="R15" s="23">
        <v>35000.0</v>
      </c>
      <c r="S15" s="23">
        <v>45000.0</v>
      </c>
      <c r="T15" s="23">
        <v>45000.0</v>
      </c>
      <c r="U15" s="23">
        <v>52373.0</v>
      </c>
      <c r="V15" s="23">
        <v>50000.0</v>
      </c>
      <c r="W15" s="23">
        <v>50000.0</v>
      </c>
      <c r="X15" s="23">
        <v>50000.0</v>
      </c>
    </row>
    <row r="16" ht="15.75" customHeight="1">
      <c r="A16" s="26" t="s">
        <v>20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>
        <v>2.0</v>
      </c>
      <c r="N16" s="19">
        <v>2.0</v>
      </c>
      <c r="O16" s="19">
        <v>2.0</v>
      </c>
      <c r="P16" s="19">
        <v>2.0</v>
      </c>
      <c r="Q16" s="19">
        <v>2.0</v>
      </c>
      <c r="R16" s="19">
        <v>3.0</v>
      </c>
      <c r="S16" s="19">
        <v>3.0</v>
      </c>
      <c r="T16" s="19">
        <v>3.0</v>
      </c>
      <c r="U16" s="19">
        <v>4.5</v>
      </c>
      <c r="V16" s="19">
        <v>3.5</v>
      </c>
      <c r="W16" s="19">
        <v>4.5</v>
      </c>
      <c r="X16" s="19">
        <v>3.5</v>
      </c>
    </row>
    <row r="17" ht="15.75" customHeight="1">
      <c r="A17" s="26" t="s">
        <v>21</v>
      </c>
      <c r="B17" s="18"/>
      <c r="C17" s="18"/>
      <c r="D17" s="18"/>
      <c r="E17" s="18"/>
      <c r="F17" s="18"/>
      <c r="G17" s="18"/>
      <c r="H17" s="18"/>
      <c r="I17" s="18"/>
      <c r="J17" s="18"/>
      <c r="K17" s="22"/>
      <c r="L17" s="22"/>
      <c r="M17" s="23" t="s">
        <v>18</v>
      </c>
      <c r="N17" s="23" t="s">
        <v>18</v>
      </c>
      <c r="O17" s="23" t="s">
        <v>18</v>
      </c>
      <c r="P17" s="23" t="s">
        <v>18</v>
      </c>
      <c r="Q17" s="23">
        <f t="shared" ref="Q17:X17" si="9">(Q13/Q15)*Q16</f>
        <v>33.25714286</v>
      </c>
      <c r="R17" s="23">
        <f t="shared" si="9"/>
        <v>64.2</v>
      </c>
      <c r="S17" s="23">
        <f t="shared" si="9"/>
        <v>80.26666667</v>
      </c>
      <c r="T17" s="23">
        <f t="shared" si="9"/>
        <v>116.6666667</v>
      </c>
      <c r="U17" s="23">
        <f t="shared" si="9"/>
        <v>118.1429362</v>
      </c>
      <c r="V17" s="23">
        <f t="shared" si="9"/>
        <v>119</v>
      </c>
      <c r="W17" s="23">
        <f t="shared" si="9"/>
        <v>153</v>
      </c>
      <c r="X17" s="23">
        <f t="shared" si="9"/>
        <v>119</v>
      </c>
    </row>
    <row r="18" ht="15.75" customHeight="1">
      <c r="A18" s="26" t="s">
        <v>22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 t="s">
        <v>18</v>
      </c>
      <c r="N18" s="19" t="s">
        <v>18</v>
      </c>
      <c r="O18" s="19" t="s">
        <v>18</v>
      </c>
      <c r="P18" s="19" t="s">
        <v>18</v>
      </c>
      <c r="Q18" s="23">
        <f t="shared" ref="Q18:X18" si="10">Q17-Q12</f>
        <v>33.25714286</v>
      </c>
      <c r="R18" s="23">
        <f t="shared" si="10"/>
        <v>64.2</v>
      </c>
      <c r="S18" s="23">
        <f t="shared" si="10"/>
        <v>80.26666667</v>
      </c>
      <c r="T18" s="23">
        <f t="shared" si="10"/>
        <v>116.6666667</v>
      </c>
      <c r="U18" s="23">
        <f t="shared" si="10"/>
        <v>118.1429362</v>
      </c>
      <c r="V18" s="23">
        <f t="shared" si="10"/>
        <v>119</v>
      </c>
      <c r="W18" s="23">
        <f t="shared" si="10"/>
        <v>153</v>
      </c>
      <c r="X18" s="23">
        <f t="shared" si="10"/>
        <v>119</v>
      </c>
    </row>
    <row r="19" ht="15.75" customHeight="1">
      <c r="A19" s="26" t="s">
        <v>23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9" t="s">
        <v>33</v>
      </c>
      <c r="N19" s="19" t="s">
        <v>33</v>
      </c>
      <c r="O19" s="19" t="s">
        <v>33</v>
      </c>
      <c r="P19" s="19" t="s">
        <v>33</v>
      </c>
      <c r="Q19" s="30">
        <f t="shared" ref="Q19:X19" si="11">Q12/Q17</f>
        <v>0</v>
      </c>
      <c r="R19" s="30">
        <f t="shared" si="11"/>
        <v>0</v>
      </c>
      <c r="S19" s="30">
        <f t="shared" si="11"/>
        <v>0</v>
      </c>
      <c r="T19" s="30">
        <f t="shared" si="11"/>
        <v>0</v>
      </c>
      <c r="U19" s="30">
        <f t="shared" si="11"/>
        <v>0</v>
      </c>
      <c r="V19" s="30">
        <f t="shared" si="11"/>
        <v>0</v>
      </c>
      <c r="W19" s="30">
        <f t="shared" si="11"/>
        <v>0</v>
      </c>
      <c r="X19" s="30">
        <f t="shared" si="11"/>
        <v>0</v>
      </c>
    </row>
    <row r="20" ht="15.75" customHeight="1">
      <c r="A20" s="9" t="s">
        <v>61</v>
      </c>
      <c r="B20" s="2"/>
      <c r="C20" s="2"/>
      <c r="D20" s="2"/>
      <c r="E20" s="2"/>
      <c r="F20" s="2"/>
      <c r="G20" s="2"/>
      <c r="H20" s="2"/>
      <c r="I20" s="2"/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6">
        <f t="shared" ref="U20:X20" si="12">U19*U13</f>
        <v>0</v>
      </c>
      <c r="V20" s="6">
        <f t="shared" si="12"/>
        <v>0</v>
      </c>
      <c r="W20" s="6">
        <f t="shared" si="12"/>
        <v>0</v>
      </c>
      <c r="X20" s="6">
        <f t="shared" si="12"/>
        <v>0</v>
      </c>
    </row>
    <row r="21" ht="15.75" customHeight="1">
      <c r="A21" s="9" t="s">
        <v>62</v>
      </c>
      <c r="B21" s="2"/>
      <c r="C21" s="2"/>
      <c r="D21" s="2"/>
      <c r="E21" s="2"/>
      <c r="F21" s="2"/>
      <c r="G21" s="2"/>
      <c r="H21" s="2"/>
      <c r="I21" s="2"/>
      <c r="J21" s="2">
        <v>6450000.0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6">
        <f>6500000+U20-120000</f>
        <v>6380000</v>
      </c>
      <c r="V21" s="6">
        <f t="shared" ref="V21:X21" si="13">U21+V20-120000</f>
        <v>6260000</v>
      </c>
      <c r="W21" s="6">
        <f t="shared" si="13"/>
        <v>6140000</v>
      </c>
      <c r="X21" s="6">
        <f t="shared" si="13"/>
        <v>6020000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6" width="5.88"/>
    <col customWidth="1" min="7" max="7" width="5.63"/>
    <col customWidth="1" min="8" max="8" width="6.25"/>
    <col customWidth="1" min="9" max="9" width="6.75"/>
    <col customWidth="1" min="10" max="10" width="5.25"/>
    <col customWidth="1" hidden="1" min="11" max="11" width="14.0"/>
    <col customWidth="1" hidden="1" min="12" max="12" width="9.25"/>
    <col customWidth="1" hidden="1" min="13" max="16" width="6.63"/>
    <col customWidth="1" hidden="1" min="17" max="17" width="7.63"/>
    <col customWidth="1" hidden="1" min="18" max="18" width="7.5"/>
    <col customWidth="1" hidden="1" min="19" max="19" width="8.75"/>
    <col customWidth="1" hidden="1" min="20" max="20" width="8.38"/>
    <col customWidth="1" min="21" max="24" width="9.38"/>
    <col customWidth="1" min="25" max="25" width="15.0"/>
    <col customWidth="1" min="26" max="26" width="13.5"/>
  </cols>
  <sheetData>
    <row r="1" ht="15.75" customHeight="1">
      <c r="A1" s="17" t="s">
        <v>0</v>
      </c>
      <c r="B1" s="17"/>
      <c r="C1" s="17" t="s">
        <v>7</v>
      </c>
      <c r="D1" s="17" t="s">
        <v>8</v>
      </c>
      <c r="E1" s="17" t="s">
        <v>9</v>
      </c>
      <c r="F1" s="17" t="s">
        <v>10</v>
      </c>
      <c r="G1" s="17" t="s">
        <v>11</v>
      </c>
      <c r="H1" s="17" t="s">
        <v>12</v>
      </c>
      <c r="I1" s="17" t="s">
        <v>13</v>
      </c>
      <c r="J1" s="17" t="s">
        <v>1</v>
      </c>
      <c r="K1" s="17"/>
      <c r="L1" s="17"/>
      <c r="M1" s="17" t="s">
        <v>2</v>
      </c>
      <c r="N1" s="17" t="s">
        <v>3</v>
      </c>
      <c r="O1" s="17" t="s">
        <v>4</v>
      </c>
      <c r="P1" s="17" t="s">
        <v>5</v>
      </c>
      <c r="Q1" s="17" t="s">
        <v>6</v>
      </c>
      <c r="R1" s="17" t="s">
        <v>7</v>
      </c>
      <c r="S1" s="17" t="s">
        <v>8</v>
      </c>
      <c r="T1" s="17" t="s">
        <v>9</v>
      </c>
      <c r="U1" s="17" t="s">
        <v>10</v>
      </c>
      <c r="V1" s="17" t="s">
        <v>11</v>
      </c>
      <c r="W1" s="17" t="s">
        <v>12</v>
      </c>
      <c r="X1" s="17" t="s">
        <v>13</v>
      </c>
      <c r="Y1" s="36" t="s">
        <v>53</v>
      </c>
    </row>
    <row r="2" ht="15.75" hidden="1" customHeight="1">
      <c r="A2" s="17" t="s">
        <v>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>
        <v>0.13</v>
      </c>
      <c r="N2" s="19">
        <v>0.43</v>
      </c>
      <c r="O2" s="19">
        <v>0.36</v>
      </c>
      <c r="P2" s="19">
        <v>0.08</v>
      </c>
      <c r="Q2" s="18"/>
      <c r="R2" s="18"/>
      <c r="S2" s="18"/>
      <c r="T2" s="18"/>
      <c r="U2" s="18"/>
      <c r="V2" s="18"/>
      <c r="W2" s="18"/>
      <c r="X2" s="18"/>
      <c r="Y2" s="3"/>
    </row>
    <row r="3" ht="15.75" hidden="1" customHeight="1">
      <c r="A3" s="17" t="s">
        <v>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9">
        <v>0.13</v>
      </c>
      <c r="O3" s="19">
        <v>0.43</v>
      </c>
      <c r="P3" s="19">
        <v>0.36</v>
      </c>
      <c r="Q3" s="19">
        <v>0.08</v>
      </c>
      <c r="R3" s="18"/>
      <c r="S3" s="18"/>
      <c r="T3" s="18"/>
      <c r="U3" s="18"/>
      <c r="V3" s="18"/>
      <c r="W3" s="18"/>
      <c r="X3" s="18"/>
      <c r="Y3" s="3"/>
    </row>
    <row r="4" ht="15.75" hidden="1" customHeight="1">
      <c r="A4" s="17" t="s">
        <v>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>
        <v>0.13</v>
      </c>
      <c r="P4" s="19">
        <v>0.43</v>
      </c>
      <c r="Q4" s="19">
        <v>0.36</v>
      </c>
      <c r="R4" s="19">
        <v>0.08</v>
      </c>
      <c r="S4" s="18"/>
      <c r="T4" s="18"/>
      <c r="U4" s="18"/>
      <c r="V4" s="18"/>
      <c r="W4" s="18"/>
      <c r="X4" s="18"/>
      <c r="Y4" s="3"/>
    </row>
    <row r="5" ht="15.75" hidden="1" customHeight="1">
      <c r="A5" s="17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9">
        <v>0.13</v>
      </c>
      <c r="Q5" s="19">
        <v>0.43</v>
      </c>
      <c r="R5" s="19">
        <v>0.36</v>
      </c>
      <c r="S5" s="19">
        <v>0.08</v>
      </c>
      <c r="T5" s="18"/>
      <c r="U5" s="18"/>
      <c r="V5" s="18"/>
      <c r="W5" s="18"/>
      <c r="X5" s="18"/>
      <c r="Y5" s="3"/>
    </row>
    <row r="6" ht="15.75" customHeight="1">
      <c r="A6" s="17" t="s">
        <v>6</v>
      </c>
      <c r="B6" s="18"/>
      <c r="C6" s="30">
        <f>227/255</f>
        <v>0.8901960784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0">
        <v>0.13</v>
      </c>
      <c r="R6" s="30">
        <v>0.43</v>
      </c>
      <c r="S6" s="30">
        <v>0.36</v>
      </c>
      <c r="T6" s="30">
        <v>0.08</v>
      </c>
      <c r="U6" s="37"/>
      <c r="V6" s="37"/>
      <c r="W6" s="37"/>
      <c r="X6" s="37"/>
      <c r="Y6" s="3"/>
    </row>
    <row r="7" ht="15.75" customHeight="1">
      <c r="A7" s="17" t="s">
        <v>7</v>
      </c>
      <c r="B7" s="18"/>
      <c r="C7" s="30">
        <f>25/255</f>
        <v>0.09803921569</v>
      </c>
      <c r="D7" s="30">
        <f>227/255</f>
        <v>0.8901960784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0">
        <v>0.13</v>
      </c>
      <c r="S7" s="30">
        <v>0.43</v>
      </c>
      <c r="T7" s="30">
        <v>0.36</v>
      </c>
      <c r="U7" s="30">
        <v>0.11</v>
      </c>
      <c r="V7" s="37"/>
      <c r="W7" s="37"/>
      <c r="X7" s="37"/>
      <c r="Y7" s="3"/>
    </row>
    <row r="8" ht="15.75" customHeight="1">
      <c r="A8" s="17" t="s">
        <v>8</v>
      </c>
      <c r="B8" s="18"/>
      <c r="C8" s="30">
        <f>3/255</f>
        <v>0.01176470588</v>
      </c>
      <c r="D8" s="30">
        <f>25/255</f>
        <v>0.09803921569</v>
      </c>
      <c r="E8" s="30">
        <f>227/255</f>
        <v>0.8901960784</v>
      </c>
      <c r="F8" s="30">
        <v>0.01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0">
        <v>0.13</v>
      </c>
      <c r="T8" s="30">
        <v>0.43</v>
      </c>
      <c r="U8" s="30">
        <v>0.26</v>
      </c>
      <c r="V8" s="30">
        <v>0.11</v>
      </c>
      <c r="W8" s="37"/>
      <c r="X8" s="37"/>
      <c r="Y8" s="3"/>
    </row>
    <row r="9" ht="15.75" customHeight="1">
      <c r="A9" s="17" t="s">
        <v>9</v>
      </c>
      <c r="B9" s="18"/>
      <c r="C9" s="30"/>
      <c r="D9" s="30">
        <f>3/255</f>
        <v>0.01176470588</v>
      </c>
      <c r="E9" s="30">
        <f>25/255</f>
        <v>0.09803921569</v>
      </c>
      <c r="F9" s="30">
        <v>0.1</v>
      </c>
      <c r="G9" s="30">
        <v>0.01</v>
      </c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0">
        <v>0.13</v>
      </c>
      <c r="U9" s="30">
        <v>0.4</v>
      </c>
      <c r="V9" s="30">
        <v>0.26</v>
      </c>
      <c r="W9" s="30">
        <v>0.11</v>
      </c>
      <c r="X9" s="37"/>
      <c r="Y9" s="3"/>
    </row>
    <row r="10" ht="15.75" customHeight="1">
      <c r="A10" s="17" t="s">
        <v>10</v>
      </c>
      <c r="B10" s="18"/>
      <c r="C10" s="37"/>
      <c r="D10" s="30"/>
      <c r="E10" s="30">
        <f>3/255</f>
        <v>0.01176470588</v>
      </c>
      <c r="F10" s="30">
        <f>227/255</f>
        <v>0.8901960784</v>
      </c>
      <c r="G10" s="30">
        <v>0.1</v>
      </c>
      <c r="H10" s="30">
        <v>0.01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0">
        <v>0.23</v>
      </c>
      <c r="V10" s="30">
        <v>0.4</v>
      </c>
      <c r="W10" s="30">
        <v>0.26</v>
      </c>
      <c r="X10" s="30">
        <v>0.11</v>
      </c>
      <c r="Y10" s="3"/>
    </row>
    <row r="11" ht="15.75" customHeight="1">
      <c r="A11" s="17" t="s">
        <v>11</v>
      </c>
      <c r="B11" s="18"/>
      <c r="C11" s="37"/>
      <c r="D11" s="37"/>
      <c r="E11" s="30"/>
      <c r="F11" s="37"/>
      <c r="G11" s="30">
        <f>227/255</f>
        <v>0.8901960784</v>
      </c>
      <c r="H11" s="30">
        <v>0.1</v>
      </c>
      <c r="I11" s="30">
        <v>0.01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0">
        <v>0.23</v>
      </c>
      <c r="W11" s="30">
        <v>0.4</v>
      </c>
      <c r="X11" s="30">
        <v>0.26</v>
      </c>
      <c r="Y11" s="30"/>
    </row>
    <row r="12" ht="15.75" customHeight="1">
      <c r="A12" s="17" t="s">
        <v>12</v>
      </c>
      <c r="B12" s="18"/>
      <c r="C12" s="37"/>
      <c r="D12" s="37"/>
      <c r="E12" s="37"/>
      <c r="F12" s="37"/>
      <c r="G12" s="37"/>
      <c r="H12" s="30">
        <f>227/255</f>
        <v>0.8901960784</v>
      </c>
      <c r="I12" s="30">
        <v>0.1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0">
        <v>0.23</v>
      </c>
      <c r="X12" s="30">
        <v>0.4</v>
      </c>
      <c r="Y12" s="3"/>
    </row>
    <row r="13" ht="15.75" customHeight="1">
      <c r="A13" s="17" t="s">
        <v>13</v>
      </c>
      <c r="B13" s="18"/>
      <c r="C13" s="37"/>
      <c r="D13" s="37"/>
      <c r="E13" s="37"/>
      <c r="F13" s="37"/>
      <c r="G13" s="37"/>
      <c r="H13" s="37"/>
      <c r="I13" s="30">
        <v>0.89</v>
      </c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0">
        <v>0.13</v>
      </c>
      <c r="Y13" s="3"/>
    </row>
    <row r="14" ht="15.75" customHeight="1">
      <c r="A14" s="20"/>
      <c r="B14" s="21" t="s">
        <v>54</v>
      </c>
      <c r="C14" s="21" t="s">
        <v>7</v>
      </c>
      <c r="D14" s="21" t="s">
        <v>8</v>
      </c>
      <c r="E14" s="21" t="s">
        <v>9</v>
      </c>
      <c r="F14" s="21" t="s">
        <v>10</v>
      </c>
      <c r="G14" s="21" t="s">
        <v>11</v>
      </c>
      <c r="H14" s="21" t="s">
        <v>12</v>
      </c>
      <c r="I14" s="21" t="s">
        <v>13</v>
      </c>
      <c r="J14" s="21" t="s">
        <v>14</v>
      </c>
      <c r="K14" s="21" t="s">
        <v>30</v>
      </c>
      <c r="L14" s="21" t="s">
        <v>31</v>
      </c>
      <c r="M14" s="21" t="s">
        <v>2</v>
      </c>
      <c r="N14" s="21" t="s">
        <v>3</v>
      </c>
      <c r="O14" s="21" t="s">
        <v>4</v>
      </c>
      <c r="P14" s="21" t="s">
        <v>5</v>
      </c>
      <c r="Q14" s="21" t="s">
        <v>6</v>
      </c>
      <c r="R14" s="21" t="s">
        <v>7</v>
      </c>
      <c r="S14" s="21" t="s">
        <v>8</v>
      </c>
      <c r="T14" s="21" t="s">
        <v>9</v>
      </c>
      <c r="U14" s="21" t="s">
        <v>10</v>
      </c>
      <c r="V14" s="21" t="s">
        <v>11</v>
      </c>
      <c r="W14" s="21" t="s">
        <v>12</v>
      </c>
      <c r="X14" s="21" t="s">
        <v>13</v>
      </c>
      <c r="Y14" s="3"/>
      <c r="Z14" s="38" t="s">
        <v>55</v>
      </c>
    </row>
    <row r="15" ht="15.75" hidden="1" customHeight="1">
      <c r="A15" s="21" t="s">
        <v>2</v>
      </c>
      <c r="B15" s="22"/>
      <c r="C15" s="22"/>
      <c r="D15" s="22"/>
      <c r="E15" s="22"/>
      <c r="F15" s="22"/>
      <c r="G15" s="22"/>
      <c r="H15" s="22"/>
      <c r="I15" s="22"/>
      <c r="J15" s="19">
        <v>29.0</v>
      </c>
      <c r="K15" s="22"/>
      <c r="L15" s="22"/>
      <c r="M15" s="23">
        <f t="shared" ref="M15:P15" si="1">$J15*M2</f>
        <v>3.77</v>
      </c>
      <c r="N15" s="23">
        <f t="shared" si="1"/>
        <v>12.47</v>
      </c>
      <c r="O15" s="23">
        <f t="shared" si="1"/>
        <v>10.44</v>
      </c>
      <c r="P15" s="23">
        <f t="shared" si="1"/>
        <v>2.32</v>
      </c>
      <c r="Q15" s="22"/>
      <c r="R15" s="22"/>
      <c r="S15" s="22"/>
      <c r="T15" s="22"/>
      <c r="U15" s="22"/>
      <c r="V15" s="22"/>
      <c r="W15" s="22"/>
      <c r="X15" s="22"/>
      <c r="Y15" s="3"/>
      <c r="Z15" s="3"/>
    </row>
    <row r="16" ht="15.75" hidden="1" customHeight="1">
      <c r="A16" s="21" t="s">
        <v>3</v>
      </c>
      <c r="B16" s="22"/>
      <c r="C16" s="22"/>
      <c r="D16" s="22"/>
      <c r="E16" s="22"/>
      <c r="F16" s="22"/>
      <c r="G16" s="22"/>
      <c r="H16" s="22"/>
      <c r="I16" s="22"/>
      <c r="J16" s="19">
        <f>15+11+6</f>
        <v>32</v>
      </c>
      <c r="K16" s="22"/>
      <c r="L16" s="22"/>
      <c r="M16" s="22"/>
      <c r="N16" s="23">
        <f t="shared" ref="N16:Q16" si="2">$J16*N3</f>
        <v>4.16</v>
      </c>
      <c r="O16" s="23">
        <f t="shared" si="2"/>
        <v>13.76</v>
      </c>
      <c r="P16" s="23">
        <f t="shared" si="2"/>
        <v>11.52</v>
      </c>
      <c r="Q16" s="23">
        <f t="shared" si="2"/>
        <v>2.56</v>
      </c>
      <c r="R16" s="22"/>
      <c r="S16" s="22"/>
      <c r="T16" s="22"/>
      <c r="U16" s="22"/>
      <c r="V16" s="22"/>
      <c r="W16" s="22"/>
      <c r="X16" s="22"/>
      <c r="Y16" s="3"/>
      <c r="Z16" s="3"/>
    </row>
    <row r="17" ht="15.75" hidden="1" customHeight="1">
      <c r="A17" s="21" t="s">
        <v>4</v>
      </c>
      <c r="B17" s="22"/>
      <c r="C17" s="22"/>
      <c r="D17" s="22"/>
      <c r="E17" s="22"/>
      <c r="F17" s="22"/>
      <c r="G17" s="22"/>
      <c r="H17" s="22"/>
      <c r="I17" s="22"/>
      <c r="J17" s="19">
        <f>30+19+20</f>
        <v>69</v>
      </c>
      <c r="K17" s="22"/>
      <c r="L17" s="22"/>
      <c r="M17" s="22"/>
      <c r="N17" s="22"/>
      <c r="O17" s="23">
        <f t="shared" ref="O17:R17" si="3">$J17*O4</f>
        <v>8.97</v>
      </c>
      <c r="P17" s="23">
        <f t="shared" si="3"/>
        <v>29.67</v>
      </c>
      <c r="Q17" s="23">
        <f t="shared" si="3"/>
        <v>24.84</v>
      </c>
      <c r="R17" s="23">
        <f t="shared" si="3"/>
        <v>5.52</v>
      </c>
      <c r="S17" s="22"/>
      <c r="T17" s="22"/>
      <c r="U17" s="22"/>
      <c r="V17" s="22"/>
      <c r="W17" s="22"/>
      <c r="X17" s="22"/>
      <c r="Y17" s="3"/>
      <c r="Z17" s="3"/>
    </row>
    <row r="18" ht="15.75" hidden="1" customHeight="1">
      <c r="A18" s="21" t="s">
        <v>5</v>
      </c>
      <c r="B18" s="22"/>
      <c r="C18" s="22"/>
      <c r="D18" s="22"/>
      <c r="E18" s="22"/>
      <c r="F18" s="22"/>
      <c r="G18" s="22"/>
      <c r="H18" s="22"/>
      <c r="I18" s="22"/>
      <c r="J18" s="19">
        <f>16+28+16</f>
        <v>60</v>
      </c>
      <c r="K18" s="22"/>
      <c r="L18" s="22"/>
      <c r="M18" s="22"/>
      <c r="N18" s="22"/>
      <c r="O18" s="22"/>
      <c r="P18" s="23">
        <f t="shared" ref="P18:S18" si="4">$J18*P5</f>
        <v>7.8</v>
      </c>
      <c r="Q18" s="23">
        <f t="shared" si="4"/>
        <v>25.8</v>
      </c>
      <c r="R18" s="23">
        <f t="shared" si="4"/>
        <v>21.6</v>
      </c>
      <c r="S18" s="23">
        <f t="shared" si="4"/>
        <v>4.8</v>
      </c>
      <c r="T18" s="22"/>
      <c r="U18" s="22"/>
      <c r="V18" s="22"/>
      <c r="W18" s="22"/>
      <c r="X18" s="22"/>
      <c r="Y18" s="3"/>
      <c r="Z18" s="3"/>
    </row>
    <row r="19" ht="15.75" hidden="1" customHeight="1">
      <c r="A19" s="21" t="s">
        <v>6</v>
      </c>
      <c r="B19" s="19">
        <v>56.0</v>
      </c>
      <c r="C19" s="23">
        <f t="shared" ref="C19:C21" si="6">$B19*C6</f>
        <v>49.85098039</v>
      </c>
      <c r="D19" s="22"/>
      <c r="E19" s="22"/>
      <c r="F19" s="22"/>
      <c r="G19" s="22"/>
      <c r="H19" s="22"/>
      <c r="I19" s="22"/>
      <c r="J19" s="19">
        <f>16+23+34</f>
        <v>73</v>
      </c>
      <c r="K19" s="22"/>
      <c r="L19" s="23">
        <v>657933.0</v>
      </c>
      <c r="M19" s="22"/>
      <c r="N19" s="22"/>
      <c r="O19" s="22"/>
      <c r="P19" s="22"/>
      <c r="Q19" s="23">
        <f t="shared" ref="Q19:T19" si="5">$J19*Q6</f>
        <v>9.49</v>
      </c>
      <c r="R19" s="23">
        <f t="shared" si="5"/>
        <v>31.39</v>
      </c>
      <c r="S19" s="23">
        <f t="shared" si="5"/>
        <v>26.28</v>
      </c>
      <c r="T19" s="23">
        <f t="shared" si="5"/>
        <v>5.84</v>
      </c>
      <c r="U19" s="22"/>
      <c r="V19" s="22"/>
      <c r="W19" s="22"/>
      <c r="X19" s="22"/>
      <c r="Y19" s="3"/>
      <c r="Z19" s="3"/>
    </row>
    <row r="20" ht="15.75" customHeight="1">
      <c r="A20" s="21" t="s">
        <v>7</v>
      </c>
      <c r="B20" s="18">
        <v>128.0</v>
      </c>
      <c r="C20" s="23">
        <f t="shared" si="6"/>
        <v>12.54901961</v>
      </c>
      <c r="D20" s="23">
        <f t="shared" ref="D20:D22" si="8">$B20*D7</f>
        <v>113.945098</v>
      </c>
      <c r="E20" s="22"/>
      <c r="F20" s="22"/>
      <c r="G20" s="22"/>
      <c r="H20" s="22"/>
      <c r="I20" s="22"/>
      <c r="J20" s="24">
        <v>91.0</v>
      </c>
      <c r="K20" s="22"/>
      <c r="L20" s="23">
        <v>852976.0</v>
      </c>
      <c r="M20" s="22"/>
      <c r="N20" s="22"/>
      <c r="O20" s="22"/>
      <c r="P20" s="22"/>
      <c r="Q20" s="22"/>
      <c r="R20" s="23">
        <f t="shared" ref="R20:U20" si="7">$J20*R7</f>
        <v>11.83</v>
      </c>
      <c r="S20" s="23">
        <f t="shared" si="7"/>
        <v>39.13</v>
      </c>
      <c r="T20" s="23">
        <f t="shared" si="7"/>
        <v>32.76</v>
      </c>
      <c r="U20" s="23">
        <f t="shared" si="7"/>
        <v>10.01</v>
      </c>
      <c r="V20" s="22"/>
      <c r="W20" s="22"/>
      <c r="X20" s="22"/>
      <c r="Y20" s="3"/>
      <c r="Z20" s="3"/>
    </row>
    <row r="21" ht="15.75" customHeight="1">
      <c r="A21" s="21" t="s">
        <v>8</v>
      </c>
      <c r="B21" s="18">
        <v>190.0</v>
      </c>
      <c r="C21" s="23">
        <f t="shared" si="6"/>
        <v>2.235294118</v>
      </c>
      <c r="D21" s="23">
        <f t="shared" si="8"/>
        <v>18.62745098</v>
      </c>
      <c r="E21" s="23">
        <f t="shared" ref="E21:F21" si="9">$B21*E8</f>
        <v>169.1372549</v>
      </c>
      <c r="F21" s="23">
        <f t="shared" si="9"/>
        <v>1.9</v>
      </c>
      <c r="G21" s="22"/>
      <c r="H21" s="22"/>
      <c r="I21" s="22"/>
      <c r="J21" s="23">
        <v>83.0</v>
      </c>
      <c r="K21" s="23">
        <f t="shared" ref="K21:K26" si="12">J21*0.75</f>
        <v>62.25</v>
      </c>
      <c r="L21" s="23">
        <v>1038700.0</v>
      </c>
      <c r="M21" s="22"/>
      <c r="N21" s="22"/>
      <c r="O21" s="22"/>
      <c r="P21" s="22"/>
      <c r="Q21" s="22"/>
      <c r="R21" s="22"/>
      <c r="S21" s="23">
        <f t="shared" ref="S21:V21" si="10">$J21*S8</f>
        <v>10.79</v>
      </c>
      <c r="T21" s="23">
        <f t="shared" si="10"/>
        <v>35.69</v>
      </c>
      <c r="U21" s="23">
        <f t="shared" si="10"/>
        <v>21.58</v>
      </c>
      <c r="V21" s="23">
        <f t="shared" si="10"/>
        <v>9.13</v>
      </c>
      <c r="W21" s="22"/>
      <c r="X21" s="22"/>
      <c r="Y21" s="6">
        <f t="shared" ref="Y21:Y26" si="14">L21/K21</f>
        <v>16685.94378</v>
      </c>
      <c r="Z21" s="8">
        <f t="shared" ref="Z21:Z26" si="15">J21/15</f>
        <v>5.533333333</v>
      </c>
    </row>
    <row r="22" ht="15.75" customHeight="1">
      <c r="A22" s="21" t="s">
        <v>9</v>
      </c>
      <c r="B22" s="18">
        <v>144.0</v>
      </c>
      <c r="C22" s="18"/>
      <c r="D22" s="23">
        <f t="shared" si="8"/>
        <v>1.694117647</v>
      </c>
      <c r="E22" s="23">
        <f t="shared" ref="E22:G22" si="11">$B22*E9</f>
        <v>14.11764706</v>
      </c>
      <c r="F22" s="23">
        <f t="shared" si="11"/>
        <v>14.4</v>
      </c>
      <c r="G22" s="23">
        <f t="shared" si="11"/>
        <v>1.44</v>
      </c>
      <c r="H22" s="22"/>
      <c r="I22" s="22"/>
      <c r="J22" s="23">
        <v>94.0</v>
      </c>
      <c r="K22" s="23">
        <f t="shared" si="12"/>
        <v>70.5</v>
      </c>
      <c r="L22" s="23">
        <v>834200.0</v>
      </c>
      <c r="M22" s="22"/>
      <c r="N22" s="22"/>
      <c r="O22" s="22"/>
      <c r="P22" s="22"/>
      <c r="Q22" s="22"/>
      <c r="R22" s="22"/>
      <c r="S22" s="22"/>
      <c r="T22" s="23">
        <f t="shared" ref="T22:W22" si="13">$J22*T9</f>
        <v>12.22</v>
      </c>
      <c r="U22" s="23">
        <f t="shared" si="13"/>
        <v>37.6</v>
      </c>
      <c r="V22" s="23">
        <f t="shared" si="13"/>
        <v>24.44</v>
      </c>
      <c r="W22" s="23">
        <f t="shared" si="13"/>
        <v>10.34</v>
      </c>
      <c r="X22" s="22"/>
      <c r="Y22" s="6">
        <f t="shared" si="14"/>
        <v>11832.62411</v>
      </c>
      <c r="Z22" s="8">
        <f t="shared" si="15"/>
        <v>6.266666667</v>
      </c>
    </row>
    <row r="23" ht="15.75" customHeight="1">
      <c r="A23" s="21" t="s">
        <v>10</v>
      </c>
      <c r="B23" s="18">
        <v>147.0</v>
      </c>
      <c r="C23" s="18"/>
      <c r="D23" s="18"/>
      <c r="E23" s="23">
        <f t="shared" ref="E23:H23" si="16">$B23*E10</f>
        <v>1.729411765</v>
      </c>
      <c r="F23" s="23">
        <f t="shared" si="16"/>
        <v>130.8588235</v>
      </c>
      <c r="G23" s="23">
        <f t="shared" si="16"/>
        <v>14.7</v>
      </c>
      <c r="H23" s="23">
        <f t="shared" si="16"/>
        <v>1.47</v>
      </c>
      <c r="I23" s="22"/>
      <c r="J23" s="23">
        <f>(70/(31+28+14))*(31+28+31)</f>
        <v>86.30136986</v>
      </c>
      <c r="K23" s="23">
        <f t="shared" si="12"/>
        <v>64.7260274</v>
      </c>
      <c r="L23" s="25">
        <v>645203.0</v>
      </c>
      <c r="M23" s="22"/>
      <c r="N23" s="22"/>
      <c r="O23" s="22"/>
      <c r="P23" s="22"/>
      <c r="Q23" s="22"/>
      <c r="R23" s="22"/>
      <c r="S23" s="22"/>
      <c r="T23" s="22"/>
      <c r="U23" s="23">
        <f t="shared" ref="U23:X23" si="17">$J23*U10</f>
        <v>19.84931507</v>
      </c>
      <c r="V23" s="23">
        <f t="shared" si="17"/>
        <v>34.52054795</v>
      </c>
      <c r="W23" s="23">
        <f t="shared" si="17"/>
        <v>22.43835616</v>
      </c>
      <c r="X23" s="23">
        <f t="shared" si="17"/>
        <v>9.493150685</v>
      </c>
      <c r="Y23" s="6">
        <f t="shared" si="14"/>
        <v>9968.215661</v>
      </c>
      <c r="Z23" s="41">
        <f t="shared" si="15"/>
        <v>5.753424658</v>
      </c>
    </row>
    <row r="24" ht="15.75" customHeight="1">
      <c r="A24" s="21" t="s">
        <v>11</v>
      </c>
      <c r="B24" s="18">
        <v>200.0</v>
      </c>
      <c r="C24" s="18"/>
      <c r="D24" s="18"/>
      <c r="E24" s="18"/>
      <c r="F24" s="18"/>
      <c r="G24" s="23">
        <f t="shared" ref="G24:I24" si="18">$B24*G11</f>
        <v>178.0392157</v>
      </c>
      <c r="H24" s="23">
        <f t="shared" si="18"/>
        <v>20</v>
      </c>
      <c r="I24" s="23">
        <f t="shared" si="18"/>
        <v>2</v>
      </c>
      <c r="J24" s="23">
        <f>G29</f>
        <v>106.7985686</v>
      </c>
      <c r="K24" s="23">
        <f t="shared" si="12"/>
        <v>80.09892647</v>
      </c>
      <c r="L24" s="23">
        <v>677625.0</v>
      </c>
      <c r="M24" s="22"/>
      <c r="N24" s="22"/>
      <c r="O24" s="22"/>
      <c r="P24" s="22"/>
      <c r="Q24" s="22"/>
      <c r="R24" s="22"/>
      <c r="S24" s="22"/>
      <c r="T24" s="22"/>
      <c r="U24" s="22"/>
      <c r="V24" s="23">
        <f t="shared" ref="V24:X24" si="19">$J24*V11</f>
        <v>24.56367078</v>
      </c>
      <c r="W24" s="23">
        <f t="shared" si="19"/>
        <v>42.71942745</v>
      </c>
      <c r="X24" s="23">
        <f t="shared" si="19"/>
        <v>27.76762784</v>
      </c>
      <c r="Y24" s="6">
        <f t="shared" si="14"/>
        <v>8459.85121</v>
      </c>
      <c r="Z24" s="41">
        <f t="shared" si="15"/>
        <v>7.119904575</v>
      </c>
    </row>
    <row r="25" ht="15.75" customHeight="1">
      <c r="A25" s="21" t="s">
        <v>12</v>
      </c>
      <c r="B25" s="18">
        <v>200.0</v>
      </c>
      <c r="C25" s="18"/>
      <c r="D25" s="18"/>
      <c r="E25" s="18"/>
      <c r="F25" s="18"/>
      <c r="G25" s="18"/>
      <c r="H25" s="23">
        <f t="shared" ref="H25:I25" si="20">$B25*H12</f>
        <v>178.0392157</v>
      </c>
      <c r="I25" s="23">
        <f t="shared" si="20"/>
        <v>20</v>
      </c>
      <c r="J25" s="23">
        <f>H29</f>
        <v>109.7300686</v>
      </c>
      <c r="K25" s="23">
        <f t="shared" si="12"/>
        <v>82.29755147</v>
      </c>
      <c r="L25" s="23">
        <v>677625.0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3">
        <f t="shared" ref="W25:X25" si="21">$J25*W12</f>
        <v>25.23791578</v>
      </c>
      <c r="X25" s="23">
        <f t="shared" si="21"/>
        <v>43.89202745</v>
      </c>
      <c r="Y25" s="6">
        <f t="shared" si="14"/>
        <v>8233.841565</v>
      </c>
      <c r="Z25" s="41">
        <f t="shared" si="15"/>
        <v>7.315337908</v>
      </c>
    </row>
    <row r="26" ht="15.75" customHeight="1">
      <c r="A26" s="21" t="s">
        <v>13</v>
      </c>
      <c r="B26" s="18">
        <v>165.0</v>
      </c>
      <c r="C26" s="18"/>
      <c r="D26" s="18"/>
      <c r="E26" s="18"/>
      <c r="F26" s="18"/>
      <c r="G26" s="18"/>
      <c r="H26" s="18"/>
      <c r="I26" s="23">
        <f>$B26*I13</f>
        <v>146.85</v>
      </c>
      <c r="J26" s="23">
        <f>I29</f>
        <v>92.8675</v>
      </c>
      <c r="K26" s="23">
        <f t="shared" si="12"/>
        <v>69.650625</v>
      </c>
      <c r="L26" s="23">
        <v>677625.0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3">
        <f>$J26*X13</f>
        <v>12.072775</v>
      </c>
      <c r="Y26" s="6">
        <f t="shared" si="14"/>
        <v>9728.914852</v>
      </c>
      <c r="Z26" s="41">
        <f t="shared" si="15"/>
        <v>6.191166667</v>
      </c>
    </row>
    <row r="27" ht="15.75" customHeight="1">
      <c r="A27" s="26" t="s">
        <v>56</v>
      </c>
      <c r="B27" s="18"/>
      <c r="C27" s="23">
        <f t="shared" ref="C27:I27" si="22">sum(C19:C26)</f>
        <v>64.63529412</v>
      </c>
      <c r="D27" s="23">
        <f t="shared" si="22"/>
        <v>134.2666667</v>
      </c>
      <c r="E27" s="23">
        <f t="shared" si="22"/>
        <v>184.9843137</v>
      </c>
      <c r="F27" s="23">
        <f t="shared" si="22"/>
        <v>147.1588235</v>
      </c>
      <c r="G27" s="23">
        <f t="shared" si="22"/>
        <v>194.1792157</v>
      </c>
      <c r="H27" s="23">
        <f t="shared" si="22"/>
        <v>199.5092157</v>
      </c>
      <c r="I27" s="23">
        <f t="shared" si="22"/>
        <v>168.85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3"/>
    </row>
    <row r="28" ht="15.75" customHeight="1">
      <c r="A28" s="26" t="s">
        <v>57</v>
      </c>
      <c r="B28" s="18"/>
      <c r="C28" s="30">
        <f t="shared" ref="C28:E28" si="23">0.5</f>
        <v>0.5</v>
      </c>
      <c r="D28" s="30">
        <f t="shared" si="23"/>
        <v>0.5</v>
      </c>
      <c r="E28" s="30">
        <f t="shared" si="23"/>
        <v>0.5</v>
      </c>
      <c r="F28" s="30">
        <v>0.55</v>
      </c>
      <c r="G28" s="30">
        <v>0.55</v>
      </c>
      <c r="H28" s="30">
        <v>0.55</v>
      </c>
      <c r="I28" s="30">
        <v>0.55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3"/>
    </row>
    <row r="29" ht="15.75" customHeight="1">
      <c r="A29" s="26" t="s">
        <v>58</v>
      </c>
      <c r="B29" s="18"/>
      <c r="C29" s="19">
        <f t="shared" ref="C29:I29" si="24">C27*C28</f>
        <v>32.31764706</v>
      </c>
      <c r="D29" s="19">
        <f t="shared" si="24"/>
        <v>67.13333333</v>
      </c>
      <c r="E29" s="19">
        <f t="shared" si="24"/>
        <v>92.49215686</v>
      </c>
      <c r="F29" s="24">
        <f t="shared" si="24"/>
        <v>80.93735294</v>
      </c>
      <c r="G29" s="24">
        <f t="shared" si="24"/>
        <v>106.7985686</v>
      </c>
      <c r="H29" s="24">
        <f t="shared" si="24"/>
        <v>109.7300686</v>
      </c>
      <c r="I29" s="24">
        <f t="shared" si="24"/>
        <v>92.8675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3"/>
    </row>
    <row r="30" ht="15.75" customHeight="1">
      <c r="A30" s="26" t="s">
        <v>59</v>
      </c>
      <c r="B30" s="18"/>
      <c r="C30" s="19"/>
      <c r="D30" s="19"/>
      <c r="E30" s="19"/>
      <c r="F30" s="24">
        <f>F29-J23</f>
        <v>-5.364016922</v>
      </c>
      <c r="G30" s="24">
        <f>G29-J24</f>
        <v>0</v>
      </c>
      <c r="H30" s="24">
        <f>H29-J25</f>
        <v>0</v>
      </c>
      <c r="I30" s="24">
        <f>I29-J26</f>
        <v>0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3"/>
    </row>
    <row r="31" ht="15.75" customHeight="1">
      <c r="A31" s="26" t="s">
        <v>15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7"/>
      <c r="M31" s="28">
        <f t="shared" ref="M31:X31" si="25">sum(M15:M26)</f>
        <v>3.77</v>
      </c>
      <c r="N31" s="28">
        <f t="shared" si="25"/>
        <v>16.63</v>
      </c>
      <c r="O31" s="28">
        <f t="shared" si="25"/>
        <v>33.17</v>
      </c>
      <c r="P31" s="28">
        <f t="shared" si="25"/>
        <v>51.31</v>
      </c>
      <c r="Q31" s="28">
        <f t="shared" si="25"/>
        <v>62.69</v>
      </c>
      <c r="R31" s="28">
        <f t="shared" si="25"/>
        <v>70.34</v>
      </c>
      <c r="S31" s="28">
        <f t="shared" si="25"/>
        <v>81</v>
      </c>
      <c r="T31" s="28">
        <f t="shared" si="25"/>
        <v>86.51</v>
      </c>
      <c r="U31" s="23">
        <f t="shared" si="25"/>
        <v>89.03931507</v>
      </c>
      <c r="V31" s="23">
        <f t="shared" si="25"/>
        <v>92.65421873</v>
      </c>
      <c r="W31" s="23">
        <f t="shared" si="25"/>
        <v>100.7356994</v>
      </c>
      <c r="X31" s="23">
        <f t="shared" si="25"/>
        <v>93.22558098</v>
      </c>
      <c r="Y31" s="3"/>
    </row>
    <row r="32" ht="15.75" customHeight="1">
      <c r="A32" s="26" t="s">
        <v>60</v>
      </c>
      <c r="B32" s="18"/>
      <c r="C32" s="18"/>
      <c r="D32" s="18"/>
      <c r="E32" s="18"/>
      <c r="F32" s="18"/>
      <c r="G32" s="18"/>
      <c r="H32" s="18"/>
      <c r="I32" s="18"/>
      <c r="J32" s="18"/>
      <c r="K32" s="22"/>
      <c r="L32" s="22"/>
      <c r="M32" s="23" t="s">
        <v>18</v>
      </c>
      <c r="N32" s="23" t="s">
        <v>18</v>
      </c>
      <c r="O32" s="23" t="s">
        <v>18</v>
      </c>
      <c r="P32" s="23" t="s">
        <v>18</v>
      </c>
      <c r="Q32" s="23">
        <v>582000.0</v>
      </c>
      <c r="R32" s="23">
        <v>749000.0</v>
      </c>
      <c r="S32" s="23">
        <v>1204000.0</v>
      </c>
      <c r="T32" s="23">
        <v>1750000.0</v>
      </c>
      <c r="U32" s="23">
        <v>1375000.0</v>
      </c>
      <c r="V32" s="23">
        <v>1700000.0</v>
      </c>
      <c r="W32" s="23">
        <f t="shared" ref="W32:X32" si="26">V32</f>
        <v>1700000</v>
      </c>
      <c r="X32" s="23">
        <f t="shared" si="26"/>
        <v>1700000</v>
      </c>
      <c r="Y32" s="3"/>
    </row>
    <row r="33" ht="15.75" hidden="1" customHeight="1">
      <c r="A33" s="26" t="s">
        <v>17</v>
      </c>
      <c r="B33" s="18"/>
      <c r="C33" s="18"/>
      <c r="D33" s="18"/>
      <c r="E33" s="18"/>
      <c r="F33" s="18"/>
      <c r="G33" s="18"/>
      <c r="H33" s="18"/>
      <c r="I33" s="18"/>
      <c r="J33" s="18"/>
      <c r="K33" s="22"/>
      <c r="L33" s="22"/>
      <c r="M33" s="23" t="s">
        <v>18</v>
      </c>
      <c r="N33" s="23" t="s">
        <v>18</v>
      </c>
      <c r="O33" s="23" t="s">
        <v>18</v>
      </c>
      <c r="P33" s="23" t="s">
        <v>18</v>
      </c>
      <c r="Q33" s="23">
        <f>3267624+Q32</f>
        <v>3849624</v>
      </c>
      <c r="R33" s="23">
        <f t="shared" ref="R33:X33" si="27">Q33+R32</f>
        <v>4598624</v>
      </c>
      <c r="S33" s="23">
        <f t="shared" si="27"/>
        <v>5802624</v>
      </c>
      <c r="T33" s="23">
        <f t="shared" si="27"/>
        <v>7552624</v>
      </c>
      <c r="U33" s="23">
        <f t="shared" si="27"/>
        <v>8927624</v>
      </c>
      <c r="V33" s="23">
        <f t="shared" si="27"/>
        <v>10627624</v>
      </c>
      <c r="W33" s="23">
        <f t="shared" si="27"/>
        <v>12327624</v>
      </c>
      <c r="X33" s="23">
        <f t="shared" si="27"/>
        <v>14027624</v>
      </c>
      <c r="Y33" s="3"/>
    </row>
    <row r="34" ht="15.75" customHeight="1">
      <c r="A34" s="26" t="s">
        <v>19</v>
      </c>
      <c r="B34" s="18"/>
      <c r="C34" s="18"/>
      <c r="D34" s="18"/>
      <c r="E34" s="18"/>
      <c r="F34" s="18"/>
      <c r="G34" s="18"/>
      <c r="H34" s="18"/>
      <c r="I34" s="18"/>
      <c r="J34" s="18"/>
      <c r="K34" s="22"/>
      <c r="L34" s="22"/>
      <c r="M34" s="23">
        <v>35000.0</v>
      </c>
      <c r="N34" s="23">
        <v>35000.0</v>
      </c>
      <c r="O34" s="23">
        <v>35000.0</v>
      </c>
      <c r="P34" s="23">
        <v>35000.0</v>
      </c>
      <c r="Q34" s="23">
        <v>35000.0</v>
      </c>
      <c r="R34" s="23">
        <v>35000.0</v>
      </c>
      <c r="S34" s="23">
        <v>45000.0</v>
      </c>
      <c r="T34" s="23">
        <v>45000.0</v>
      </c>
      <c r="U34" s="23">
        <v>52373.0</v>
      </c>
      <c r="V34" s="23">
        <v>55000.0</v>
      </c>
      <c r="W34" s="23">
        <v>60000.0</v>
      </c>
      <c r="X34" s="23">
        <v>60000.0</v>
      </c>
      <c r="Y34" s="3"/>
    </row>
    <row r="35" ht="15.75" customHeight="1">
      <c r="A35" s="26" t="s">
        <v>20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9">
        <v>2.0</v>
      </c>
      <c r="N35" s="19">
        <v>2.0</v>
      </c>
      <c r="O35" s="19">
        <v>2.0</v>
      </c>
      <c r="P35" s="19">
        <v>2.0</v>
      </c>
      <c r="Q35" s="19">
        <v>2.0</v>
      </c>
      <c r="R35" s="19">
        <v>3.0</v>
      </c>
      <c r="S35" s="19">
        <v>3.0</v>
      </c>
      <c r="T35" s="19">
        <v>3.0</v>
      </c>
      <c r="U35" s="19">
        <v>4.5</v>
      </c>
      <c r="V35" s="19">
        <v>3.5</v>
      </c>
      <c r="W35" s="19">
        <v>4.5</v>
      </c>
      <c r="X35" s="19">
        <v>3.5</v>
      </c>
      <c r="Y35" s="3"/>
    </row>
    <row r="36" ht="15.75" customHeight="1">
      <c r="A36" s="26" t="s">
        <v>21</v>
      </c>
      <c r="B36" s="18"/>
      <c r="C36" s="18"/>
      <c r="D36" s="18"/>
      <c r="E36" s="18"/>
      <c r="F36" s="18"/>
      <c r="G36" s="18"/>
      <c r="H36" s="18"/>
      <c r="I36" s="18"/>
      <c r="J36" s="18"/>
      <c r="K36" s="22"/>
      <c r="L36" s="22"/>
      <c r="M36" s="23" t="s">
        <v>18</v>
      </c>
      <c r="N36" s="23" t="s">
        <v>18</v>
      </c>
      <c r="O36" s="23" t="s">
        <v>18</v>
      </c>
      <c r="P36" s="23" t="s">
        <v>18</v>
      </c>
      <c r="Q36" s="23">
        <f t="shared" ref="Q36:X36" si="28">(Q32/Q34)*Q35</f>
        <v>33.25714286</v>
      </c>
      <c r="R36" s="23">
        <f t="shared" si="28"/>
        <v>64.2</v>
      </c>
      <c r="S36" s="23">
        <f t="shared" si="28"/>
        <v>80.26666667</v>
      </c>
      <c r="T36" s="23">
        <f t="shared" si="28"/>
        <v>116.6666667</v>
      </c>
      <c r="U36" s="23">
        <f t="shared" si="28"/>
        <v>118.1429362</v>
      </c>
      <c r="V36" s="23">
        <f t="shared" si="28"/>
        <v>108.1818182</v>
      </c>
      <c r="W36" s="23">
        <f t="shared" si="28"/>
        <v>127.5</v>
      </c>
      <c r="X36" s="23">
        <f t="shared" si="28"/>
        <v>99.16666667</v>
      </c>
      <c r="Y36" s="3"/>
    </row>
    <row r="37" ht="15.75" customHeight="1">
      <c r="A37" s="26" t="s">
        <v>22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9" t="s">
        <v>18</v>
      </c>
      <c r="N37" s="19" t="s">
        <v>18</v>
      </c>
      <c r="O37" s="19" t="s">
        <v>18</v>
      </c>
      <c r="P37" s="19" t="s">
        <v>18</v>
      </c>
      <c r="Q37" s="23">
        <f t="shared" ref="Q37:X37" si="29">Q36-Q31</f>
        <v>-29.43285714</v>
      </c>
      <c r="R37" s="23">
        <f t="shared" si="29"/>
        <v>-6.14</v>
      </c>
      <c r="S37" s="23">
        <f t="shared" si="29"/>
        <v>-0.7333333333</v>
      </c>
      <c r="T37" s="23">
        <f t="shared" si="29"/>
        <v>30.15666667</v>
      </c>
      <c r="U37" s="23">
        <f t="shared" si="29"/>
        <v>29.10362118</v>
      </c>
      <c r="V37" s="23">
        <f t="shared" si="29"/>
        <v>15.52759945</v>
      </c>
      <c r="W37" s="23">
        <f t="shared" si="29"/>
        <v>26.7643006</v>
      </c>
      <c r="X37" s="23">
        <f t="shared" si="29"/>
        <v>5.941085688</v>
      </c>
      <c r="Y37" s="3"/>
    </row>
    <row r="38" ht="15.75" customHeight="1">
      <c r="A38" s="26" t="s">
        <v>23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9" t="s">
        <v>33</v>
      </c>
      <c r="N38" s="19" t="s">
        <v>33</v>
      </c>
      <c r="O38" s="19" t="s">
        <v>33</v>
      </c>
      <c r="P38" s="19" t="s">
        <v>33</v>
      </c>
      <c r="Q38" s="30">
        <f t="shared" ref="Q38:X38" si="30">Q31/Q36</f>
        <v>1.885008591</v>
      </c>
      <c r="R38" s="30">
        <f t="shared" si="30"/>
        <v>1.095638629</v>
      </c>
      <c r="S38" s="30">
        <f t="shared" si="30"/>
        <v>1.009136213</v>
      </c>
      <c r="T38" s="30">
        <f t="shared" si="30"/>
        <v>0.7415142857</v>
      </c>
      <c r="U38" s="30">
        <f t="shared" si="30"/>
        <v>0.7536575431</v>
      </c>
      <c r="V38" s="30">
        <f t="shared" si="30"/>
        <v>0.8564675681</v>
      </c>
      <c r="W38" s="30">
        <f t="shared" si="30"/>
        <v>0.7900839169</v>
      </c>
      <c r="X38" s="30">
        <f t="shared" si="30"/>
        <v>0.9400898922</v>
      </c>
      <c r="Y38" s="3"/>
    </row>
    <row r="39" ht="15.75" customHeight="1">
      <c r="A39" s="9" t="s">
        <v>61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6">
        <f t="shared" ref="U39:X39" si="31">U38*U32</f>
        <v>1036279.122</v>
      </c>
      <c r="V39" s="6">
        <f t="shared" si="31"/>
        <v>1455994.866</v>
      </c>
      <c r="W39" s="6">
        <f t="shared" si="31"/>
        <v>1343142.659</v>
      </c>
      <c r="X39" s="6">
        <f t="shared" si="31"/>
        <v>1598152.817</v>
      </c>
      <c r="Y39" s="3"/>
    </row>
    <row r="40" ht="15.75" customHeight="1">
      <c r="A40" s="9" t="s">
        <v>62</v>
      </c>
      <c r="B40" s="3"/>
      <c r="C40" s="3"/>
      <c r="D40" s="3"/>
      <c r="E40" s="3"/>
      <c r="F40" s="3"/>
      <c r="G40" s="3"/>
      <c r="H40" s="3"/>
      <c r="I40" s="3"/>
      <c r="J40" s="3">
        <v>6455827.0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6">
        <f>J40+U39-120000</f>
        <v>7372106.122</v>
      </c>
      <c r="V40" s="6">
        <f t="shared" ref="V40:X40" si="32">U40+V39-120000</f>
        <v>8708100.988</v>
      </c>
      <c r="W40" s="6">
        <f t="shared" si="32"/>
        <v>9931243.646</v>
      </c>
      <c r="X40" s="6">
        <f t="shared" si="32"/>
        <v>11409396.46</v>
      </c>
      <c r="AA40" s="14"/>
      <c r="AB40" s="14"/>
      <c r="AC40" s="33"/>
    </row>
    <row r="41" ht="15.75" customHeight="1">
      <c r="X41" s="40"/>
      <c r="AA41" s="14"/>
      <c r="AB41" s="14"/>
      <c r="AC41" s="33"/>
    </row>
    <row r="42" ht="15.75" customHeight="1">
      <c r="AA42" s="14"/>
      <c r="AB42" s="14"/>
      <c r="AC42" s="33"/>
    </row>
    <row r="43" ht="15.75" customHeight="1">
      <c r="AB43" s="14"/>
      <c r="AC43" s="3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9.63"/>
    <col customWidth="1" min="2" max="2" width="23.63"/>
    <col customWidth="1" hidden="1" min="3" max="17" width="12.63"/>
  </cols>
  <sheetData>
    <row r="1" ht="15.75" customHeight="1">
      <c r="A1" s="42"/>
      <c r="B1" s="42"/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63</v>
      </c>
      <c r="P1" s="43" t="s">
        <v>64</v>
      </c>
      <c r="Q1" s="43" t="s">
        <v>65</v>
      </c>
      <c r="R1" s="43" t="s">
        <v>66</v>
      </c>
      <c r="S1" s="43" t="s">
        <v>67</v>
      </c>
      <c r="T1" s="43" t="s">
        <v>68</v>
      </c>
      <c r="U1" s="43" t="s">
        <v>69</v>
      </c>
      <c r="V1" s="43" t="s">
        <v>70</v>
      </c>
      <c r="W1" s="43" t="s">
        <v>71</v>
      </c>
      <c r="X1" s="43" t="s">
        <v>72</v>
      </c>
      <c r="Y1" s="43" t="s">
        <v>73</v>
      </c>
      <c r="Z1" s="43" t="s">
        <v>74</v>
      </c>
      <c r="AA1" s="43" t="s">
        <v>75</v>
      </c>
      <c r="AB1" s="43" t="s">
        <v>76</v>
      </c>
      <c r="AC1" s="43" t="s">
        <v>77</v>
      </c>
      <c r="AD1" s="43" t="s">
        <v>78</v>
      </c>
      <c r="AE1" s="43" t="s">
        <v>79</v>
      </c>
      <c r="AF1" s="43" t="s">
        <v>80</v>
      </c>
      <c r="AG1" s="43" t="s">
        <v>81</v>
      </c>
      <c r="AH1" s="43" t="s">
        <v>82</v>
      </c>
      <c r="AI1" s="44"/>
      <c r="AJ1" s="44"/>
      <c r="AK1" s="44"/>
      <c r="AL1" s="44"/>
      <c r="AM1" s="44"/>
      <c r="AN1" s="44"/>
      <c r="AO1" s="44"/>
    </row>
    <row r="2" ht="15.75" customHeight="1">
      <c r="A2" s="45" t="s">
        <v>83</v>
      </c>
      <c r="B2" s="46" t="s">
        <v>84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8">
        <f t="array" ref="R2:AH2">TRANSPOSE('Inbound Cascade NORAM'!$B$50:$B$66)</f>
        <v>24</v>
      </c>
      <c r="S2" s="48">
        <v>24.0</v>
      </c>
      <c r="T2" s="48">
        <v>31.0</v>
      </c>
      <c r="U2" s="48" t="e">
        <v>#REF!</v>
      </c>
      <c r="V2" s="48" t="e">
        <v>#REF!</v>
      </c>
      <c r="W2" s="48" t="e">
        <v>#REF!</v>
      </c>
      <c r="X2" s="48" t="e">
        <v>#REF!</v>
      </c>
      <c r="Y2" s="48" t="e">
        <v>#REF!</v>
      </c>
      <c r="Z2" s="48" t="e">
        <v>#REF!</v>
      </c>
      <c r="AA2" s="48" t="e">
        <v>#REF!</v>
      </c>
      <c r="AB2" s="48" t="e">
        <v>#REF!</v>
      </c>
      <c r="AC2" s="48" t="e">
        <v>#REF!</v>
      </c>
      <c r="AD2" s="48" t="e">
        <v>#REF!</v>
      </c>
      <c r="AE2" s="48" t="e">
        <v>#REF!</v>
      </c>
      <c r="AF2" s="48" t="e">
        <v>#REF!</v>
      </c>
      <c r="AG2" s="48" t="e">
        <v>#REF!</v>
      </c>
      <c r="AH2" s="48" t="e">
        <v>#REF!</v>
      </c>
      <c r="AI2" s="49"/>
      <c r="AJ2" s="49"/>
      <c r="AK2" s="49"/>
      <c r="AL2" s="49"/>
      <c r="AM2" s="49"/>
      <c r="AN2" s="49"/>
      <c r="AO2" s="49"/>
    </row>
    <row r="3" ht="15.75" customHeight="1">
      <c r="A3" s="50"/>
      <c r="B3" s="51" t="s">
        <v>85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3">
        <f t="array" ref="R3:AH3">TRANSPOSE('Outbound Cascade NORAM'!$B$50:$B$66)</f>
        <v>10</v>
      </c>
      <c r="S3" s="53">
        <v>23.0</v>
      </c>
      <c r="T3" s="53">
        <v>9.0</v>
      </c>
      <c r="U3" s="53">
        <v>0.0</v>
      </c>
      <c r="V3" s="53">
        <v>0.0</v>
      </c>
      <c r="W3" s="53">
        <v>0.0</v>
      </c>
      <c r="X3" s="53">
        <v>0.0</v>
      </c>
      <c r="Y3" s="53">
        <v>0.0</v>
      </c>
      <c r="Z3" s="53">
        <v>0.0</v>
      </c>
      <c r="AA3" s="53">
        <v>0.0</v>
      </c>
      <c r="AB3" s="53">
        <v>0.0</v>
      </c>
      <c r="AC3" s="53">
        <v>0.0</v>
      </c>
      <c r="AD3" s="53">
        <v>0.0</v>
      </c>
      <c r="AE3" s="53">
        <v>0.0</v>
      </c>
      <c r="AF3" s="53">
        <v>0.0</v>
      </c>
      <c r="AG3" s="53">
        <v>0.0</v>
      </c>
      <c r="AH3" s="53">
        <v>0.0</v>
      </c>
      <c r="AI3" s="49"/>
      <c r="AJ3" s="49"/>
      <c r="AK3" s="49"/>
      <c r="AL3" s="49"/>
      <c r="AM3" s="49"/>
      <c r="AN3" s="49"/>
      <c r="AO3" s="49"/>
    </row>
    <row r="4" ht="15.75" customHeight="1">
      <c r="A4" s="50"/>
      <c r="B4" s="54" t="s">
        <v>86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53">
        <f t="array" ref="R4:AH4">TRANSPOSE('ILO Cascade NORAM'!$B$50:$B$66)</f>
        <v>20</v>
      </c>
      <c r="S4" s="53">
        <v>26.0</v>
      </c>
      <c r="T4" s="53">
        <v>23.0</v>
      </c>
      <c r="U4" s="53">
        <v>24.5</v>
      </c>
      <c r="V4" s="53">
        <v>31.85</v>
      </c>
      <c r="W4" s="53">
        <v>31.85</v>
      </c>
      <c r="X4" s="53">
        <v>36.75</v>
      </c>
      <c r="Y4" s="53">
        <v>36.75</v>
      </c>
      <c r="Z4" s="53">
        <v>41.65</v>
      </c>
      <c r="AA4" s="53">
        <v>41.65</v>
      </c>
      <c r="AB4" s="53">
        <v>41.65</v>
      </c>
      <c r="AC4" s="53">
        <v>41.65</v>
      </c>
      <c r="AD4" s="53">
        <v>41.65</v>
      </c>
      <c r="AE4" s="53">
        <v>41.65</v>
      </c>
      <c r="AF4" s="53">
        <v>41.65</v>
      </c>
      <c r="AG4" s="53">
        <v>41.65</v>
      </c>
      <c r="AH4" s="53">
        <v>41.65</v>
      </c>
      <c r="AI4" s="49"/>
      <c r="AJ4" s="49"/>
      <c r="AK4" s="49"/>
      <c r="AL4" s="49"/>
      <c r="AM4" s="49"/>
      <c r="AN4" s="49"/>
      <c r="AO4" s="49"/>
    </row>
    <row r="5" ht="15.75" customHeight="1">
      <c r="A5" s="50"/>
      <c r="B5" s="54" t="s">
        <v>87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8">
        <f t="array" ref="R5:AH5">TRANSPOSE('Events Cascade NORAM'!$B$50:$B$66)</f>
        <v>26</v>
      </c>
      <c r="S5" s="48">
        <v>10.0</v>
      </c>
      <c r="T5" s="48">
        <v>10.0</v>
      </c>
      <c r="U5" s="48">
        <v>15.0</v>
      </c>
      <c r="V5" s="48">
        <v>15.0</v>
      </c>
      <c r="W5" s="48">
        <v>15.0</v>
      </c>
      <c r="X5" s="48">
        <v>15.0</v>
      </c>
      <c r="Y5" s="48">
        <v>15.0</v>
      </c>
      <c r="Z5" s="48">
        <v>15.0</v>
      </c>
      <c r="AA5" s="48">
        <v>15.0</v>
      </c>
      <c r="AB5" s="48">
        <v>15.0</v>
      </c>
      <c r="AC5" s="48">
        <v>15.0</v>
      </c>
      <c r="AD5" s="48">
        <v>15.0</v>
      </c>
      <c r="AE5" s="48">
        <v>15.0</v>
      </c>
      <c r="AF5" s="48">
        <v>15.0</v>
      </c>
      <c r="AG5" s="48">
        <v>15.0</v>
      </c>
      <c r="AH5" s="48">
        <v>15.0</v>
      </c>
      <c r="AI5" s="49"/>
      <c r="AJ5" s="49"/>
      <c r="AK5" s="49"/>
      <c r="AL5" s="49"/>
      <c r="AM5" s="49"/>
      <c r="AN5" s="49"/>
      <c r="AO5" s="49"/>
    </row>
    <row r="6" ht="15.75" customHeight="1">
      <c r="A6" s="50"/>
      <c r="B6" s="55" t="s">
        <v>56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7">
        <f t="shared" ref="R6:AH6" si="1">sum(R2:R5)</f>
        <v>80</v>
      </c>
      <c r="S6" s="57">
        <f t="shared" si="1"/>
        <v>83</v>
      </c>
      <c r="T6" s="57">
        <f t="shared" si="1"/>
        <v>73</v>
      </c>
      <c r="U6" s="57" t="str">
        <f t="shared" si="1"/>
        <v>#REF!</v>
      </c>
      <c r="V6" s="57" t="str">
        <f t="shared" si="1"/>
        <v>#REF!</v>
      </c>
      <c r="W6" s="57" t="str">
        <f t="shared" si="1"/>
        <v>#REF!</v>
      </c>
      <c r="X6" s="57" t="str">
        <f t="shared" si="1"/>
        <v>#REF!</v>
      </c>
      <c r="Y6" s="57" t="str">
        <f t="shared" si="1"/>
        <v>#REF!</v>
      </c>
      <c r="Z6" s="57" t="str">
        <f t="shared" si="1"/>
        <v>#REF!</v>
      </c>
      <c r="AA6" s="57" t="str">
        <f t="shared" si="1"/>
        <v>#REF!</v>
      </c>
      <c r="AB6" s="57" t="str">
        <f t="shared" si="1"/>
        <v>#REF!</v>
      </c>
      <c r="AC6" s="57" t="str">
        <f t="shared" si="1"/>
        <v>#REF!</v>
      </c>
      <c r="AD6" s="57" t="str">
        <f t="shared" si="1"/>
        <v>#REF!</v>
      </c>
      <c r="AE6" s="57" t="str">
        <f t="shared" si="1"/>
        <v>#REF!</v>
      </c>
      <c r="AF6" s="57" t="str">
        <f t="shared" si="1"/>
        <v>#REF!</v>
      </c>
      <c r="AG6" s="57" t="str">
        <f t="shared" si="1"/>
        <v>#REF!</v>
      </c>
      <c r="AH6" s="57" t="str">
        <f t="shared" si="1"/>
        <v>#REF!</v>
      </c>
      <c r="AI6" s="49"/>
      <c r="AJ6" s="49"/>
      <c r="AK6" s="49"/>
      <c r="AL6" s="49"/>
      <c r="AM6" s="49"/>
      <c r="AN6" s="49"/>
      <c r="AO6" s="49"/>
    </row>
    <row r="7" ht="15.75" customHeight="1">
      <c r="A7" s="50"/>
      <c r="B7" s="58" t="s">
        <v>88</v>
      </c>
      <c r="C7" s="59" t="str">
        <f>'Outbound Cascade EMESA NORTH'!AG64</f>
        <v/>
      </c>
      <c r="D7" s="59" t="str">
        <f>'Outbound Cascade EMESA NORTH'!AH64</f>
        <v/>
      </c>
      <c r="E7" s="59" t="str">
        <f>'Outbound Cascade EMESA NORTH'!AI64</f>
        <v/>
      </c>
      <c r="F7" s="59" t="str">
        <f>'Outbound Cascade EMESA NORTH'!AJ64</f>
        <v/>
      </c>
      <c r="G7" s="59" t="str">
        <f>'Outbound Cascade EMESA NORTH'!AK64</f>
        <v/>
      </c>
      <c r="H7" s="59" t="str">
        <f>'Outbound Cascade EMESA NORTH'!AL64</f>
        <v/>
      </c>
      <c r="I7" s="59" t="str">
        <f>'Outbound Cascade EMESA NORTH'!AM64</f>
        <v/>
      </c>
      <c r="J7" s="59" t="str">
        <f>'Outbound Cascade EMESA NORTH'!AN64</f>
        <v/>
      </c>
      <c r="K7" s="60">
        <f>'Outbound Cascade EMESA NORTH'!G67/2</f>
        <v>0.3338235294</v>
      </c>
      <c r="L7" s="60">
        <f>'Outbound Cascade EMESA NORTH'!H67/2</f>
        <v>0.3713235294</v>
      </c>
      <c r="M7" s="60">
        <f>'Outbound Cascade EMESA NORTH'!I67/2</f>
        <v>0.3750735294</v>
      </c>
      <c r="N7" s="60">
        <f>'Outbound Cascade EMESA NORTH'!J67/2</f>
        <v>0.3750735294</v>
      </c>
      <c r="O7" s="60">
        <f>'Outbound Cascade EMESA NORTH'!K67/2</f>
        <v>0.3750735294</v>
      </c>
      <c r="P7" s="60">
        <f>'Outbound Cascade EMESA NORTH'!L67/2</f>
        <v>0.3750735294</v>
      </c>
      <c r="Q7" s="60">
        <f>'Outbound Cascade EMESA NORTH'!M67/2</f>
        <v>0.3750735294</v>
      </c>
      <c r="R7" s="60">
        <f>'Outbound Cascade NORAM'!N67</f>
        <v>1.5</v>
      </c>
      <c r="S7" s="60">
        <f>'Outbound Cascade NORAM'!O67</f>
        <v>3.2355</v>
      </c>
      <c r="T7" s="60">
        <f>'Outbound Cascade NORAM'!P67</f>
        <v>1.5615</v>
      </c>
      <c r="U7" s="60">
        <f>'Outbound Cascade NORAM'!Q67</f>
        <v>0.1695</v>
      </c>
      <c r="V7" s="60">
        <f>'Outbound Cascade NORAM'!R67</f>
        <v>0.0135</v>
      </c>
      <c r="W7" s="60">
        <f>'Outbound Cascade NORAM'!S67</f>
        <v>0</v>
      </c>
      <c r="X7" s="60">
        <f>'Outbound Cascade NORAM'!T67</f>
        <v>0</v>
      </c>
      <c r="Y7" s="60">
        <f>'Outbound Cascade NORAM'!U67</f>
        <v>0</v>
      </c>
      <c r="Z7" s="60">
        <f>'Outbound Cascade NORAM'!V67</f>
        <v>0</v>
      </c>
      <c r="AA7" s="60">
        <f>'Outbound Cascade NORAM'!W67</f>
        <v>0</v>
      </c>
      <c r="AB7" s="60">
        <f>'Outbound Cascade NORAM'!X67</f>
        <v>0</v>
      </c>
      <c r="AC7" s="60">
        <f>'Outbound Cascade NORAM'!Y67</f>
        <v>0</v>
      </c>
      <c r="AD7" s="60">
        <f>'Outbound Cascade NORAM'!Z67</f>
        <v>0</v>
      </c>
      <c r="AE7" s="60">
        <f>'Outbound Cascade NORAM'!AA67</f>
        <v>0</v>
      </c>
      <c r="AF7" s="60">
        <f>'Outbound Cascade NORAM'!AB67</f>
        <v>0</v>
      </c>
      <c r="AG7" s="60">
        <f>'Outbound Cascade NORAM'!AC67</f>
        <v>0</v>
      </c>
      <c r="AH7" s="60">
        <f>'Outbound Cascade NORAM'!AD67</f>
        <v>0</v>
      </c>
      <c r="AI7" s="49"/>
      <c r="AJ7" s="49"/>
      <c r="AK7" s="49"/>
      <c r="AL7" s="49"/>
      <c r="AM7" s="49"/>
      <c r="AN7" s="49"/>
      <c r="AO7" s="49"/>
    </row>
    <row r="8" ht="15.75" customHeight="1">
      <c r="A8" s="50"/>
      <c r="B8" s="58" t="s">
        <v>89</v>
      </c>
      <c r="C8" s="59"/>
      <c r="D8" s="59"/>
      <c r="E8" s="59"/>
      <c r="F8" s="59"/>
      <c r="G8" s="59"/>
      <c r="H8" s="59"/>
      <c r="I8" s="59"/>
      <c r="J8" s="59"/>
      <c r="K8" s="60"/>
      <c r="L8" s="60"/>
      <c r="M8" s="60"/>
      <c r="N8" s="60"/>
      <c r="O8" s="60"/>
      <c r="P8" s="60"/>
      <c r="Q8" s="60"/>
      <c r="R8" s="60">
        <f>'ILO Cascade NORAM'!N67</f>
        <v>7.56</v>
      </c>
      <c r="S8" s="60">
        <f>'ILO Cascade NORAM'!O67</f>
        <v>10.096</v>
      </c>
      <c r="T8" s="60">
        <f>'ILO Cascade NORAM'!P67</f>
        <v>9.308</v>
      </c>
      <c r="U8" s="60">
        <f>'ILO Cascade NORAM'!Q67</f>
        <v>9.746</v>
      </c>
      <c r="V8" s="60">
        <f>'ILO Cascade NORAM'!R67</f>
        <v>13.827925</v>
      </c>
      <c r="W8" s="60">
        <f>'ILO Cascade NORAM'!S67</f>
        <v>14.28998529</v>
      </c>
      <c r="X8" s="60">
        <f>'ILO Cascade NORAM'!T67</f>
        <v>16.29819265</v>
      </c>
      <c r="Y8" s="60">
        <f>'ILO Cascade NORAM'!U67</f>
        <v>16.51869265</v>
      </c>
      <c r="Z8" s="60">
        <f>'ILO Cascade NORAM'!V67</f>
        <v>18.503625</v>
      </c>
      <c r="AA8" s="60">
        <f>'ILO Cascade NORAM'!W67</f>
        <v>18.724125</v>
      </c>
      <c r="AB8" s="60">
        <f>'ILO Cascade NORAM'!X67</f>
        <v>18.746175</v>
      </c>
      <c r="AC8" s="60">
        <f>'ILO Cascade NORAM'!Y67</f>
        <v>18.746175</v>
      </c>
      <c r="AD8" s="60">
        <f>'ILO Cascade NORAM'!Z67</f>
        <v>18.7425</v>
      </c>
      <c r="AE8" s="60">
        <f>'ILO Cascade NORAM'!AA67</f>
        <v>18.7425</v>
      </c>
      <c r="AF8" s="60">
        <f>'ILO Cascade NORAM'!AB67</f>
        <v>18.7425</v>
      </c>
      <c r="AG8" s="60">
        <f>'ILO Cascade NORAM'!AC67</f>
        <v>18.7425</v>
      </c>
      <c r="AH8" s="60">
        <f>'ILO Cascade NORAM'!AD67</f>
        <v>18.7425</v>
      </c>
      <c r="AI8" s="49"/>
      <c r="AJ8" s="49"/>
      <c r="AK8" s="49"/>
      <c r="AL8" s="49"/>
      <c r="AM8" s="49"/>
      <c r="AN8" s="49"/>
      <c r="AO8" s="49"/>
    </row>
    <row r="9" ht="15.75" customHeight="1">
      <c r="A9" s="50"/>
      <c r="B9" s="61" t="s">
        <v>90</v>
      </c>
      <c r="C9" s="52"/>
      <c r="D9" s="52"/>
      <c r="E9" s="52"/>
      <c r="F9" s="52"/>
      <c r="G9" s="52"/>
      <c r="H9" s="52"/>
      <c r="I9" s="52"/>
      <c r="J9" s="52"/>
      <c r="K9" s="53">
        <f>'Inbound Cascade NORAM'!G67</f>
        <v>14.51454118</v>
      </c>
      <c r="L9" s="53">
        <f>'Inbound Cascade NORAM'!H67</f>
        <v>11.00607059</v>
      </c>
      <c r="M9" s="53">
        <f>'Inbound Cascade NORAM'!I67</f>
        <v>11.46105882</v>
      </c>
      <c r="N9" s="53">
        <f>'Inbound Cascade NORAM'!J67</f>
        <v>9.376188235</v>
      </c>
      <c r="O9" s="53">
        <f>'Inbound Cascade NORAM'!K67</f>
        <v>8.504847059</v>
      </c>
      <c r="P9" s="53">
        <f>'Inbound Cascade NORAM'!L67</f>
        <v>7.767905882</v>
      </c>
      <c r="Q9" s="53">
        <f>'Inbound Cascade NORAM'!M67</f>
        <v>11.53435294</v>
      </c>
      <c r="R9" s="53">
        <f>'Inbound Cascade NORAM'!N67</f>
        <v>11.9568</v>
      </c>
      <c r="S9" s="53">
        <f>'Inbound Cascade NORAM'!O67</f>
        <v>12</v>
      </c>
      <c r="T9" s="53">
        <f>'Inbound Cascade NORAM'!P67</f>
        <v>15.115</v>
      </c>
      <c r="U9" s="53" t="str">
        <f>'Inbound Cascade NORAM'!Q67</f>
        <v>#REF!</v>
      </c>
      <c r="V9" s="53" t="str">
        <f>'Inbound Cascade NORAM'!R67</f>
        <v>#REF!</v>
      </c>
      <c r="W9" s="53" t="str">
        <f>'Inbound Cascade NORAM'!S67</f>
        <v>#REF!</v>
      </c>
      <c r="X9" s="53" t="str">
        <f>'Inbound Cascade NORAM'!T67</f>
        <v>#REF!</v>
      </c>
      <c r="Y9" s="53" t="str">
        <f>'Inbound Cascade NORAM'!U67</f>
        <v>#REF!</v>
      </c>
      <c r="Z9" s="53" t="str">
        <f>'Inbound Cascade NORAM'!V67</f>
        <v>#REF!</v>
      </c>
      <c r="AA9" s="53" t="str">
        <f>'Inbound Cascade NORAM'!W67</f>
        <v>#REF!</v>
      </c>
      <c r="AB9" s="53" t="str">
        <f>'Inbound Cascade NORAM'!X67</f>
        <v>#REF!</v>
      </c>
      <c r="AC9" s="53" t="str">
        <f>'Inbound Cascade NORAM'!Y67</f>
        <v>#REF!</v>
      </c>
      <c r="AD9" s="53" t="str">
        <f>'Inbound Cascade NORAM'!Z67</f>
        <v>#REF!</v>
      </c>
      <c r="AE9" s="53" t="str">
        <f>'Inbound Cascade NORAM'!AA67</f>
        <v>#REF!</v>
      </c>
      <c r="AF9" s="53" t="str">
        <f>'Inbound Cascade NORAM'!AB67</f>
        <v>#REF!</v>
      </c>
      <c r="AG9" s="53" t="str">
        <f>'Inbound Cascade NORAM'!AC67</f>
        <v>#REF!</v>
      </c>
      <c r="AH9" s="53" t="str">
        <f>'Inbound Cascade NORAM'!AD67</f>
        <v>#REF!</v>
      </c>
      <c r="AI9" s="49"/>
      <c r="AJ9" s="49"/>
      <c r="AK9" s="49"/>
      <c r="AL9" s="49"/>
      <c r="AM9" s="49"/>
      <c r="AN9" s="49"/>
      <c r="AO9" s="49"/>
    </row>
    <row r="10" ht="15.75" customHeight="1">
      <c r="A10" s="50"/>
      <c r="B10" s="62" t="s">
        <v>91</v>
      </c>
      <c r="C10" s="47"/>
      <c r="D10" s="47"/>
      <c r="E10" s="47"/>
      <c r="F10" s="47"/>
      <c r="G10" s="47"/>
      <c r="H10" s="47"/>
      <c r="I10" s="47"/>
      <c r="J10" s="47"/>
      <c r="K10" s="48">
        <f>'Events Cascade EMESA'!G67/2</f>
        <v>0</v>
      </c>
      <c r="L10" s="48">
        <f>'Events Cascade EMESA'!H67/2</f>
        <v>0</v>
      </c>
      <c r="M10" s="48">
        <f>'Events Cascade EMESA'!I67/2</f>
        <v>0</v>
      </c>
      <c r="N10" s="48">
        <f>'Events Cascade EMESA'!J67/2</f>
        <v>0</v>
      </c>
      <c r="O10" s="48">
        <f>'Events Cascade EMESA'!K67/2</f>
        <v>0</v>
      </c>
      <c r="P10" s="48">
        <f>'Events Cascade EMESA'!L67/2</f>
        <v>0</v>
      </c>
      <c r="Q10" s="48">
        <f>'Events Cascade EMESA'!M67/2</f>
        <v>0</v>
      </c>
      <c r="R10" s="48">
        <f>'Events Cascade NORAM'!N67</f>
        <v>3.471</v>
      </c>
      <c r="S10" s="48">
        <f>'Events Cascade NORAM'!O67</f>
        <v>1.725</v>
      </c>
      <c r="T10" s="48">
        <f>'Events Cascade NORAM'!P67</f>
        <v>1.524</v>
      </c>
      <c r="U10" s="48">
        <f>'Events Cascade NORAM'!Q67</f>
        <v>2.1675</v>
      </c>
      <c r="V10" s="48">
        <f>'Events Cascade NORAM'!R67</f>
        <v>2.2425</v>
      </c>
      <c r="W10" s="48">
        <f>'Events Cascade NORAM'!S67</f>
        <v>2.250441176</v>
      </c>
      <c r="X10" s="48">
        <f>'Events Cascade NORAM'!T67</f>
        <v>2.250441176</v>
      </c>
      <c r="Y10" s="48">
        <f>'Events Cascade NORAM'!U67</f>
        <v>2.250441176</v>
      </c>
      <c r="Z10" s="48">
        <f>'Events Cascade NORAM'!V67</f>
        <v>2.250441176</v>
      </c>
      <c r="AA10" s="48">
        <f>'Events Cascade NORAM'!W67</f>
        <v>2.250441176</v>
      </c>
      <c r="AB10" s="48">
        <f>'Events Cascade NORAM'!X67</f>
        <v>2.250441176</v>
      </c>
      <c r="AC10" s="48">
        <f>'Events Cascade NORAM'!Y67</f>
        <v>2.250441176</v>
      </c>
      <c r="AD10" s="48">
        <f>'Events Cascade NORAM'!Z67</f>
        <v>2.25</v>
      </c>
      <c r="AE10" s="48">
        <f>'Events Cascade NORAM'!AA67</f>
        <v>2.25</v>
      </c>
      <c r="AF10" s="48">
        <f>'Events Cascade NORAM'!AB67</f>
        <v>2.25</v>
      </c>
      <c r="AG10" s="48">
        <f>'Events Cascade NORAM'!AC67</f>
        <v>2.25</v>
      </c>
      <c r="AH10" s="48">
        <f>'Events Cascade NORAM'!AD67</f>
        <v>2.25</v>
      </c>
      <c r="AI10" s="49"/>
      <c r="AJ10" s="49"/>
      <c r="AK10" s="49"/>
      <c r="AL10" s="49"/>
      <c r="AM10" s="49"/>
      <c r="AN10" s="49"/>
      <c r="AO10" s="49"/>
    </row>
    <row r="11" ht="15.75" customHeight="1">
      <c r="A11" s="50"/>
      <c r="B11" s="62" t="s">
        <v>92</v>
      </c>
      <c r="C11" s="63"/>
      <c r="D11" s="63"/>
      <c r="E11" s="63"/>
      <c r="F11" s="63"/>
      <c r="G11" s="63"/>
      <c r="H11" s="63"/>
      <c r="I11" s="63"/>
      <c r="J11" s="63"/>
      <c r="K11" s="48">
        <f>'Partner Cascade NORAM'!G67</f>
        <v>0</v>
      </c>
      <c r="L11" s="48">
        <f>'Partner Cascade NORAM'!H67</f>
        <v>3</v>
      </c>
      <c r="M11" s="48">
        <f>'Partner Cascade NORAM'!I67</f>
        <v>2</v>
      </c>
      <c r="N11" s="48">
        <f>'Partner Cascade NORAM'!J67</f>
        <v>4</v>
      </c>
      <c r="O11" s="48">
        <f>'Partner Cascade NORAM'!K67</f>
        <v>0</v>
      </c>
      <c r="P11" s="48">
        <f>'Partner Cascade NORAM'!L67</f>
        <v>1</v>
      </c>
      <c r="Q11" s="48">
        <f>'Partner Cascade NORAM'!M67</f>
        <v>0</v>
      </c>
      <c r="R11" s="48">
        <f>'Partner Cascade NORAM'!N67</f>
        <v>0</v>
      </c>
      <c r="S11" s="48">
        <f>'Partner Cascade NORAM'!O67</f>
        <v>1</v>
      </c>
      <c r="T11" s="48">
        <f>'Partner Cascade NORAM'!P67</f>
        <v>1</v>
      </c>
      <c r="U11" s="48">
        <f>'Partner Cascade NORAM'!Q67</f>
        <v>1.07</v>
      </c>
      <c r="V11" s="48">
        <f>'Partner Cascade NORAM'!R67</f>
        <v>3</v>
      </c>
      <c r="W11" s="48">
        <f>'Partner Cascade NORAM'!S67</f>
        <v>3.21</v>
      </c>
      <c r="X11" s="48">
        <f>'Partner Cascade NORAM'!T67</f>
        <v>3.4347</v>
      </c>
      <c r="Y11" s="48">
        <f>'Partner Cascade NORAM'!U67</f>
        <v>3.675129</v>
      </c>
      <c r="Z11" s="48">
        <f>'Partner Cascade NORAM'!V67</f>
        <v>3.93238803</v>
      </c>
      <c r="AA11" s="48">
        <f>'Partner Cascade NORAM'!W67</f>
        <v>4.207655192</v>
      </c>
      <c r="AB11" s="48">
        <f>'Partner Cascade NORAM'!X67</f>
        <v>4.502191056</v>
      </c>
      <c r="AC11" s="48">
        <f>'Partner Cascade NORAM'!Y67</f>
        <v>4.817344429</v>
      </c>
      <c r="AD11" s="48">
        <f>'Partner Cascade NORAM'!Z67</f>
        <v>5.154558539</v>
      </c>
      <c r="AE11" s="48">
        <f>'Partner Cascade NORAM'!AA67</f>
        <v>5.515377637</v>
      </c>
      <c r="AF11" s="48">
        <f>'Partner Cascade NORAM'!AB67</f>
        <v>5.901454072</v>
      </c>
      <c r="AG11" s="48">
        <f>'Partner Cascade NORAM'!AC67</f>
        <v>6.314555857</v>
      </c>
      <c r="AH11" s="48">
        <f>'Partner Cascade NORAM'!AD67</f>
        <v>6.756574767</v>
      </c>
      <c r="AI11" s="49"/>
      <c r="AJ11" s="49"/>
      <c r="AK11" s="49"/>
      <c r="AL11" s="49"/>
      <c r="AM11" s="49"/>
      <c r="AN11" s="49"/>
      <c r="AO11" s="49"/>
    </row>
    <row r="12" ht="15.75" customHeight="1">
      <c r="A12" s="64" t="s">
        <v>93</v>
      </c>
      <c r="B12" s="65"/>
      <c r="C12" s="66" t="str">
        <f t="shared" ref="C12:J12" si="2">SUM(#REF!)</f>
        <v>#REF!</v>
      </c>
      <c r="D12" s="66" t="str">
        <f t="shared" si="2"/>
        <v>#REF!</v>
      </c>
      <c r="E12" s="66" t="str">
        <f t="shared" si="2"/>
        <v>#REF!</v>
      </c>
      <c r="F12" s="66" t="str">
        <f t="shared" si="2"/>
        <v>#REF!</v>
      </c>
      <c r="G12" s="66" t="str">
        <f t="shared" si="2"/>
        <v>#REF!</v>
      </c>
      <c r="H12" s="66" t="str">
        <f t="shared" si="2"/>
        <v>#REF!</v>
      </c>
      <c r="I12" s="66" t="str">
        <f t="shared" si="2"/>
        <v>#REF!</v>
      </c>
      <c r="J12" s="66" t="str">
        <f t="shared" si="2"/>
        <v>#REF!</v>
      </c>
      <c r="K12" s="67">
        <f t="shared" ref="K12:AH12" si="3">SUM(K7:K11)</f>
        <v>14.84836471</v>
      </c>
      <c r="L12" s="67">
        <f t="shared" si="3"/>
        <v>14.37739412</v>
      </c>
      <c r="M12" s="67">
        <f t="shared" si="3"/>
        <v>13.83613235</v>
      </c>
      <c r="N12" s="67">
        <f t="shared" si="3"/>
        <v>13.75126176</v>
      </c>
      <c r="O12" s="67">
        <f t="shared" si="3"/>
        <v>8.879920588</v>
      </c>
      <c r="P12" s="67">
        <f t="shared" si="3"/>
        <v>9.142979412</v>
      </c>
      <c r="Q12" s="67">
        <f t="shared" si="3"/>
        <v>11.90942647</v>
      </c>
      <c r="R12" s="67">
        <f t="shared" si="3"/>
        <v>24.4878</v>
      </c>
      <c r="S12" s="67">
        <f t="shared" si="3"/>
        <v>28.0565</v>
      </c>
      <c r="T12" s="67">
        <f t="shared" si="3"/>
        <v>28.5085</v>
      </c>
      <c r="U12" s="67" t="str">
        <f t="shared" si="3"/>
        <v>#REF!</v>
      </c>
      <c r="V12" s="67" t="str">
        <f t="shared" si="3"/>
        <v>#REF!</v>
      </c>
      <c r="W12" s="67" t="str">
        <f t="shared" si="3"/>
        <v>#REF!</v>
      </c>
      <c r="X12" s="67" t="str">
        <f t="shared" si="3"/>
        <v>#REF!</v>
      </c>
      <c r="Y12" s="67" t="str">
        <f t="shared" si="3"/>
        <v>#REF!</v>
      </c>
      <c r="Z12" s="67" t="str">
        <f t="shared" si="3"/>
        <v>#REF!</v>
      </c>
      <c r="AA12" s="67" t="str">
        <f t="shared" si="3"/>
        <v>#REF!</v>
      </c>
      <c r="AB12" s="67" t="str">
        <f t="shared" si="3"/>
        <v>#REF!</v>
      </c>
      <c r="AC12" s="67" t="str">
        <f t="shared" si="3"/>
        <v>#REF!</v>
      </c>
      <c r="AD12" s="67" t="str">
        <f t="shared" si="3"/>
        <v>#REF!</v>
      </c>
      <c r="AE12" s="67" t="str">
        <f t="shared" si="3"/>
        <v>#REF!</v>
      </c>
      <c r="AF12" s="67" t="str">
        <f t="shared" si="3"/>
        <v>#REF!</v>
      </c>
      <c r="AG12" s="67" t="str">
        <f t="shared" si="3"/>
        <v>#REF!</v>
      </c>
      <c r="AH12" s="67" t="str">
        <f t="shared" si="3"/>
        <v>#REF!</v>
      </c>
      <c r="AI12" s="49"/>
      <c r="AJ12" s="49"/>
      <c r="AK12" s="49"/>
      <c r="AL12" s="49"/>
      <c r="AM12" s="49"/>
      <c r="AN12" s="49"/>
      <c r="AO12" s="49"/>
    </row>
    <row r="13" ht="15.75" customHeight="1">
      <c r="A13" s="68" t="s">
        <v>94</v>
      </c>
      <c r="B13" s="69" t="s">
        <v>84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1">
        <f t="array" ref="R13:AH13">TRANSPOSE('Inbound Cascade EMESA NORTH'!$B$50:$B$66)</f>
        <v>18</v>
      </c>
      <c r="S13" s="71">
        <v>18.0</v>
      </c>
      <c r="T13" s="71">
        <v>18.0</v>
      </c>
      <c r="U13" s="71" t="e">
        <v>#REF!</v>
      </c>
      <c r="V13" s="71" t="e">
        <v>#REF!</v>
      </c>
      <c r="W13" s="71" t="e">
        <v>#REF!</v>
      </c>
      <c r="X13" s="71" t="e">
        <v>#REF!</v>
      </c>
      <c r="Y13" s="71" t="e">
        <v>#REF!</v>
      </c>
      <c r="Z13" s="71" t="e">
        <v>#REF!</v>
      </c>
      <c r="AA13" s="71" t="e">
        <v>#REF!</v>
      </c>
      <c r="AB13" s="71" t="e">
        <v>#REF!</v>
      </c>
      <c r="AC13" s="71" t="e">
        <v>#REF!</v>
      </c>
      <c r="AD13" s="71" t="e">
        <v>#REF!</v>
      </c>
      <c r="AE13" s="71" t="e">
        <v>#REF!</v>
      </c>
      <c r="AF13" s="71" t="e">
        <v>#REF!</v>
      </c>
      <c r="AG13" s="71" t="e">
        <v>#REF!</v>
      </c>
      <c r="AH13" s="71" t="e">
        <v>#REF!</v>
      </c>
      <c r="AI13" s="72"/>
      <c r="AJ13" s="72"/>
      <c r="AK13" s="72"/>
      <c r="AL13" s="72"/>
      <c r="AM13" s="72"/>
      <c r="AN13" s="72"/>
      <c r="AO13" s="72"/>
    </row>
    <row r="14" ht="15.75" customHeight="1">
      <c r="A14" s="73"/>
      <c r="B14" s="51" t="s">
        <v>85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74">
        <f t="array" ref="R14:AH14">TRANSPOSE('Outbound Cascade EMESA NORTH'!$B$50:$B$66)</f>
        <v>7</v>
      </c>
      <c r="S14" s="74">
        <v>12.0</v>
      </c>
      <c r="T14" s="74">
        <v>5.0</v>
      </c>
      <c r="U14" s="74">
        <v>0.0</v>
      </c>
      <c r="V14" s="74">
        <v>0.0</v>
      </c>
      <c r="W14" s="74">
        <v>0.0</v>
      </c>
      <c r="X14" s="74">
        <v>0.0</v>
      </c>
      <c r="Y14" s="74">
        <v>0.0</v>
      </c>
      <c r="Z14" s="74">
        <v>0.0</v>
      </c>
      <c r="AA14" s="74">
        <v>0.0</v>
      </c>
      <c r="AB14" s="74">
        <v>0.0</v>
      </c>
      <c r="AC14" s="74">
        <v>0.0</v>
      </c>
      <c r="AD14" s="74">
        <v>0.0</v>
      </c>
      <c r="AE14" s="74">
        <v>0.0</v>
      </c>
      <c r="AF14" s="74">
        <v>0.0</v>
      </c>
      <c r="AG14" s="74">
        <v>0.0</v>
      </c>
      <c r="AH14" s="74">
        <v>0.0</v>
      </c>
      <c r="AI14" s="72"/>
      <c r="AJ14" s="72"/>
      <c r="AK14" s="72"/>
      <c r="AL14" s="72"/>
      <c r="AM14" s="72"/>
      <c r="AN14" s="72"/>
      <c r="AO14" s="72"/>
    </row>
    <row r="15" ht="15.75" customHeight="1">
      <c r="A15" s="73"/>
      <c r="B15" s="51" t="s">
        <v>86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74">
        <f t="array" ref="R15:AH15">TRANSPOSE('ILO Cascade EMESA NORTH'!$B$50:$B$66)</f>
        <v>25</v>
      </c>
      <c r="S15" s="74">
        <v>23.0</v>
      </c>
      <c r="T15" s="74">
        <v>40.0</v>
      </c>
      <c r="U15" s="74">
        <v>31.5</v>
      </c>
      <c r="V15" s="74">
        <v>40.95</v>
      </c>
      <c r="W15" s="74">
        <v>40.95</v>
      </c>
      <c r="X15" s="74">
        <v>47.25</v>
      </c>
      <c r="Y15" s="74">
        <v>47.25</v>
      </c>
      <c r="Z15" s="74">
        <v>53.55</v>
      </c>
      <c r="AA15" s="74">
        <v>53.55</v>
      </c>
      <c r="AB15" s="74">
        <v>53.55</v>
      </c>
      <c r="AC15" s="74">
        <v>53.55</v>
      </c>
      <c r="AD15" s="74">
        <v>53.55</v>
      </c>
      <c r="AE15" s="74">
        <v>53.55</v>
      </c>
      <c r="AF15" s="74">
        <v>53.55</v>
      </c>
      <c r="AG15" s="74">
        <v>53.55</v>
      </c>
      <c r="AH15" s="74">
        <v>53.55</v>
      </c>
      <c r="AI15" s="72"/>
      <c r="AJ15" s="72"/>
      <c r="AK15" s="72"/>
      <c r="AL15" s="72"/>
      <c r="AM15" s="72"/>
      <c r="AN15" s="72"/>
      <c r="AO15" s="72"/>
    </row>
    <row r="16" ht="15.75" customHeight="1">
      <c r="A16" s="73"/>
      <c r="B16" s="51" t="s">
        <v>87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3">
        <f t="array" ref="R16:AH16">TRANSPOSE('Events Cascade EMESA'!$B$50:$B$66)</f>
        <v>26</v>
      </c>
      <c r="S16" s="53">
        <v>10.0</v>
      </c>
      <c r="T16" s="53">
        <v>10.0</v>
      </c>
      <c r="U16" s="53">
        <v>15.0</v>
      </c>
      <c r="V16" s="53">
        <v>15.0</v>
      </c>
      <c r="W16" s="53">
        <v>15.0</v>
      </c>
      <c r="X16" s="53">
        <v>15.0</v>
      </c>
      <c r="Y16" s="53">
        <v>15.0</v>
      </c>
      <c r="Z16" s="53">
        <v>15.0</v>
      </c>
      <c r="AA16" s="53">
        <v>15.0</v>
      </c>
      <c r="AB16" s="53">
        <v>15.0</v>
      </c>
      <c r="AC16" s="53">
        <v>15.0</v>
      </c>
      <c r="AD16" s="53">
        <v>15.0</v>
      </c>
      <c r="AE16" s="53">
        <v>15.0</v>
      </c>
      <c r="AF16" s="53">
        <v>15.0</v>
      </c>
      <c r="AG16" s="53">
        <v>15.0</v>
      </c>
      <c r="AH16" s="53">
        <v>15.0</v>
      </c>
      <c r="AI16" s="49"/>
      <c r="AJ16" s="49"/>
      <c r="AK16" s="49"/>
      <c r="AL16" s="49"/>
      <c r="AM16" s="49"/>
      <c r="AN16" s="49"/>
      <c r="AO16" s="49"/>
    </row>
    <row r="17" ht="15.75" customHeight="1">
      <c r="A17" s="73"/>
      <c r="B17" s="51" t="s">
        <v>87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3">
        <f t="shared" ref="R17:AH17" si="4">R16/2</f>
        <v>13</v>
      </c>
      <c r="S17" s="53">
        <f t="shared" si="4"/>
        <v>5</v>
      </c>
      <c r="T17" s="53">
        <f t="shared" si="4"/>
        <v>5</v>
      </c>
      <c r="U17" s="53">
        <f t="shared" si="4"/>
        <v>7.5</v>
      </c>
      <c r="V17" s="53">
        <f t="shared" si="4"/>
        <v>7.5</v>
      </c>
      <c r="W17" s="53">
        <f t="shared" si="4"/>
        <v>7.5</v>
      </c>
      <c r="X17" s="53">
        <f t="shared" si="4"/>
        <v>7.5</v>
      </c>
      <c r="Y17" s="53">
        <f t="shared" si="4"/>
        <v>7.5</v>
      </c>
      <c r="Z17" s="53">
        <f t="shared" si="4"/>
        <v>7.5</v>
      </c>
      <c r="AA17" s="53">
        <f t="shared" si="4"/>
        <v>7.5</v>
      </c>
      <c r="AB17" s="53">
        <f t="shared" si="4"/>
        <v>7.5</v>
      </c>
      <c r="AC17" s="53">
        <f t="shared" si="4"/>
        <v>7.5</v>
      </c>
      <c r="AD17" s="53">
        <f t="shared" si="4"/>
        <v>7.5</v>
      </c>
      <c r="AE17" s="53">
        <f t="shared" si="4"/>
        <v>7.5</v>
      </c>
      <c r="AF17" s="53">
        <f t="shared" si="4"/>
        <v>7.5</v>
      </c>
      <c r="AG17" s="53">
        <f t="shared" si="4"/>
        <v>7.5</v>
      </c>
      <c r="AH17" s="53">
        <f t="shared" si="4"/>
        <v>7.5</v>
      </c>
      <c r="AI17" s="49"/>
      <c r="AJ17" s="49"/>
      <c r="AK17" s="49"/>
      <c r="AL17" s="49"/>
      <c r="AM17" s="49"/>
      <c r="AN17" s="49"/>
      <c r="AO17" s="49"/>
    </row>
    <row r="18" ht="15.75" customHeight="1">
      <c r="A18" s="73"/>
      <c r="B18" s="75" t="s">
        <v>95</v>
      </c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76">
        <f>sum(R13:R16)</f>
        <v>76</v>
      </c>
      <c r="S18" s="76">
        <f t="shared" ref="S18:AH18" si="5">sum(S13:S15,S17)</f>
        <v>58</v>
      </c>
      <c r="T18" s="76">
        <f t="shared" si="5"/>
        <v>68</v>
      </c>
      <c r="U18" s="76" t="str">
        <f t="shared" si="5"/>
        <v>#REF!</v>
      </c>
      <c r="V18" s="76" t="str">
        <f t="shared" si="5"/>
        <v>#REF!</v>
      </c>
      <c r="W18" s="76" t="str">
        <f t="shared" si="5"/>
        <v>#REF!</v>
      </c>
      <c r="X18" s="76" t="str">
        <f t="shared" si="5"/>
        <v>#REF!</v>
      </c>
      <c r="Y18" s="76" t="str">
        <f t="shared" si="5"/>
        <v>#REF!</v>
      </c>
      <c r="Z18" s="76" t="str">
        <f t="shared" si="5"/>
        <v>#REF!</v>
      </c>
      <c r="AA18" s="76" t="str">
        <f t="shared" si="5"/>
        <v>#REF!</v>
      </c>
      <c r="AB18" s="76" t="str">
        <f t="shared" si="5"/>
        <v>#REF!</v>
      </c>
      <c r="AC18" s="76" t="str">
        <f t="shared" si="5"/>
        <v>#REF!</v>
      </c>
      <c r="AD18" s="76" t="str">
        <f t="shared" si="5"/>
        <v>#REF!</v>
      </c>
      <c r="AE18" s="76" t="str">
        <f t="shared" si="5"/>
        <v>#REF!</v>
      </c>
      <c r="AF18" s="76" t="str">
        <f t="shared" si="5"/>
        <v>#REF!</v>
      </c>
      <c r="AG18" s="76" t="str">
        <f t="shared" si="5"/>
        <v>#REF!</v>
      </c>
      <c r="AH18" s="76" t="str">
        <f t="shared" si="5"/>
        <v>#REF!</v>
      </c>
      <c r="AI18" s="72"/>
      <c r="AJ18" s="72"/>
      <c r="AK18" s="72"/>
      <c r="AL18" s="72"/>
      <c r="AM18" s="72"/>
      <c r="AN18" s="72"/>
      <c r="AO18" s="72"/>
    </row>
    <row r="19" ht="15.75" customHeight="1">
      <c r="A19" s="73"/>
      <c r="B19" s="69" t="s">
        <v>88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1">
        <f>'Outbound Cascade EMESA NORTH'!K67/2</f>
        <v>0.3750735294</v>
      </c>
      <c r="P19" s="71">
        <f>'Outbound Cascade EMESA NORTH'!L67/2</f>
        <v>0.3750735294</v>
      </c>
      <c r="Q19" s="71">
        <f>'Outbound Cascade EMESA NORTH'!M67/2</f>
        <v>0.3750735294</v>
      </c>
      <c r="R19" s="71">
        <f>'Outbound Cascade EMESA NORTH'!N67</f>
        <v>1.017</v>
      </c>
      <c r="S19" s="71">
        <f>'Outbound Cascade EMESA NORTH'!O67</f>
        <v>1.7145</v>
      </c>
      <c r="T19" s="71">
        <f>'Outbound Cascade EMESA NORTH'!P67</f>
        <v>0.858</v>
      </c>
      <c r="U19" s="71">
        <f>'Outbound Cascade EMESA NORTH'!Q67</f>
        <v>0.093</v>
      </c>
      <c r="V19" s="71">
        <f>'Outbound Cascade EMESA NORTH'!R67</f>
        <v>0.0075</v>
      </c>
      <c r="W19" s="71">
        <f>'Outbound Cascade EMESA NORTH'!S67</f>
        <v>0</v>
      </c>
      <c r="X19" s="71">
        <f>'Outbound Cascade EMESA NORTH'!T67</f>
        <v>0</v>
      </c>
      <c r="Y19" s="71">
        <f>'Outbound Cascade EMESA NORTH'!U67</f>
        <v>0</v>
      </c>
      <c r="Z19" s="71">
        <f>'Outbound Cascade EMESA NORTH'!V67</f>
        <v>0</v>
      </c>
      <c r="AA19" s="71">
        <f>'Outbound Cascade EMESA NORTH'!W67</f>
        <v>0</v>
      </c>
      <c r="AB19" s="71">
        <f>'Outbound Cascade EMESA NORTH'!X67</f>
        <v>0</v>
      </c>
      <c r="AC19" s="71">
        <f>'Outbound Cascade EMESA NORTH'!Y67</f>
        <v>0</v>
      </c>
      <c r="AD19" s="71">
        <f>'Outbound Cascade EMESA NORTH'!Z67</f>
        <v>0</v>
      </c>
      <c r="AE19" s="71">
        <f>'Outbound Cascade EMESA NORTH'!AA67</f>
        <v>0</v>
      </c>
      <c r="AF19" s="71">
        <f>'Outbound Cascade EMESA NORTH'!AB67</f>
        <v>0</v>
      </c>
      <c r="AG19" s="71">
        <f>'Outbound Cascade EMESA NORTH'!AC67</f>
        <v>0</v>
      </c>
      <c r="AH19" s="71">
        <f>'Outbound Cascade EMESA NORTH'!AD67</f>
        <v>0</v>
      </c>
      <c r="AI19" s="72"/>
      <c r="AJ19" s="72"/>
      <c r="AK19" s="72"/>
      <c r="AL19" s="72"/>
      <c r="AM19" s="72"/>
      <c r="AN19" s="72"/>
      <c r="AO19" s="72"/>
    </row>
    <row r="20" ht="15.75" customHeight="1">
      <c r="A20" s="73"/>
      <c r="B20" s="58" t="s">
        <v>89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77"/>
      <c r="P20" s="77"/>
      <c r="Q20" s="77"/>
      <c r="R20" s="77">
        <f>'ILO Cascade EMESA NORTH'!N67</f>
        <v>11.2625</v>
      </c>
      <c r="S20" s="77">
        <f>'ILO Cascade EMESA NORTH'!O67</f>
        <v>10.449</v>
      </c>
      <c r="T20" s="77">
        <f>'ILO Cascade EMESA NORTH'!P67</f>
        <v>17.1675</v>
      </c>
      <c r="U20" s="77">
        <f>'ILO Cascade EMESA NORTH'!Q67</f>
        <v>14.51925</v>
      </c>
      <c r="V20" s="77">
        <f>'ILO Cascade EMESA NORTH'!R67</f>
        <v>17.997975</v>
      </c>
      <c r="W20" s="77">
        <f>'ILO Cascade EMESA NORTH'!S67</f>
        <v>18.38858824</v>
      </c>
      <c r="X20" s="77">
        <f>'ILO Cascade EMESA NORTH'!T67</f>
        <v>20.95481912</v>
      </c>
      <c r="Y20" s="77">
        <f>'ILO Cascade EMESA NORTH'!U67</f>
        <v>21.23831912</v>
      </c>
      <c r="Z20" s="77">
        <f>'ILO Cascade EMESA NORTH'!V67</f>
        <v>23.790375</v>
      </c>
      <c r="AA20" s="77">
        <f>'ILO Cascade EMESA NORTH'!W67</f>
        <v>24.073875</v>
      </c>
      <c r="AB20" s="77">
        <f>'ILO Cascade EMESA NORTH'!X67</f>
        <v>24.102225</v>
      </c>
      <c r="AC20" s="77">
        <f>'ILO Cascade EMESA NORTH'!Y67</f>
        <v>24.102225</v>
      </c>
      <c r="AD20" s="77">
        <f>'ILO Cascade EMESA NORTH'!Z67</f>
        <v>24.0975</v>
      </c>
      <c r="AE20" s="77">
        <f>'ILO Cascade EMESA NORTH'!AA67</f>
        <v>24.0975</v>
      </c>
      <c r="AF20" s="77">
        <f>'ILO Cascade EMESA NORTH'!AB67</f>
        <v>24.0975</v>
      </c>
      <c r="AG20" s="77">
        <f>'ILO Cascade EMESA NORTH'!AC67</f>
        <v>24.0975</v>
      </c>
      <c r="AH20" s="77">
        <f>'ILO Cascade EMESA NORTH'!AD67</f>
        <v>24.0975</v>
      </c>
      <c r="AI20" s="72"/>
      <c r="AJ20" s="72"/>
      <c r="AK20" s="72"/>
      <c r="AL20" s="72"/>
      <c r="AM20" s="72"/>
      <c r="AN20" s="72"/>
      <c r="AO20" s="72"/>
    </row>
    <row r="21" ht="15.75" customHeight="1">
      <c r="A21" s="73"/>
      <c r="B21" s="58" t="s">
        <v>90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0">
        <f>'Inbound Cascade EMESA NORTH'!K67</f>
        <v>10.57711765</v>
      </c>
      <c r="P21" s="60">
        <f>'Inbound Cascade EMESA NORTH'!L67</f>
        <v>10.13957647</v>
      </c>
      <c r="Q21" s="60">
        <f>'Inbound Cascade EMESA NORTH'!M67</f>
        <v>9.608470588</v>
      </c>
      <c r="R21" s="60">
        <f>'Inbound Cascade EMESA NORTH'!N67</f>
        <v>9.0648</v>
      </c>
      <c r="S21" s="60">
        <f>'Inbound Cascade EMESA NORTH'!O67</f>
        <v>9.0054</v>
      </c>
      <c r="T21" s="60">
        <f>'Inbound Cascade EMESA NORTH'!P67</f>
        <v>9</v>
      </c>
      <c r="U21" s="60" t="str">
        <f>'Inbound Cascade EMESA NORTH'!Q67</f>
        <v>#REF!</v>
      </c>
      <c r="V21" s="60" t="str">
        <f>'Inbound Cascade EMESA NORTH'!R67</f>
        <v>#REF!</v>
      </c>
      <c r="W21" s="60" t="str">
        <f>'Inbound Cascade EMESA NORTH'!S67</f>
        <v>#REF!</v>
      </c>
      <c r="X21" s="60" t="str">
        <f>'Inbound Cascade EMESA NORTH'!T67</f>
        <v>#REF!</v>
      </c>
      <c r="Y21" s="60" t="str">
        <f>'Inbound Cascade EMESA NORTH'!U67</f>
        <v>#REF!</v>
      </c>
      <c r="Z21" s="60" t="str">
        <f>'Inbound Cascade EMESA NORTH'!V67</f>
        <v>#REF!</v>
      </c>
      <c r="AA21" s="60" t="str">
        <f>'Inbound Cascade EMESA NORTH'!W67</f>
        <v>#REF!</v>
      </c>
      <c r="AB21" s="60" t="str">
        <f>'Inbound Cascade EMESA NORTH'!X67</f>
        <v>#REF!</v>
      </c>
      <c r="AC21" s="60" t="str">
        <f>'Inbound Cascade EMESA NORTH'!Y67</f>
        <v>#REF!</v>
      </c>
      <c r="AD21" s="60" t="str">
        <f>'Inbound Cascade EMESA NORTH'!Z67</f>
        <v>#REF!</v>
      </c>
      <c r="AE21" s="60" t="str">
        <f>'Inbound Cascade EMESA NORTH'!AA67</f>
        <v>#REF!</v>
      </c>
      <c r="AF21" s="60" t="str">
        <f>'Inbound Cascade EMESA NORTH'!AB67</f>
        <v>#REF!</v>
      </c>
      <c r="AG21" s="60" t="str">
        <f>'Inbound Cascade EMESA NORTH'!AC67</f>
        <v>#REF!</v>
      </c>
      <c r="AH21" s="60" t="str">
        <f>'Inbound Cascade EMESA NORTH'!AD67</f>
        <v>#REF!</v>
      </c>
      <c r="AI21" s="49"/>
      <c r="AJ21" s="49"/>
      <c r="AK21" s="49"/>
      <c r="AL21" s="49"/>
      <c r="AM21" s="49"/>
      <c r="AN21" s="49"/>
      <c r="AO21" s="49"/>
    </row>
    <row r="22" ht="15.75" customHeight="1">
      <c r="A22" s="73"/>
      <c r="B22" s="62" t="s">
        <v>91</v>
      </c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78">
        <f>'Events Cascade EMESA'!K67/2</f>
        <v>0</v>
      </c>
      <c r="P22" s="78">
        <f>'Events Cascade EMESA'!L67/2</f>
        <v>0</v>
      </c>
      <c r="Q22" s="78">
        <f>'Events Cascade EMESA'!M67/2</f>
        <v>0</v>
      </c>
      <c r="R22" s="78">
        <f>'Events Cascade EMESA'!N67/2</f>
        <v>1.7355</v>
      </c>
      <c r="S22" s="78">
        <f>'Events Cascade EMESA'!O67</f>
        <v>1.725</v>
      </c>
      <c r="T22" s="78">
        <f>'Events Cascade EMESA'!P67</f>
        <v>1.524</v>
      </c>
      <c r="U22" s="78">
        <f>'Events Cascade EMESA'!Q67</f>
        <v>2.1675</v>
      </c>
      <c r="V22" s="78">
        <f>'Events Cascade EMESA'!R67</f>
        <v>2.2425</v>
      </c>
      <c r="W22" s="78">
        <f>'Events Cascade EMESA'!S67</f>
        <v>2.250441176</v>
      </c>
      <c r="X22" s="78">
        <f>'Events Cascade EMESA'!T67</f>
        <v>2.250441176</v>
      </c>
      <c r="Y22" s="78">
        <f>'Events Cascade EMESA'!U67</f>
        <v>2.250441176</v>
      </c>
      <c r="Z22" s="78">
        <f>'Events Cascade EMESA'!V67</f>
        <v>2.250441176</v>
      </c>
      <c r="AA22" s="78">
        <f>'Events Cascade EMESA'!W67</f>
        <v>2.250441176</v>
      </c>
      <c r="AB22" s="78">
        <f>'Events Cascade EMESA'!X67</f>
        <v>2.250441176</v>
      </c>
      <c r="AC22" s="78">
        <f>'Events Cascade EMESA'!Y67</f>
        <v>2.250441176</v>
      </c>
      <c r="AD22" s="78">
        <f>'Events Cascade EMESA'!Z67</f>
        <v>2.25</v>
      </c>
      <c r="AE22" s="78">
        <f>'Events Cascade EMESA'!AA67</f>
        <v>2.25</v>
      </c>
      <c r="AF22" s="78">
        <f>'Events Cascade EMESA'!AB67</f>
        <v>2.25</v>
      </c>
      <c r="AG22" s="78">
        <f>'Events Cascade EMESA'!AC67</f>
        <v>2.25</v>
      </c>
      <c r="AH22" s="78">
        <f>'Events Cascade EMESA'!AD67</f>
        <v>2.25</v>
      </c>
      <c r="AI22" s="49"/>
      <c r="AJ22" s="49"/>
      <c r="AK22" s="49"/>
      <c r="AL22" s="49"/>
      <c r="AM22" s="49"/>
      <c r="AN22" s="49"/>
      <c r="AO22" s="49"/>
    </row>
    <row r="23" ht="15.75" customHeight="1">
      <c r="A23" s="79"/>
      <c r="B23" s="62" t="s">
        <v>92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7">
        <f>'Partner Cascade EMESA NORTH'!K67</f>
        <v>7</v>
      </c>
      <c r="P23" s="57">
        <f>'Partner Cascade EMESA NORTH'!L67</f>
        <v>2</v>
      </c>
      <c r="Q23" s="57">
        <f>'Partner Cascade EMESA NORTH'!M67</f>
        <v>2</v>
      </c>
      <c r="R23" s="57">
        <f>'Partner Cascade EMESA NORTH'!N67</f>
        <v>0</v>
      </c>
      <c r="S23" s="57">
        <f>'Partner Cascade EMESA NORTH'!O67</f>
        <v>1</v>
      </c>
      <c r="T23" s="57">
        <f>'Partner Cascade EMESA NORTH'!P67</f>
        <v>1</v>
      </c>
      <c r="U23" s="57">
        <f>'Partner Cascade EMESA NORTH'!Q67</f>
        <v>2.166666667</v>
      </c>
      <c r="V23" s="57">
        <f>'Partner Cascade EMESA NORTH'!R67</f>
        <v>2.231666667</v>
      </c>
      <c r="W23" s="57">
        <f>'Partner Cascade EMESA NORTH'!S67</f>
        <v>2.387883333</v>
      </c>
      <c r="X23" s="57">
        <f>'Partner Cascade EMESA NORTH'!T67</f>
        <v>2.555035167</v>
      </c>
      <c r="Y23" s="57">
        <f>'Partner Cascade EMESA NORTH'!U67</f>
        <v>2.733887628</v>
      </c>
      <c r="Z23" s="57">
        <f>'Partner Cascade EMESA NORTH'!V67</f>
        <v>2.925259762</v>
      </c>
      <c r="AA23" s="57">
        <f>'Partner Cascade EMESA NORTH'!W67</f>
        <v>3.130027946</v>
      </c>
      <c r="AB23" s="57">
        <f>'Partner Cascade EMESA NORTH'!X67</f>
        <v>3.349129902</v>
      </c>
      <c r="AC23" s="57">
        <f>'Partner Cascade EMESA NORTH'!Y67</f>
        <v>3.583568995</v>
      </c>
      <c r="AD23" s="57">
        <f>'Partner Cascade EMESA NORTH'!Z67</f>
        <v>3.834418825</v>
      </c>
      <c r="AE23" s="57">
        <f>'Partner Cascade EMESA NORTH'!AA67</f>
        <v>4.102828142</v>
      </c>
      <c r="AF23" s="57">
        <f>'Partner Cascade EMESA NORTH'!AB67</f>
        <v>4.390026112</v>
      </c>
      <c r="AG23" s="57">
        <f>'Partner Cascade EMESA NORTH'!AC67</f>
        <v>4.69732794</v>
      </c>
      <c r="AH23" s="57">
        <f>'Partner Cascade EMESA NORTH'!AD67</f>
        <v>5.026140896</v>
      </c>
      <c r="AI23" s="49"/>
      <c r="AJ23" s="49"/>
      <c r="AK23" s="49"/>
      <c r="AL23" s="49"/>
      <c r="AM23" s="49"/>
      <c r="AN23" s="49"/>
      <c r="AO23" s="49"/>
    </row>
    <row r="24" ht="15.75" customHeight="1">
      <c r="A24" s="80" t="s">
        <v>96</v>
      </c>
      <c r="B24" s="81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3">
        <f t="shared" ref="O24:AH24" si="6">sum(O19:O23)</f>
        <v>17.95219118</v>
      </c>
      <c r="P24" s="83">
        <f t="shared" si="6"/>
        <v>12.51465</v>
      </c>
      <c r="Q24" s="83">
        <f t="shared" si="6"/>
        <v>11.98354412</v>
      </c>
      <c r="R24" s="83">
        <f t="shared" si="6"/>
        <v>23.0798</v>
      </c>
      <c r="S24" s="83">
        <f t="shared" si="6"/>
        <v>23.8939</v>
      </c>
      <c r="T24" s="83">
        <f t="shared" si="6"/>
        <v>29.5495</v>
      </c>
      <c r="U24" s="83" t="str">
        <f t="shared" si="6"/>
        <v>#REF!</v>
      </c>
      <c r="V24" s="83" t="str">
        <f t="shared" si="6"/>
        <v>#REF!</v>
      </c>
      <c r="W24" s="83" t="str">
        <f t="shared" si="6"/>
        <v>#REF!</v>
      </c>
      <c r="X24" s="83" t="str">
        <f t="shared" si="6"/>
        <v>#REF!</v>
      </c>
      <c r="Y24" s="83" t="str">
        <f t="shared" si="6"/>
        <v>#REF!</v>
      </c>
      <c r="Z24" s="83" t="str">
        <f t="shared" si="6"/>
        <v>#REF!</v>
      </c>
      <c r="AA24" s="83" t="str">
        <f t="shared" si="6"/>
        <v>#REF!</v>
      </c>
      <c r="AB24" s="83" t="str">
        <f t="shared" si="6"/>
        <v>#REF!</v>
      </c>
      <c r="AC24" s="83" t="str">
        <f t="shared" si="6"/>
        <v>#REF!</v>
      </c>
      <c r="AD24" s="83" t="str">
        <f t="shared" si="6"/>
        <v>#REF!</v>
      </c>
      <c r="AE24" s="83" t="str">
        <f t="shared" si="6"/>
        <v>#REF!</v>
      </c>
      <c r="AF24" s="83" t="str">
        <f t="shared" si="6"/>
        <v>#REF!</v>
      </c>
      <c r="AG24" s="83" t="str">
        <f t="shared" si="6"/>
        <v>#REF!</v>
      </c>
      <c r="AH24" s="83" t="str">
        <f t="shared" si="6"/>
        <v>#REF!</v>
      </c>
      <c r="AI24" s="49"/>
      <c r="AJ24" s="49"/>
      <c r="AK24" s="49"/>
      <c r="AL24" s="49"/>
      <c r="AM24" s="49"/>
      <c r="AN24" s="49"/>
      <c r="AO24" s="49"/>
    </row>
    <row r="25" ht="15.75" customHeight="1">
      <c r="A25" s="68" t="s">
        <v>97</v>
      </c>
      <c r="B25" s="69" t="s">
        <v>84</v>
      </c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1">
        <f t="array" ref="R25:AH25">TRANSPOSE('Inbound Cascade EMESA SOUTH'!$B$50:$B$66)</f>
        <v>18</v>
      </c>
      <c r="S25" s="71">
        <v>18.0</v>
      </c>
      <c r="T25" s="71">
        <v>24.0</v>
      </c>
      <c r="U25" s="71" t="e">
        <v>#REF!</v>
      </c>
      <c r="V25" s="71" t="e">
        <v>#REF!</v>
      </c>
      <c r="W25" s="71" t="e">
        <v>#REF!</v>
      </c>
      <c r="X25" s="71" t="e">
        <v>#REF!</v>
      </c>
      <c r="Y25" s="71" t="e">
        <v>#REF!</v>
      </c>
      <c r="Z25" s="71" t="e">
        <v>#REF!</v>
      </c>
      <c r="AA25" s="71" t="e">
        <v>#REF!</v>
      </c>
      <c r="AB25" s="71" t="e">
        <v>#REF!</v>
      </c>
      <c r="AC25" s="71" t="e">
        <v>#REF!</v>
      </c>
      <c r="AD25" s="71" t="e">
        <v>#REF!</v>
      </c>
      <c r="AE25" s="71" t="e">
        <v>#REF!</v>
      </c>
      <c r="AF25" s="71" t="e">
        <v>#REF!</v>
      </c>
      <c r="AG25" s="71" t="e">
        <v>#REF!</v>
      </c>
      <c r="AH25" s="71" t="e">
        <v>#REF!</v>
      </c>
      <c r="AI25" s="72"/>
      <c r="AJ25" s="72"/>
      <c r="AK25" s="72"/>
      <c r="AL25" s="72"/>
      <c r="AM25" s="72"/>
      <c r="AN25" s="72"/>
      <c r="AO25" s="72"/>
    </row>
    <row r="26" ht="15.75" customHeight="1">
      <c r="A26" s="73"/>
      <c r="B26" s="51" t="s">
        <v>85</v>
      </c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74">
        <f t="array" ref="R26:AH26">TRANSPOSE('Outbound Cascade EMESA SOUTH'!$B$50:$B$66)</f>
        <v>4</v>
      </c>
      <c r="S26" s="74">
        <v>4.0</v>
      </c>
      <c r="T26" s="74">
        <v>1.0</v>
      </c>
      <c r="U26" s="74">
        <v>4.0</v>
      </c>
      <c r="V26" s="74">
        <v>0.0</v>
      </c>
      <c r="W26" s="74">
        <v>0.0</v>
      </c>
      <c r="X26" s="74">
        <v>0.0</v>
      </c>
      <c r="Y26" s="74">
        <v>0.0</v>
      </c>
      <c r="Z26" s="74">
        <v>0.0</v>
      </c>
      <c r="AA26" s="74">
        <v>0.0</v>
      </c>
      <c r="AB26" s="74">
        <v>0.0</v>
      </c>
      <c r="AC26" s="74">
        <v>0.0</v>
      </c>
      <c r="AD26" s="74">
        <v>0.0</v>
      </c>
      <c r="AE26" s="74">
        <v>0.0</v>
      </c>
      <c r="AF26" s="74">
        <v>0.0</v>
      </c>
      <c r="AG26" s="74">
        <v>0.0</v>
      </c>
      <c r="AH26" s="74">
        <v>0.0</v>
      </c>
      <c r="AI26" s="72"/>
      <c r="AJ26" s="72"/>
      <c r="AK26" s="72"/>
      <c r="AL26" s="72"/>
      <c r="AM26" s="72"/>
      <c r="AN26" s="72"/>
      <c r="AO26" s="72"/>
    </row>
    <row r="27" ht="15.75" customHeight="1">
      <c r="A27" s="73"/>
      <c r="B27" s="51" t="s">
        <v>86</v>
      </c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74">
        <f t="array" ref="R27:AH27">TRANSPOSE('ILO Cascade EMESA SOUTH'!$B$50:$B$66)</f>
        <v>19</v>
      </c>
      <c r="S27" s="74">
        <v>19.0</v>
      </c>
      <c r="T27" s="74">
        <v>21.0</v>
      </c>
      <c r="U27" s="74">
        <v>20.0</v>
      </c>
      <c r="V27" s="74">
        <v>26.0</v>
      </c>
      <c r="W27" s="74">
        <v>26.0</v>
      </c>
      <c r="X27" s="74">
        <v>30.0</v>
      </c>
      <c r="Y27" s="74">
        <v>30.0</v>
      </c>
      <c r="Z27" s="74">
        <v>34.0</v>
      </c>
      <c r="AA27" s="74">
        <v>34.0</v>
      </c>
      <c r="AB27" s="74">
        <v>34.0</v>
      </c>
      <c r="AC27" s="74">
        <v>34.0</v>
      </c>
      <c r="AD27" s="74">
        <v>34.0</v>
      </c>
      <c r="AE27" s="74">
        <v>34.0</v>
      </c>
      <c r="AF27" s="74">
        <v>34.0</v>
      </c>
      <c r="AG27" s="74">
        <v>34.0</v>
      </c>
      <c r="AH27" s="74">
        <v>34.0</v>
      </c>
      <c r="AI27" s="72"/>
      <c r="AJ27" s="72"/>
      <c r="AK27" s="72"/>
      <c r="AL27" s="72"/>
      <c r="AM27" s="72"/>
      <c r="AN27" s="72"/>
      <c r="AO27" s="72"/>
    </row>
    <row r="28" ht="15.75" customHeight="1">
      <c r="A28" s="73"/>
      <c r="B28" s="51" t="s">
        <v>87</v>
      </c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3">
        <f t="array" ref="R28:AH28">TRANSPOSE('Events Cascade EMESA'!$B$50:$B$66)</f>
        <v>26</v>
      </c>
      <c r="S28" s="53">
        <v>10.0</v>
      </c>
      <c r="T28" s="53">
        <v>10.0</v>
      </c>
      <c r="U28" s="53">
        <v>15.0</v>
      </c>
      <c r="V28" s="53">
        <v>15.0</v>
      </c>
      <c r="W28" s="53">
        <v>15.0</v>
      </c>
      <c r="X28" s="53">
        <v>15.0</v>
      </c>
      <c r="Y28" s="53">
        <v>15.0</v>
      </c>
      <c r="Z28" s="53">
        <v>15.0</v>
      </c>
      <c r="AA28" s="53">
        <v>15.0</v>
      </c>
      <c r="AB28" s="53">
        <v>15.0</v>
      </c>
      <c r="AC28" s="53">
        <v>15.0</v>
      </c>
      <c r="AD28" s="53">
        <v>15.0</v>
      </c>
      <c r="AE28" s="53">
        <v>15.0</v>
      </c>
      <c r="AF28" s="53">
        <v>15.0</v>
      </c>
      <c r="AG28" s="53">
        <v>15.0</v>
      </c>
      <c r="AH28" s="53">
        <v>15.0</v>
      </c>
      <c r="AI28" s="49"/>
      <c r="AJ28" s="49"/>
      <c r="AK28" s="49"/>
      <c r="AL28" s="49"/>
      <c r="AM28" s="49"/>
      <c r="AN28" s="49"/>
      <c r="AO28" s="49"/>
    </row>
    <row r="29" ht="15.75" customHeight="1">
      <c r="A29" s="73"/>
      <c r="B29" s="51" t="s">
        <v>87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53">
        <f t="shared" ref="R29:AH29" si="7">R28/2</f>
        <v>13</v>
      </c>
      <c r="S29" s="53">
        <f t="shared" si="7"/>
        <v>5</v>
      </c>
      <c r="T29" s="53">
        <f t="shared" si="7"/>
        <v>5</v>
      </c>
      <c r="U29" s="53">
        <f t="shared" si="7"/>
        <v>7.5</v>
      </c>
      <c r="V29" s="53">
        <f t="shared" si="7"/>
        <v>7.5</v>
      </c>
      <c r="W29" s="53">
        <f t="shared" si="7"/>
        <v>7.5</v>
      </c>
      <c r="X29" s="53">
        <f t="shared" si="7"/>
        <v>7.5</v>
      </c>
      <c r="Y29" s="53">
        <f t="shared" si="7"/>
        <v>7.5</v>
      </c>
      <c r="Z29" s="53">
        <f t="shared" si="7"/>
        <v>7.5</v>
      </c>
      <c r="AA29" s="53">
        <f t="shared" si="7"/>
        <v>7.5</v>
      </c>
      <c r="AB29" s="53">
        <f t="shared" si="7"/>
        <v>7.5</v>
      </c>
      <c r="AC29" s="53">
        <f t="shared" si="7"/>
        <v>7.5</v>
      </c>
      <c r="AD29" s="53">
        <f t="shared" si="7"/>
        <v>7.5</v>
      </c>
      <c r="AE29" s="53">
        <f t="shared" si="7"/>
        <v>7.5</v>
      </c>
      <c r="AF29" s="53">
        <f t="shared" si="7"/>
        <v>7.5</v>
      </c>
      <c r="AG29" s="53">
        <f t="shared" si="7"/>
        <v>7.5</v>
      </c>
      <c r="AH29" s="53">
        <f t="shared" si="7"/>
        <v>7.5</v>
      </c>
      <c r="AI29" s="49"/>
      <c r="AJ29" s="49"/>
      <c r="AK29" s="49"/>
      <c r="AL29" s="49"/>
      <c r="AM29" s="49"/>
      <c r="AN29" s="49"/>
      <c r="AO29" s="49"/>
    </row>
    <row r="30" ht="15.75" customHeight="1">
      <c r="A30" s="73"/>
      <c r="B30" s="75" t="s">
        <v>95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76">
        <f>sum(R25:R28)</f>
        <v>67</v>
      </c>
      <c r="S30" s="76">
        <f t="shared" ref="S30:AH30" si="8">sum(S25:S27,S29)</f>
        <v>46</v>
      </c>
      <c r="T30" s="76">
        <f t="shared" si="8"/>
        <v>51</v>
      </c>
      <c r="U30" s="76" t="str">
        <f t="shared" si="8"/>
        <v>#REF!</v>
      </c>
      <c r="V30" s="76" t="str">
        <f t="shared" si="8"/>
        <v>#REF!</v>
      </c>
      <c r="W30" s="76" t="str">
        <f t="shared" si="8"/>
        <v>#REF!</v>
      </c>
      <c r="X30" s="76" t="str">
        <f t="shared" si="8"/>
        <v>#REF!</v>
      </c>
      <c r="Y30" s="76" t="str">
        <f t="shared" si="8"/>
        <v>#REF!</v>
      </c>
      <c r="Z30" s="76" t="str">
        <f t="shared" si="8"/>
        <v>#REF!</v>
      </c>
      <c r="AA30" s="76" t="str">
        <f t="shared" si="8"/>
        <v>#REF!</v>
      </c>
      <c r="AB30" s="76" t="str">
        <f t="shared" si="8"/>
        <v>#REF!</v>
      </c>
      <c r="AC30" s="76" t="str">
        <f t="shared" si="8"/>
        <v>#REF!</v>
      </c>
      <c r="AD30" s="76" t="str">
        <f t="shared" si="8"/>
        <v>#REF!</v>
      </c>
      <c r="AE30" s="76" t="str">
        <f t="shared" si="8"/>
        <v>#REF!</v>
      </c>
      <c r="AF30" s="76" t="str">
        <f t="shared" si="8"/>
        <v>#REF!</v>
      </c>
      <c r="AG30" s="76" t="str">
        <f t="shared" si="8"/>
        <v>#REF!</v>
      </c>
      <c r="AH30" s="76" t="str">
        <f t="shared" si="8"/>
        <v>#REF!</v>
      </c>
      <c r="AI30" s="72"/>
      <c r="AJ30" s="72"/>
      <c r="AK30" s="72"/>
      <c r="AL30" s="72"/>
      <c r="AM30" s="72"/>
      <c r="AN30" s="72"/>
      <c r="AO30" s="72"/>
    </row>
    <row r="31" ht="15.75" customHeight="1">
      <c r="A31" s="73"/>
      <c r="B31" s="69" t="s">
        <v>88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1">
        <f>'Outbound Cascade EMESA NORTH'!K76/2</f>
        <v>0</v>
      </c>
      <c r="P31" s="71">
        <f>'Outbound Cascade EMESA NORTH'!L76/2</f>
        <v>0</v>
      </c>
      <c r="Q31" s="71">
        <f>'Outbound Cascade EMESA NORTH'!M76/2</f>
        <v>0</v>
      </c>
      <c r="R31" s="84">
        <f>'Outbound Cascade EMESA SOUTH'!N67</f>
        <v>0.6</v>
      </c>
      <c r="S31" s="84">
        <f>'Outbound Cascade EMESA SOUTH'!O67</f>
        <v>0.6</v>
      </c>
      <c r="T31" s="84">
        <f>'Outbound Cascade EMESA SOUTH'!P67</f>
        <v>0.1995</v>
      </c>
      <c r="U31" s="84">
        <f>'Outbound Cascade EMESA SOUTH'!Q67</f>
        <v>0.555</v>
      </c>
      <c r="V31" s="84">
        <f>'Outbound Cascade EMESA SOUTH'!R67</f>
        <v>0.0615</v>
      </c>
      <c r="W31" s="84">
        <f>'Outbound Cascade EMESA SOUTH'!S67</f>
        <v>0.006</v>
      </c>
      <c r="X31" s="84">
        <f>'Outbound Cascade EMESA SOUTH'!T67</f>
        <v>0</v>
      </c>
      <c r="Y31" s="84">
        <f>'Outbound Cascade EMESA SOUTH'!U67</f>
        <v>0</v>
      </c>
      <c r="Z31" s="84">
        <f>'Outbound Cascade EMESA SOUTH'!V67</f>
        <v>0</v>
      </c>
      <c r="AA31" s="84">
        <f>'Outbound Cascade EMESA SOUTH'!W67</f>
        <v>0</v>
      </c>
      <c r="AB31" s="84">
        <f>'Outbound Cascade EMESA SOUTH'!X67</f>
        <v>0</v>
      </c>
      <c r="AC31" s="84">
        <f>'Outbound Cascade EMESA SOUTH'!Y67</f>
        <v>0</v>
      </c>
      <c r="AD31" s="84">
        <f>'Outbound Cascade EMESA SOUTH'!Z67</f>
        <v>0</v>
      </c>
      <c r="AE31" s="84">
        <f>'Outbound Cascade EMESA SOUTH'!AA67</f>
        <v>0</v>
      </c>
      <c r="AF31" s="84">
        <f>'Outbound Cascade EMESA SOUTH'!AB67</f>
        <v>0</v>
      </c>
      <c r="AG31" s="84">
        <f>'Outbound Cascade EMESA SOUTH'!AC67</f>
        <v>0</v>
      </c>
      <c r="AH31" s="84">
        <f>'Outbound Cascade EMESA SOUTH'!AD67</f>
        <v>0</v>
      </c>
      <c r="AI31" s="72"/>
      <c r="AJ31" s="72"/>
      <c r="AK31" s="72"/>
      <c r="AL31" s="72"/>
      <c r="AM31" s="72"/>
      <c r="AN31" s="72"/>
      <c r="AO31" s="72"/>
    </row>
    <row r="32" ht="15.75" customHeight="1">
      <c r="A32" s="73"/>
      <c r="B32" s="58" t="s">
        <v>89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77"/>
      <c r="P32" s="77"/>
      <c r="Q32" s="77"/>
      <c r="R32" s="77">
        <f>'ILO Cascade EMESA SOUTH'!N67</f>
        <v>8.532</v>
      </c>
      <c r="S32" s="77">
        <f>'ILO Cascade EMESA SOUTH'!O67</f>
        <v>8.55</v>
      </c>
      <c r="T32" s="77">
        <f>'ILO Cascade EMESA SOUTH'!P67</f>
        <v>9.351</v>
      </c>
      <c r="U32" s="77">
        <f>'ILO Cascade EMESA SOUTH'!Q67</f>
        <v>9.0405</v>
      </c>
      <c r="V32" s="77">
        <f>'ILO Cascade EMESA SOUTH'!R67</f>
        <v>11.4075</v>
      </c>
      <c r="W32" s="77">
        <f>'ILO Cascade EMESA SOUTH'!S67</f>
        <v>11.67529412</v>
      </c>
      <c r="X32" s="77">
        <f>'ILO Cascade EMESA SOUTH'!T67</f>
        <v>13.30464706</v>
      </c>
      <c r="Y32" s="77">
        <f>'ILO Cascade EMESA SOUTH'!U67</f>
        <v>13.48464706</v>
      </c>
      <c r="Z32" s="77">
        <f>'ILO Cascade EMESA SOUTH'!V67</f>
        <v>15.105</v>
      </c>
      <c r="AA32" s="77">
        <f>'ILO Cascade EMESA SOUTH'!W67</f>
        <v>15.285</v>
      </c>
      <c r="AB32" s="77">
        <f>'ILO Cascade EMESA SOUTH'!X67</f>
        <v>15.303</v>
      </c>
      <c r="AC32" s="77">
        <f>'ILO Cascade EMESA SOUTH'!Y67</f>
        <v>15.303</v>
      </c>
      <c r="AD32" s="77">
        <f>'ILO Cascade EMESA SOUTH'!Z67</f>
        <v>15.3</v>
      </c>
      <c r="AE32" s="77">
        <f>'ILO Cascade EMESA SOUTH'!AA67</f>
        <v>15.3</v>
      </c>
      <c r="AF32" s="77">
        <f>'ILO Cascade EMESA SOUTH'!AB67</f>
        <v>15.3</v>
      </c>
      <c r="AG32" s="77">
        <f>'ILO Cascade EMESA SOUTH'!AC67</f>
        <v>15.3</v>
      </c>
      <c r="AH32" s="77">
        <f>'ILO Cascade EMESA SOUTH'!AD67</f>
        <v>15.3</v>
      </c>
      <c r="AI32" s="72"/>
      <c r="AJ32" s="72"/>
      <c r="AK32" s="72"/>
      <c r="AL32" s="72"/>
      <c r="AM32" s="72"/>
      <c r="AN32" s="72"/>
      <c r="AO32" s="72"/>
    </row>
    <row r="33" ht="15.75" customHeight="1">
      <c r="A33" s="73"/>
      <c r="B33" s="58" t="s">
        <v>90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60" t="str">
        <f>'Inbound Cascade EMESA NORTH'!K76</f>
        <v/>
      </c>
      <c r="P33" s="60" t="str">
        <f>'Inbound Cascade EMESA NORTH'!L76</f>
        <v/>
      </c>
      <c r="Q33" s="60" t="str">
        <f>'Inbound Cascade EMESA NORTH'!M76</f>
        <v/>
      </c>
      <c r="R33" s="60">
        <f>'Inbound Cascade EMESA SOUTH'!N67</f>
        <v>9.0648</v>
      </c>
      <c r="S33" s="60">
        <f>'Inbound Cascade EMESA SOUTH'!O67</f>
        <v>9.0054</v>
      </c>
      <c r="T33" s="60">
        <f>'Inbound Cascade EMESA SOUTH'!P67</f>
        <v>11.67</v>
      </c>
      <c r="U33" s="60" t="str">
        <f>'Inbound Cascade EMESA SOUTH'!Q67</f>
        <v>#REF!</v>
      </c>
      <c r="V33" s="60" t="str">
        <f>'Inbound Cascade EMESA SOUTH'!R67</f>
        <v>#REF!</v>
      </c>
      <c r="W33" s="60" t="str">
        <f>'Inbound Cascade EMESA SOUTH'!S67</f>
        <v>#REF!</v>
      </c>
      <c r="X33" s="60" t="str">
        <f>'Inbound Cascade EMESA SOUTH'!T67</f>
        <v>#REF!</v>
      </c>
      <c r="Y33" s="60" t="str">
        <f>'Inbound Cascade EMESA SOUTH'!U67</f>
        <v>#REF!</v>
      </c>
      <c r="Z33" s="60" t="str">
        <f>'Inbound Cascade EMESA SOUTH'!V67</f>
        <v>#REF!</v>
      </c>
      <c r="AA33" s="60" t="str">
        <f>'Inbound Cascade EMESA SOUTH'!W67</f>
        <v>#REF!</v>
      </c>
      <c r="AB33" s="60" t="str">
        <f>'Inbound Cascade EMESA SOUTH'!X67</f>
        <v>#REF!</v>
      </c>
      <c r="AC33" s="60" t="str">
        <f>'Inbound Cascade EMESA SOUTH'!Y67</f>
        <v>#REF!</v>
      </c>
      <c r="AD33" s="60" t="str">
        <f>'Inbound Cascade EMESA SOUTH'!Z67</f>
        <v>#REF!</v>
      </c>
      <c r="AE33" s="60" t="str">
        <f>'Inbound Cascade EMESA SOUTH'!AA67</f>
        <v>#REF!</v>
      </c>
      <c r="AF33" s="60" t="str">
        <f>'Inbound Cascade EMESA SOUTH'!AB67</f>
        <v>#REF!</v>
      </c>
      <c r="AG33" s="60" t="str">
        <f>'Inbound Cascade EMESA SOUTH'!AC67</f>
        <v>#REF!</v>
      </c>
      <c r="AH33" s="60" t="str">
        <f>'Inbound Cascade EMESA SOUTH'!AD67</f>
        <v>#REF!</v>
      </c>
      <c r="AI33" s="49"/>
      <c r="AJ33" s="49"/>
      <c r="AK33" s="49"/>
      <c r="AL33" s="49"/>
      <c r="AM33" s="49"/>
      <c r="AN33" s="49"/>
      <c r="AO33" s="49"/>
    </row>
    <row r="34" ht="15.75" customHeight="1">
      <c r="A34" s="73"/>
      <c r="B34" s="62" t="s">
        <v>91</v>
      </c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78">
        <f>'Events Cascade EMESA'!K76/2</f>
        <v>0</v>
      </c>
      <c r="P34" s="78">
        <f>'Events Cascade EMESA'!L76/2</f>
        <v>0</v>
      </c>
      <c r="Q34" s="78">
        <f>'Events Cascade EMESA'!M76/2</f>
        <v>0</v>
      </c>
      <c r="R34" s="78">
        <f>'Events Cascade EMESA'!N67/2</f>
        <v>1.7355</v>
      </c>
      <c r="S34" s="78">
        <f>'Events Cascade EMESA'!O67/2</f>
        <v>0.8625</v>
      </c>
      <c r="T34" s="78">
        <f>'Events Cascade EMESA'!P67/2</f>
        <v>0.762</v>
      </c>
      <c r="U34" s="78">
        <f>'Events Cascade EMESA'!Q67/2</f>
        <v>1.08375</v>
      </c>
      <c r="V34" s="78">
        <f>'Events Cascade EMESA'!R67/2</f>
        <v>1.12125</v>
      </c>
      <c r="W34" s="78">
        <f>'Events Cascade EMESA'!S67/2</f>
        <v>1.125220588</v>
      </c>
      <c r="X34" s="78">
        <f>'Events Cascade EMESA'!T67/2</f>
        <v>1.125220588</v>
      </c>
      <c r="Y34" s="78">
        <f>'Events Cascade EMESA'!U67/2</f>
        <v>1.125220588</v>
      </c>
      <c r="Z34" s="78">
        <f>'Events Cascade EMESA'!V67/2</f>
        <v>1.125220588</v>
      </c>
      <c r="AA34" s="78">
        <f>'Events Cascade EMESA'!W67/2</f>
        <v>1.125220588</v>
      </c>
      <c r="AB34" s="78">
        <f>'Events Cascade EMESA'!X67/2</f>
        <v>1.125220588</v>
      </c>
      <c r="AC34" s="78">
        <f>'Events Cascade EMESA'!Y67/2</f>
        <v>1.125220588</v>
      </c>
      <c r="AD34" s="78">
        <f>'Events Cascade EMESA'!Z67/2</f>
        <v>1.125</v>
      </c>
      <c r="AE34" s="78">
        <f>'Events Cascade EMESA'!AA67/2</f>
        <v>1.125</v>
      </c>
      <c r="AF34" s="78">
        <f>'Events Cascade EMESA'!AB67/2</f>
        <v>1.125</v>
      </c>
      <c r="AG34" s="78">
        <f>'Events Cascade EMESA'!AC67/2</f>
        <v>1.125</v>
      </c>
      <c r="AH34" s="78">
        <f>'Events Cascade EMESA'!AD67/2</f>
        <v>1.125</v>
      </c>
      <c r="AI34" s="49"/>
      <c r="AJ34" s="49"/>
      <c r="AK34" s="49"/>
      <c r="AL34" s="49"/>
      <c r="AM34" s="49"/>
      <c r="AN34" s="49"/>
      <c r="AO34" s="49"/>
    </row>
    <row r="35" ht="15.75" customHeight="1">
      <c r="A35" s="79"/>
      <c r="B35" s="62" t="s">
        <v>92</v>
      </c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7" t="str">
        <f>'Partner Cascade EMESA NORTH'!K76</f>
        <v/>
      </c>
      <c r="P35" s="57" t="str">
        <f>'Partner Cascade EMESA NORTH'!L76</f>
        <v/>
      </c>
      <c r="Q35" s="57" t="str">
        <f>'Partner Cascade EMESA NORTH'!M76</f>
        <v/>
      </c>
      <c r="R35" s="57">
        <f>'Partner Cascade EMESA SOUTH'!N67</f>
        <v>1</v>
      </c>
      <c r="S35" s="57">
        <f>'Partner Cascade EMESA SOUTH'!O67</f>
        <v>0</v>
      </c>
      <c r="T35" s="57">
        <f>'Partner Cascade EMESA SOUTH'!P67</f>
        <v>2</v>
      </c>
      <c r="U35" s="57">
        <f>'Partner Cascade EMESA SOUTH'!Q67</f>
        <v>3.75</v>
      </c>
      <c r="V35" s="57">
        <f>'Partner Cascade EMESA SOUTH'!R67</f>
        <v>3.8625</v>
      </c>
      <c r="W35" s="57">
        <f>'Partner Cascade EMESA SOUTH'!S67</f>
        <v>4.132875</v>
      </c>
      <c r="X35" s="57">
        <f>'Partner Cascade EMESA SOUTH'!T67</f>
        <v>4.42217625</v>
      </c>
      <c r="Y35" s="57">
        <f>'Partner Cascade EMESA SOUTH'!U67</f>
        <v>4.731728588</v>
      </c>
      <c r="Z35" s="57">
        <f>'Partner Cascade EMESA SOUTH'!V67</f>
        <v>5.062949589</v>
      </c>
      <c r="AA35" s="57">
        <f>'Partner Cascade EMESA SOUTH'!W67</f>
        <v>5.41735606</v>
      </c>
      <c r="AB35" s="57">
        <f>'Partner Cascade EMESA SOUTH'!X67</f>
        <v>5.796570984</v>
      </c>
      <c r="AC35" s="57">
        <f>'Partner Cascade EMESA SOUTH'!Y67</f>
        <v>6.202330953</v>
      </c>
      <c r="AD35" s="57">
        <f>'Partner Cascade EMESA SOUTH'!Z67</f>
        <v>6.63649412</v>
      </c>
      <c r="AE35" s="57">
        <f>'Partner Cascade EMESA SOUTH'!AA67</f>
        <v>7.101048708</v>
      </c>
      <c r="AF35" s="57">
        <f>'Partner Cascade EMESA SOUTH'!AB67</f>
        <v>7.598122118</v>
      </c>
      <c r="AG35" s="57">
        <f>'Partner Cascade EMESA SOUTH'!AC67</f>
        <v>8.129990666</v>
      </c>
      <c r="AH35" s="57">
        <f>'Partner Cascade EMESA SOUTH'!AD67</f>
        <v>8.699090012</v>
      </c>
      <c r="AI35" s="49"/>
      <c r="AJ35" s="49"/>
      <c r="AK35" s="49"/>
      <c r="AL35" s="49"/>
      <c r="AM35" s="49"/>
      <c r="AN35" s="49"/>
      <c r="AO35" s="49"/>
    </row>
    <row r="36" ht="15.75" customHeight="1">
      <c r="A36" s="80" t="s">
        <v>98</v>
      </c>
      <c r="B36" s="81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3">
        <f t="shared" ref="O36:AH36" si="9">sum(O31:O35)</f>
        <v>0</v>
      </c>
      <c r="P36" s="83">
        <f t="shared" si="9"/>
        <v>0</v>
      </c>
      <c r="Q36" s="83">
        <f t="shared" si="9"/>
        <v>0</v>
      </c>
      <c r="R36" s="83">
        <f t="shared" si="9"/>
        <v>20.9323</v>
      </c>
      <c r="S36" s="83">
        <f t="shared" si="9"/>
        <v>19.0179</v>
      </c>
      <c r="T36" s="83">
        <f t="shared" si="9"/>
        <v>23.9825</v>
      </c>
      <c r="U36" s="83" t="str">
        <f t="shared" si="9"/>
        <v>#REF!</v>
      </c>
      <c r="V36" s="83" t="str">
        <f t="shared" si="9"/>
        <v>#REF!</v>
      </c>
      <c r="W36" s="83" t="str">
        <f t="shared" si="9"/>
        <v>#REF!</v>
      </c>
      <c r="X36" s="83" t="str">
        <f t="shared" si="9"/>
        <v>#REF!</v>
      </c>
      <c r="Y36" s="83" t="str">
        <f t="shared" si="9"/>
        <v>#REF!</v>
      </c>
      <c r="Z36" s="83" t="str">
        <f t="shared" si="9"/>
        <v>#REF!</v>
      </c>
      <c r="AA36" s="83" t="str">
        <f t="shared" si="9"/>
        <v>#REF!</v>
      </c>
      <c r="AB36" s="83" t="str">
        <f t="shared" si="9"/>
        <v>#REF!</v>
      </c>
      <c r="AC36" s="83" t="str">
        <f t="shared" si="9"/>
        <v>#REF!</v>
      </c>
      <c r="AD36" s="83" t="str">
        <f t="shared" si="9"/>
        <v>#REF!</v>
      </c>
      <c r="AE36" s="83" t="str">
        <f t="shared" si="9"/>
        <v>#REF!</v>
      </c>
      <c r="AF36" s="83" t="str">
        <f t="shared" si="9"/>
        <v>#REF!</v>
      </c>
      <c r="AG36" s="83" t="str">
        <f t="shared" si="9"/>
        <v>#REF!</v>
      </c>
      <c r="AH36" s="83" t="str">
        <f t="shared" si="9"/>
        <v>#REF!</v>
      </c>
      <c r="AI36" s="49"/>
      <c r="AJ36" s="49"/>
      <c r="AK36" s="49"/>
      <c r="AL36" s="49"/>
      <c r="AM36" s="49"/>
      <c r="AN36" s="49"/>
      <c r="AO36" s="49"/>
    </row>
    <row r="37" ht="15.75" customHeight="1">
      <c r="A37" s="75" t="s">
        <v>99</v>
      </c>
      <c r="B37" s="85"/>
      <c r="C37" s="83">
        <f t="shared" ref="C37:N37" si="10">SUM(C7:C10)</f>
        <v>0</v>
      </c>
      <c r="D37" s="83">
        <f t="shared" si="10"/>
        <v>0</v>
      </c>
      <c r="E37" s="83">
        <f t="shared" si="10"/>
        <v>0</v>
      </c>
      <c r="F37" s="83">
        <f t="shared" si="10"/>
        <v>0</v>
      </c>
      <c r="G37" s="83">
        <f t="shared" si="10"/>
        <v>0</v>
      </c>
      <c r="H37" s="83">
        <f t="shared" si="10"/>
        <v>0</v>
      </c>
      <c r="I37" s="83">
        <f t="shared" si="10"/>
        <v>0</v>
      </c>
      <c r="J37" s="83">
        <f t="shared" si="10"/>
        <v>0</v>
      </c>
      <c r="K37" s="83">
        <f t="shared" si="10"/>
        <v>14.84836471</v>
      </c>
      <c r="L37" s="83">
        <f t="shared" si="10"/>
        <v>11.37739412</v>
      </c>
      <c r="M37" s="83">
        <f t="shared" si="10"/>
        <v>11.83613235</v>
      </c>
      <c r="N37" s="83">
        <f t="shared" si="10"/>
        <v>9.751261765</v>
      </c>
      <c r="O37" s="83">
        <f t="shared" ref="O37:T37" si="11">O24+O12</f>
        <v>26.83211176</v>
      </c>
      <c r="P37" s="83">
        <f t="shared" si="11"/>
        <v>21.65762941</v>
      </c>
      <c r="Q37" s="83">
        <f t="shared" si="11"/>
        <v>23.89297059</v>
      </c>
      <c r="R37" s="83">
        <f t="shared" si="11"/>
        <v>47.5676</v>
      </c>
      <c r="S37" s="83">
        <f t="shared" si="11"/>
        <v>51.9504</v>
      </c>
      <c r="T37" s="83">
        <f t="shared" si="11"/>
        <v>58.058</v>
      </c>
      <c r="U37" s="83" t="str">
        <f t="shared" ref="U37:AH37" si="12">U24+U12+U36</f>
        <v>#REF!</v>
      </c>
      <c r="V37" s="83" t="str">
        <f t="shared" si="12"/>
        <v>#REF!</v>
      </c>
      <c r="W37" s="83" t="str">
        <f t="shared" si="12"/>
        <v>#REF!</v>
      </c>
      <c r="X37" s="83" t="str">
        <f t="shared" si="12"/>
        <v>#REF!</v>
      </c>
      <c r="Y37" s="83" t="str">
        <f t="shared" si="12"/>
        <v>#REF!</v>
      </c>
      <c r="Z37" s="83" t="str">
        <f t="shared" si="12"/>
        <v>#REF!</v>
      </c>
      <c r="AA37" s="83" t="str">
        <f t="shared" si="12"/>
        <v>#REF!</v>
      </c>
      <c r="AB37" s="83" t="str">
        <f t="shared" si="12"/>
        <v>#REF!</v>
      </c>
      <c r="AC37" s="83" t="str">
        <f t="shared" si="12"/>
        <v>#REF!</v>
      </c>
      <c r="AD37" s="83" t="str">
        <f t="shared" si="12"/>
        <v>#REF!</v>
      </c>
      <c r="AE37" s="83" t="str">
        <f t="shared" si="12"/>
        <v>#REF!</v>
      </c>
      <c r="AF37" s="83" t="str">
        <f t="shared" si="12"/>
        <v>#REF!</v>
      </c>
      <c r="AG37" s="83" t="str">
        <f t="shared" si="12"/>
        <v>#REF!</v>
      </c>
      <c r="AH37" s="83" t="str">
        <f t="shared" si="12"/>
        <v>#REF!</v>
      </c>
      <c r="AI37" s="49"/>
      <c r="AJ37" s="49"/>
      <c r="AK37" s="49"/>
      <c r="AL37" s="49"/>
      <c r="AM37" s="49"/>
      <c r="AN37" s="49"/>
      <c r="AO37" s="49"/>
    </row>
    <row r="38" ht="15.75" customHeight="1">
      <c r="A38" s="86" t="s">
        <v>83</v>
      </c>
      <c r="B38" s="87" t="s">
        <v>88</v>
      </c>
      <c r="C38" s="53">
        <f>'Outbound Cascade EMESA NORTH'!AG68</f>
        <v>0</v>
      </c>
      <c r="D38" s="53">
        <f>'Outbound Cascade EMESA NORTH'!AH68</f>
        <v>0</v>
      </c>
      <c r="E38" s="53">
        <f>'Outbound Cascade EMESA NORTH'!AI68</f>
        <v>0</v>
      </c>
      <c r="F38" s="53">
        <f>'Outbound Cascade EMESA NORTH'!AJ68</f>
        <v>0</v>
      </c>
      <c r="G38" s="53">
        <f>'Outbound Cascade EMESA NORTH'!AK68</f>
        <v>0</v>
      </c>
      <c r="H38" s="53">
        <f>'Outbound Cascade EMESA NORTH'!AL68</f>
        <v>0</v>
      </c>
      <c r="I38" s="53">
        <f>'Outbound Cascade EMESA NORTH'!AM68</f>
        <v>0</v>
      </c>
      <c r="J38" s="53">
        <f>'Outbound Cascade EMESA NORTH'!AN68</f>
        <v>0</v>
      </c>
      <c r="K38" s="53">
        <f>'Outbound Cascade EMESA NORTH'!AO68/2</f>
        <v>0.04673529412</v>
      </c>
      <c r="L38" s="53">
        <f>'Outbound Cascade EMESA NORTH'!AP68/2</f>
        <v>0.1621470588</v>
      </c>
      <c r="M38" s="53">
        <f>'Outbound Cascade EMESA NORTH'!AQ68/2</f>
        <v>0.2585029412</v>
      </c>
      <c r="N38" s="53">
        <f>'Outbound Cascade EMESA NORTH'!AR68/2</f>
        <v>0.3191889706</v>
      </c>
      <c r="O38" s="53">
        <f>'Outbound Cascade EMESA NORTH'!AS68/2</f>
        <v>0.3491191176</v>
      </c>
      <c r="P38" s="53">
        <f>'Outbound Cascade EMESA NORTH'!AT68/2</f>
        <v>0.3656595588</v>
      </c>
      <c r="Q38" s="53">
        <f>'Outbound Cascade EMESA NORTH'!AU68/2</f>
        <v>0.3740985294</v>
      </c>
      <c r="R38" s="53">
        <f>'Outbound Cascade NORAM'!AV68</f>
        <v>1.033970588</v>
      </c>
      <c r="S38" s="53">
        <f>'Outbound Cascade NORAM'!AW68</f>
        <v>1.519587647</v>
      </c>
      <c r="T38" s="53">
        <f>'Outbound Cascade NORAM'!AX68</f>
        <v>1.977589706</v>
      </c>
      <c r="U38" s="53">
        <f>'Outbound Cascade NORAM'!AY68</f>
        <v>1.730282353</v>
      </c>
      <c r="V38" s="53">
        <f>'Outbound Cascade NORAM'!AZ68</f>
        <v>1.124642647</v>
      </c>
      <c r="W38" s="53">
        <f>'Outbound Cascade NORAM'!BA68</f>
        <v>0.5972458824</v>
      </c>
      <c r="X38" s="53">
        <f>'Outbound Cascade NORAM'!BB68</f>
        <v>0.297525</v>
      </c>
      <c r="Y38" s="53">
        <f>'Outbound Cascade NORAM'!BC68</f>
        <v>0.14106</v>
      </c>
      <c r="Z38" s="53">
        <f>'Outbound Cascade NORAM'!BD68</f>
        <v>0.038955</v>
      </c>
      <c r="AA38" s="53">
        <f>'Outbound Cascade NORAM'!BE68</f>
        <v>0.00393</v>
      </c>
      <c r="AB38" s="53">
        <f>'Outbound Cascade NORAM'!BF68</f>
        <v>0.00027</v>
      </c>
      <c r="AC38" s="53">
        <f>'Outbound Cascade NORAM'!BG68</f>
        <v>0</v>
      </c>
      <c r="AD38" s="53">
        <f>'Outbound Cascade NORAM'!BH68</f>
        <v>0</v>
      </c>
      <c r="AE38" s="53">
        <f>'Outbound Cascade NORAM'!BI68</f>
        <v>0</v>
      </c>
      <c r="AF38" s="53">
        <f>'Outbound Cascade NORAM'!BJ68</f>
        <v>0</v>
      </c>
      <c r="AG38" s="53">
        <f>'Outbound Cascade NORAM'!BK68</f>
        <v>0</v>
      </c>
      <c r="AH38" s="53">
        <f>'Outbound Cascade NORAM'!BL68</f>
        <v>0</v>
      </c>
      <c r="AI38" s="49"/>
      <c r="AJ38" s="49"/>
      <c r="AK38" s="49"/>
      <c r="AL38" s="49"/>
      <c r="AM38" s="49"/>
      <c r="AN38" s="49"/>
      <c r="AO38" s="49"/>
    </row>
    <row r="39" ht="15.75" customHeight="1">
      <c r="A39" s="50"/>
      <c r="B39" s="87" t="s">
        <v>89</v>
      </c>
      <c r="C39" s="52"/>
      <c r="D39" s="52"/>
      <c r="E39" s="52"/>
      <c r="F39" s="52"/>
      <c r="G39" s="52"/>
      <c r="H39" s="52"/>
      <c r="I39" s="52"/>
      <c r="J39" s="52"/>
      <c r="K39" s="53"/>
      <c r="L39" s="53"/>
      <c r="M39" s="53"/>
      <c r="N39" s="53"/>
      <c r="O39" s="53"/>
      <c r="P39" s="53"/>
      <c r="Q39" s="53"/>
      <c r="R39" s="53">
        <f>'ILO Cascade NORAM'!AV68</f>
        <v>4.36025098</v>
      </c>
      <c r="S39" s="53">
        <f>'ILO Cascade NORAM'!AW68</f>
        <v>5.978447843</v>
      </c>
      <c r="T39" s="53">
        <f>'ILO Cascade NORAM'!AX68</f>
        <v>7.639819608</v>
      </c>
      <c r="U39" s="53">
        <f>'ILO Cascade NORAM'!AY68</f>
        <v>8.613781961</v>
      </c>
      <c r="V39" s="53">
        <f>'ILO Cascade NORAM'!AZ68</f>
        <v>9.762736559</v>
      </c>
      <c r="W39" s="53">
        <f>'ILO Cascade NORAM'!BA68</f>
        <v>11.48564888</v>
      </c>
      <c r="X39" s="53">
        <f>'ILO Cascade NORAM'!BB68</f>
        <v>13.12292337</v>
      </c>
      <c r="Y39" s="53">
        <f>'ILO Cascade NORAM'!BC68</f>
        <v>14.59416562</v>
      </c>
      <c r="Z39" s="53">
        <f>'ILO Cascade NORAM'!BD68</f>
        <v>15.80367678</v>
      </c>
      <c r="AA39" s="53">
        <f>'ILO Cascade NORAM'!BE68</f>
        <v>17.05031178</v>
      </c>
      <c r="AB39" s="53">
        <f>'ILO Cascade NORAM'!BF68</f>
        <v>17.89616729</v>
      </c>
      <c r="AC39" s="53">
        <f>'ILO Cascade NORAM'!BG68</f>
        <v>18.36131315</v>
      </c>
      <c r="AD39" s="53">
        <f>'ILO Cascade NORAM'!BH68</f>
        <v>18.58731556</v>
      </c>
      <c r="AE39" s="53">
        <f>'ILO Cascade NORAM'!BI68</f>
        <v>18.6886526</v>
      </c>
      <c r="AF39" s="53">
        <f>'ILO Cascade NORAM'!BJ68</f>
        <v>18.737796</v>
      </c>
      <c r="AG39" s="53">
        <f>'ILO Cascade NORAM'!BK68</f>
        <v>18.74253675</v>
      </c>
      <c r="AH39" s="53">
        <f>'ILO Cascade NORAM'!BL68</f>
        <v>18.7427205</v>
      </c>
      <c r="AI39" s="49"/>
      <c r="AJ39" s="49"/>
      <c r="AK39" s="49"/>
      <c r="AL39" s="49"/>
      <c r="AM39" s="49"/>
      <c r="AN39" s="49"/>
      <c r="AO39" s="49"/>
    </row>
    <row r="40" ht="15.75" customHeight="1">
      <c r="A40" s="50"/>
      <c r="B40" s="88" t="s">
        <v>90</v>
      </c>
      <c r="C40" s="52"/>
      <c r="D40" s="52"/>
      <c r="E40" s="52"/>
      <c r="F40" s="52"/>
      <c r="G40" s="52"/>
      <c r="H40" s="52"/>
      <c r="I40" s="52"/>
      <c r="J40" s="52"/>
      <c r="K40" s="53">
        <f>'Inbound Cascade NORAM'!AN68</f>
        <v>7.879442824</v>
      </c>
      <c r="L40" s="53">
        <f>'Inbound Cascade NORAM'!AO68</f>
        <v>9.901707294</v>
      </c>
      <c r="M40" s="53">
        <f>'Inbound Cascade NORAM'!AP68</f>
        <v>11.36566965</v>
      </c>
      <c r="N40" s="53">
        <f>'Inbound Cascade NORAM'!AQ68</f>
        <v>11.65346918</v>
      </c>
      <c r="O40" s="53">
        <f>'Inbound Cascade NORAM'!AR68</f>
        <v>11.41712776</v>
      </c>
      <c r="P40" s="53">
        <f>'Inbound Cascade NORAM'!AS68</f>
        <v>10.44862612</v>
      </c>
      <c r="Q40" s="53">
        <f>'Inbound Cascade NORAM'!AT68</f>
        <v>9.519560235</v>
      </c>
      <c r="R40" s="53">
        <f>'Inbound Cascade NORAM'!AV68</f>
        <v>10.03288894</v>
      </c>
      <c r="S40" s="53">
        <f>'Inbound Cascade NORAM'!AW68</f>
        <v>10.87412612</v>
      </c>
      <c r="T40" s="53">
        <f>'Inbound Cascade NORAM'!AX68</f>
        <v>11.866924</v>
      </c>
      <c r="U40" s="53" t="str">
        <f>'Inbound Cascade NORAM'!AY68</f>
        <v>#REF!</v>
      </c>
      <c r="V40" s="53" t="str">
        <f>'Inbound Cascade NORAM'!AZ68</f>
        <v>#REF!</v>
      </c>
      <c r="W40" s="53" t="str">
        <f>'Inbound Cascade NORAM'!BA68</f>
        <v>#REF!</v>
      </c>
      <c r="X40" s="53" t="str">
        <f>'Inbound Cascade NORAM'!BB68</f>
        <v>#REF!</v>
      </c>
      <c r="Y40" s="53" t="str">
        <f>'Inbound Cascade NORAM'!BC68</f>
        <v>#REF!</v>
      </c>
      <c r="Z40" s="53" t="str">
        <f>'Inbound Cascade NORAM'!BD68</f>
        <v>#REF!</v>
      </c>
      <c r="AA40" s="53" t="str">
        <f>'Inbound Cascade NORAM'!BE68</f>
        <v>#REF!</v>
      </c>
      <c r="AB40" s="53" t="str">
        <f>'Inbound Cascade NORAM'!BF68</f>
        <v>#REF!</v>
      </c>
      <c r="AC40" s="53" t="str">
        <f>'Inbound Cascade NORAM'!BG68</f>
        <v>#REF!</v>
      </c>
      <c r="AD40" s="53" t="str">
        <f>'Inbound Cascade NORAM'!BH68</f>
        <v>#REF!</v>
      </c>
      <c r="AE40" s="53" t="str">
        <f>'Inbound Cascade NORAM'!BI68</f>
        <v>#REF!</v>
      </c>
      <c r="AF40" s="53" t="str">
        <f>'Inbound Cascade NORAM'!BJ68</f>
        <v>#REF!</v>
      </c>
      <c r="AG40" s="53" t="str">
        <f>'Inbound Cascade NORAM'!BK68</f>
        <v>#REF!</v>
      </c>
      <c r="AH40" s="53" t="str">
        <f>'Inbound Cascade NORAM'!BL68</f>
        <v>#REF!</v>
      </c>
      <c r="AI40" s="49"/>
      <c r="AJ40" s="49"/>
      <c r="AK40" s="49"/>
      <c r="AL40" s="49"/>
      <c r="AM40" s="49"/>
      <c r="AN40" s="49"/>
      <c r="AO40" s="49"/>
    </row>
    <row r="41" ht="15.75" customHeight="1">
      <c r="A41" s="50"/>
      <c r="B41" s="88" t="s">
        <v>91</v>
      </c>
      <c r="C41" s="52"/>
      <c r="D41" s="52"/>
      <c r="E41" s="52"/>
      <c r="F41" s="52"/>
      <c r="G41" s="52"/>
      <c r="H41" s="52"/>
      <c r="I41" s="52"/>
      <c r="J41" s="52"/>
      <c r="K41" s="53">
        <f>'Events Cascade EMESA'!AO68/2</f>
        <v>0</v>
      </c>
      <c r="L41" s="53">
        <f>'Events Cascade EMESA'!AP68/2</f>
        <v>0</v>
      </c>
      <c r="M41" s="53">
        <f>'Events Cascade EMESA'!AQ68/2</f>
        <v>0</v>
      </c>
      <c r="N41" s="53">
        <f>'Events Cascade EMESA'!AR68/2</f>
        <v>0</v>
      </c>
      <c r="O41" s="53">
        <f>'Events Cascade EMESA'!AS68/2</f>
        <v>0</v>
      </c>
      <c r="P41" s="53">
        <f>'Events Cascade EMESA'!AT68/2</f>
        <v>0</v>
      </c>
      <c r="Q41" s="53">
        <f>'Events Cascade EMESA'!AU68/2</f>
        <v>0</v>
      </c>
      <c r="R41" s="53">
        <f>'Events Cascade EMESA'!AV68/2</f>
        <v>0.24297</v>
      </c>
      <c r="S41" s="53">
        <f>'Events Cascade NORAM'!AW68</f>
        <v>1.38693</v>
      </c>
      <c r="T41" s="53">
        <f>'Events Cascade NORAM'!AX68</f>
        <v>1.65036</v>
      </c>
      <c r="U41" s="53">
        <f>'Events Cascade NORAM'!AY68</f>
        <v>1.75827</v>
      </c>
      <c r="V41" s="53">
        <f>'Events Cascade NORAM'!AZ68</f>
        <v>1.911945</v>
      </c>
      <c r="W41" s="53">
        <f>'Events Cascade NORAM'!BA68</f>
        <v>2.085151765</v>
      </c>
      <c r="X41" s="53">
        <f>'Events Cascade NORAM'!BB68</f>
        <v>2.188557353</v>
      </c>
      <c r="Y41" s="53">
        <f>'Events Cascade NORAM'!BC68</f>
        <v>2.203877647</v>
      </c>
      <c r="Z41" s="53">
        <f>'Events Cascade NORAM'!BD68</f>
        <v>2.232038824</v>
      </c>
      <c r="AA41" s="53">
        <f>'Events Cascade NORAM'!BE68</f>
        <v>2.248464706</v>
      </c>
      <c r="AB41" s="53">
        <f>'Events Cascade NORAM'!BF68</f>
        <v>2.250282353</v>
      </c>
      <c r="AC41" s="53">
        <f>'Events Cascade NORAM'!BG68</f>
        <v>2.250441176</v>
      </c>
      <c r="AD41" s="53">
        <f>'Events Cascade NORAM'!BH68</f>
        <v>2.250379412</v>
      </c>
      <c r="AE41" s="53">
        <f>'Events Cascade NORAM'!BI68</f>
        <v>2.250233824</v>
      </c>
      <c r="AF41" s="53">
        <f>'Events Cascade NORAM'!BJ68</f>
        <v>2.250123529</v>
      </c>
      <c r="AG41" s="53">
        <f>'Events Cascade NORAM'!BK68</f>
        <v>2.250057353</v>
      </c>
      <c r="AH41" s="53">
        <f>'Events Cascade NORAM'!BL68</f>
        <v>2.250026471</v>
      </c>
      <c r="AI41" s="49"/>
      <c r="AJ41" s="49"/>
      <c r="AK41" s="49"/>
      <c r="AL41" s="49"/>
      <c r="AM41" s="49"/>
      <c r="AN41" s="49"/>
      <c r="AO41" s="49"/>
    </row>
    <row r="42" ht="15.75" customHeight="1">
      <c r="A42" s="89"/>
      <c r="B42" s="90" t="s">
        <v>92</v>
      </c>
      <c r="C42" s="47"/>
      <c r="D42" s="47"/>
      <c r="E42" s="47"/>
      <c r="F42" s="47"/>
      <c r="G42" s="47"/>
      <c r="H42" s="47"/>
      <c r="I42" s="47"/>
      <c r="J42" s="47"/>
      <c r="K42" s="48">
        <f>'Partner Cascade NORAM'!AO68</f>
        <v>1.86</v>
      </c>
      <c r="L42" s="48">
        <f>'Partner Cascade NORAM'!AP68</f>
        <v>1.58</v>
      </c>
      <c r="M42" s="48">
        <f>'Partner Cascade NORAM'!AQ68</f>
        <v>1.9</v>
      </c>
      <c r="N42" s="48">
        <f>'Partner Cascade NORAM'!AR68</f>
        <v>2.29</v>
      </c>
      <c r="O42" s="48">
        <f>'Partner Cascade NORAM'!AS68</f>
        <v>2.41</v>
      </c>
      <c r="P42" s="48">
        <f>'Partner Cascade NORAM'!AT68</f>
        <v>1.69</v>
      </c>
      <c r="Q42" s="48">
        <f>'Partner Cascade NORAM'!AU68</f>
        <v>1.19</v>
      </c>
      <c r="R42" s="48">
        <f>'Partner Cascade NORAM'!AV68</f>
        <v>0.67</v>
      </c>
      <c r="S42" s="48">
        <f>'Partner Cascade NORAM'!AW68</f>
        <v>0.49</v>
      </c>
      <c r="T42" s="48">
        <f>'Partner Cascade NORAM'!AX68</f>
        <v>0.62</v>
      </c>
      <c r="U42" s="48">
        <f>'Partner Cascade NORAM'!AY68</f>
        <v>0.7698</v>
      </c>
      <c r="V42" s="48">
        <f>'Partner Cascade NORAM'!AZ68</f>
        <v>1.1931</v>
      </c>
      <c r="W42" s="48">
        <f>'Partner Cascade NORAM'!BA68</f>
        <v>1.9269</v>
      </c>
      <c r="X42" s="48">
        <f>'Partner Cascade NORAM'!BB68</f>
        <v>2.560658</v>
      </c>
      <c r="Y42" s="48">
        <f>'Partner Cascade NORAM'!BC68</f>
        <v>3.03536906</v>
      </c>
      <c r="Z42" s="48">
        <f>'Partner Cascade NORAM'!BD68</f>
        <v>3.376301894</v>
      </c>
      <c r="AA42" s="48">
        <f>'Partner Cascade NORAM'!BE68</f>
        <v>3.686847027</v>
      </c>
      <c r="AB42" s="48">
        <f>'Partner Cascade NORAM'!BF68</f>
        <v>3.982028319</v>
      </c>
      <c r="AC42" s="48">
        <f>'Partner Cascade NORAM'!BG68</f>
        <v>4.260770301</v>
      </c>
      <c r="AD42" s="48">
        <f>'Partner Cascade NORAM'!BH68</f>
        <v>4.559024222</v>
      </c>
      <c r="AE42" s="48">
        <f>'Partner Cascade NORAM'!BI68</f>
        <v>4.878155918</v>
      </c>
      <c r="AF42" s="48">
        <f>'Partner Cascade NORAM'!BJ68</f>
        <v>5.219626832</v>
      </c>
      <c r="AG42" s="48">
        <f>'Partner Cascade NORAM'!BK68</f>
        <v>5.58500071</v>
      </c>
      <c r="AH42" s="48">
        <f>'Partner Cascade NORAM'!BL68</f>
        <v>5.97595076</v>
      </c>
      <c r="AI42" s="49"/>
      <c r="AJ42" s="49"/>
      <c r="AK42" s="49"/>
      <c r="AL42" s="49"/>
      <c r="AM42" s="49"/>
      <c r="AN42" s="49"/>
      <c r="AO42" s="49"/>
    </row>
    <row r="43" ht="15.75" customHeight="1">
      <c r="A43" s="91" t="s">
        <v>100</v>
      </c>
      <c r="B43" s="92"/>
      <c r="C43" s="93"/>
      <c r="D43" s="93"/>
      <c r="E43" s="93"/>
      <c r="F43" s="93"/>
      <c r="G43" s="93"/>
      <c r="H43" s="93"/>
      <c r="I43" s="93"/>
      <c r="J43" s="93"/>
      <c r="K43" s="94">
        <f t="shared" ref="K43:AH43" si="13">sum(K38:K42)</f>
        <v>9.786178118</v>
      </c>
      <c r="L43" s="94">
        <f t="shared" si="13"/>
        <v>11.64385435</v>
      </c>
      <c r="M43" s="94">
        <f t="shared" si="13"/>
        <v>13.52417259</v>
      </c>
      <c r="N43" s="94">
        <f t="shared" si="13"/>
        <v>14.26265815</v>
      </c>
      <c r="O43" s="94">
        <f t="shared" si="13"/>
        <v>14.17624688</v>
      </c>
      <c r="P43" s="94">
        <f t="shared" si="13"/>
        <v>12.50428568</v>
      </c>
      <c r="Q43" s="94">
        <f t="shared" si="13"/>
        <v>11.08365876</v>
      </c>
      <c r="R43" s="94">
        <f t="shared" si="13"/>
        <v>16.34008051</v>
      </c>
      <c r="S43" s="94">
        <f t="shared" si="13"/>
        <v>20.24909161</v>
      </c>
      <c r="T43" s="94">
        <f t="shared" si="13"/>
        <v>23.75469331</v>
      </c>
      <c r="U43" s="94" t="str">
        <f t="shared" si="13"/>
        <v>#REF!</v>
      </c>
      <c r="V43" s="94" t="str">
        <f t="shared" si="13"/>
        <v>#REF!</v>
      </c>
      <c r="W43" s="94" t="str">
        <f t="shared" si="13"/>
        <v>#REF!</v>
      </c>
      <c r="X43" s="94" t="str">
        <f t="shared" si="13"/>
        <v>#REF!</v>
      </c>
      <c r="Y43" s="94" t="str">
        <f t="shared" si="13"/>
        <v>#REF!</v>
      </c>
      <c r="Z43" s="94" t="str">
        <f t="shared" si="13"/>
        <v>#REF!</v>
      </c>
      <c r="AA43" s="94" t="str">
        <f t="shared" si="13"/>
        <v>#REF!</v>
      </c>
      <c r="AB43" s="94" t="str">
        <f t="shared" si="13"/>
        <v>#REF!</v>
      </c>
      <c r="AC43" s="94" t="str">
        <f t="shared" si="13"/>
        <v>#REF!</v>
      </c>
      <c r="AD43" s="94" t="str">
        <f t="shared" si="13"/>
        <v>#REF!</v>
      </c>
      <c r="AE43" s="94" t="str">
        <f t="shared" si="13"/>
        <v>#REF!</v>
      </c>
      <c r="AF43" s="94" t="str">
        <f t="shared" si="13"/>
        <v>#REF!</v>
      </c>
      <c r="AG43" s="94" t="str">
        <f t="shared" si="13"/>
        <v>#REF!</v>
      </c>
      <c r="AH43" s="94" t="str">
        <f t="shared" si="13"/>
        <v>#REF!</v>
      </c>
      <c r="AI43" s="95"/>
      <c r="AJ43" s="95"/>
      <c r="AK43" s="95"/>
      <c r="AL43" s="95"/>
      <c r="AM43" s="95"/>
      <c r="AN43" s="95"/>
      <c r="AO43" s="95"/>
    </row>
    <row r="44" ht="15.75" customHeight="1">
      <c r="A44" s="96" t="s">
        <v>101</v>
      </c>
      <c r="B44" s="96"/>
      <c r="C44" s="97"/>
      <c r="D44" s="97"/>
      <c r="E44" s="97"/>
      <c r="F44" s="97"/>
      <c r="G44" s="97"/>
      <c r="H44" s="97"/>
      <c r="I44" s="97"/>
      <c r="J44" s="97"/>
      <c r="K44" s="98"/>
      <c r="L44" s="98"/>
      <c r="M44" s="98"/>
      <c r="N44" s="98"/>
      <c r="O44" s="98"/>
      <c r="P44" s="98"/>
      <c r="Q44" s="98"/>
      <c r="R44" s="98"/>
      <c r="S44" s="98">
        <v>25.0</v>
      </c>
      <c r="T44" s="98">
        <v>24.0</v>
      </c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9"/>
      <c r="AJ44" s="99"/>
      <c r="AK44" s="99"/>
      <c r="AL44" s="99"/>
      <c r="AM44" s="99"/>
      <c r="AN44" s="99"/>
      <c r="AO44" s="99"/>
    </row>
    <row r="45" ht="15.75" customHeight="1">
      <c r="A45" s="100" t="s">
        <v>102</v>
      </c>
      <c r="B45" s="85"/>
      <c r="C45" s="82"/>
      <c r="D45" s="82"/>
      <c r="E45" s="82"/>
      <c r="F45" s="82"/>
      <c r="G45" s="82"/>
      <c r="H45" s="82"/>
      <c r="I45" s="82"/>
      <c r="J45" s="82"/>
      <c r="K45" s="83">
        <v>0.0</v>
      </c>
      <c r="L45" s="83">
        <v>1.0</v>
      </c>
      <c r="M45" s="83">
        <v>2.0</v>
      </c>
      <c r="N45" s="83">
        <v>1.0</v>
      </c>
      <c r="O45" s="83">
        <v>0.0</v>
      </c>
      <c r="P45" s="83">
        <v>0.0</v>
      </c>
      <c r="Q45" s="83">
        <v>4.0</v>
      </c>
      <c r="R45" s="83">
        <v>1.0</v>
      </c>
      <c r="S45" s="83">
        <v>2.0</v>
      </c>
      <c r="T45" s="83">
        <v>4.0</v>
      </c>
      <c r="U45" s="83" t="str">
        <f t="shared" ref="U45:AH45" si="14">average($S$45:$T$45)/average($S$114:$T$114)*U114</f>
        <v>#REF!</v>
      </c>
      <c r="V45" s="83" t="str">
        <f t="shared" si="14"/>
        <v>#REF!</v>
      </c>
      <c r="W45" s="83" t="str">
        <f t="shared" si="14"/>
        <v>#REF!</v>
      </c>
      <c r="X45" s="83" t="str">
        <f t="shared" si="14"/>
        <v>#REF!</v>
      </c>
      <c r="Y45" s="83" t="str">
        <f t="shared" si="14"/>
        <v>#REF!</v>
      </c>
      <c r="Z45" s="83" t="str">
        <f t="shared" si="14"/>
        <v>#REF!</v>
      </c>
      <c r="AA45" s="83" t="str">
        <f t="shared" si="14"/>
        <v>#REF!</v>
      </c>
      <c r="AB45" s="83" t="str">
        <f t="shared" si="14"/>
        <v>#REF!</v>
      </c>
      <c r="AC45" s="83" t="str">
        <f t="shared" si="14"/>
        <v>#REF!</v>
      </c>
      <c r="AD45" s="83" t="str">
        <f t="shared" si="14"/>
        <v>#REF!</v>
      </c>
      <c r="AE45" s="83" t="str">
        <f t="shared" si="14"/>
        <v>#REF!</v>
      </c>
      <c r="AF45" s="83" t="str">
        <f t="shared" si="14"/>
        <v>#REF!</v>
      </c>
      <c r="AG45" s="83" t="str">
        <f t="shared" si="14"/>
        <v>#REF!</v>
      </c>
      <c r="AH45" s="83" t="str">
        <f t="shared" si="14"/>
        <v>#REF!</v>
      </c>
      <c r="AI45" s="49"/>
      <c r="AJ45" s="49"/>
      <c r="AK45" s="49"/>
      <c r="AL45" s="49"/>
      <c r="AM45" s="49"/>
      <c r="AN45" s="49"/>
      <c r="AO45" s="49"/>
    </row>
    <row r="46" ht="15.75" customHeight="1">
      <c r="A46" s="101" t="s">
        <v>94</v>
      </c>
      <c r="B46" s="102" t="s">
        <v>88</v>
      </c>
      <c r="C46" s="59"/>
      <c r="D46" s="59"/>
      <c r="E46" s="59"/>
      <c r="F46" s="59"/>
      <c r="G46" s="59"/>
      <c r="H46" s="59"/>
      <c r="I46" s="59"/>
      <c r="J46" s="59"/>
      <c r="K46" s="60">
        <f>'Outbound Cascade EMESA NORTH'!AO68/2</f>
        <v>0.04673529412</v>
      </c>
      <c r="L46" s="60">
        <f>'Outbound Cascade EMESA NORTH'!AP68/2</f>
        <v>0.1621470588</v>
      </c>
      <c r="M46" s="60">
        <f>'Outbound Cascade EMESA NORTH'!AQ68/2</f>
        <v>0.2585029412</v>
      </c>
      <c r="N46" s="60">
        <f>'Outbound Cascade EMESA NORTH'!AR68/2</f>
        <v>0.3191889706</v>
      </c>
      <c r="O46" s="60">
        <f>'Outbound Cascade EMESA NORTH'!AS68/2</f>
        <v>0.3491191176</v>
      </c>
      <c r="P46" s="60">
        <f>'Outbound Cascade EMESA NORTH'!AT68/2</f>
        <v>0.3656595588</v>
      </c>
      <c r="Q46" s="60">
        <f>'Outbound Cascade EMESA NORTH'!AU68/2</f>
        <v>0.3740985294</v>
      </c>
      <c r="R46" s="60">
        <f>'Outbound Cascade EMESA NORTH'!AV68</f>
        <v>0.7873564706</v>
      </c>
      <c r="S46" s="60">
        <f>'Outbound Cascade EMESA NORTH'!AW68</f>
        <v>0.9732179412</v>
      </c>
      <c r="T46" s="60">
        <f>'Outbound Cascade EMESA NORTH'!AX68</f>
        <v>1.150196176</v>
      </c>
      <c r="U46" s="60">
        <f>'Outbound Cascade EMESA NORTH'!AY68</f>
        <v>0.9748541176</v>
      </c>
      <c r="V46" s="60">
        <f>'Outbound Cascade EMESA NORTH'!AZ68</f>
        <v>0.6196138235</v>
      </c>
      <c r="W46" s="60">
        <f>'Outbound Cascade EMESA NORTH'!BA68</f>
        <v>0.3301229412</v>
      </c>
      <c r="X46" s="60">
        <f>'Outbound Cascade EMESA NORTH'!BB68</f>
        <v>0.164805</v>
      </c>
      <c r="Y46" s="60">
        <f>'Outbound Cascade EMESA NORTH'!BC68</f>
        <v>0.076245</v>
      </c>
      <c r="Z46" s="60">
        <f>'Outbound Cascade EMESA NORTH'!BD68</f>
        <v>0.021405</v>
      </c>
      <c r="AA46" s="60">
        <f>'Outbound Cascade EMESA NORTH'!BE68</f>
        <v>0.00216</v>
      </c>
      <c r="AB46" s="60">
        <f>'Outbound Cascade EMESA NORTH'!BF68</f>
        <v>0.00015</v>
      </c>
      <c r="AC46" s="60">
        <f>'Outbound Cascade EMESA NORTH'!BG68</f>
        <v>0</v>
      </c>
      <c r="AD46" s="60">
        <f>'Outbound Cascade EMESA NORTH'!BH68</f>
        <v>0</v>
      </c>
      <c r="AE46" s="60">
        <f>'Outbound Cascade EMESA NORTH'!BI68</f>
        <v>0</v>
      </c>
      <c r="AF46" s="60">
        <f>'Outbound Cascade EMESA NORTH'!BJ68</f>
        <v>0</v>
      </c>
      <c r="AG46" s="60">
        <f>'Outbound Cascade EMESA NORTH'!BK68</f>
        <v>0</v>
      </c>
      <c r="AH46" s="60">
        <f>'Outbound Cascade EMESA NORTH'!BL68</f>
        <v>0</v>
      </c>
      <c r="AI46" s="49"/>
      <c r="AJ46" s="49"/>
      <c r="AK46" s="49"/>
      <c r="AL46" s="49"/>
      <c r="AM46" s="49"/>
      <c r="AN46" s="49"/>
      <c r="AO46" s="49"/>
    </row>
    <row r="47" ht="15.75" customHeight="1">
      <c r="A47" s="103"/>
      <c r="B47" s="87" t="s">
        <v>89</v>
      </c>
      <c r="C47" s="63"/>
      <c r="D47" s="63"/>
      <c r="E47" s="63"/>
      <c r="F47" s="63"/>
      <c r="G47" s="63"/>
      <c r="H47" s="63"/>
      <c r="I47" s="63"/>
      <c r="J47" s="63"/>
      <c r="K47" s="78"/>
      <c r="L47" s="78"/>
      <c r="M47" s="78"/>
      <c r="N47" s="78"/>
      <c r="O47" s="78"/>
      <c r="P47" s="78"/>
      <c r="Q47" s="78"/>
      <c r="R47" s="53">
        <f>'ILO Cascade EMESA NORTH'!AV68</f>
        <v>9.202717157</v>
      </c>
      <c r="S47" s="53">
        <f>'ILO Cascade EMESA NORTH'!AW68</f>
        <v>10.21329824</v>
      </c>
      <c r="T47" s="53">
        <f>'ILO Cascade EMESA NORTH'!AX68</f>
        <v>11.41224549</v>
      </c>
      <c r="U47" s="53">
        <f>'ILO Cascade EMESA NORTH'!AY68</f>
        <v>13.35154206</v>
      </c>
      <c r="V47" s="53">
        <f>'ILO Cascade EMESA NORTH'!AZ68</f>
        <v>14.64425625</v>
      </c>
      <c r="W47" s="53">
        <f>'ILO Cascade EMESA NORTH'!BA68</f>
        <v>16.12689572</v>
      </c>
      <c r="X47" s="53">
        <f>'ILO Cascade EMESA NORTH'!BB68</f>
        <v>17.52422504</v>
      </c>
      <c r="Y47" s="53">
        <f>'ILO Cascade EMESA NORTH'!BC68</f>
        <v>19.09732579</v>
      </c>
      <c r="Z47" s="53">
        <f>'ILO Cascade EMESA NORTH'!BD68</f>
        <v>20.52026907</v>
      </c>
      <c r="AA47" s="53">
        <f>'ILO Cascade EMESA NORTH'!BE68</f>
        <v>21.97147407</v>
      </c>
      <c r="AB47" s="53">
        <f>'ILO Cascade EMESA NORTH'!BF68</f>
        <v>23.01437224</v>
      </c>
      <c r="AC47" s="53">
        <f>'ILO Cascade EMESA NORTH'!BG68</f>
        <v>23.60771762</v>
      </c>
      <c r="AD47" s="53">
        <f>'ILO Cascade EMESA NORTH'!BH68</f>
        <v>23.89797715</v>
      </c>
      <c r="AE47" s="53">
        <f>'ILO Cascade EMESA NORTH'!BI68</f>
        <v>24.02826763</v>
      </c>
      <c r="AF47" s="53">
        <f>'ILO Cascade EMESA NORTH'!BJ68</f>
        <v>24.091452</v>
      </c>
      <c r="AG47" s="53">
        <f>'ILO Cascade EMESA NORTH'!BK68</f>
        <v>24.09754725</v>
      </c>
      <c r="AH47" s="53">
        <f>'ILO Cascade EMESA NORTH'!BL68</f>
        <v>24.0977835</v>
      </c>
      <c r="AI47" s="49"/>
      <c r="AJ47" s="49"/>
      <c r="AK47" s="49"/>
      <c r="AL47" s="49"/>
      <c r="AM47" s="49"/>
      <c r="AN47" s="49"/>
      <c r="AO47" s="49"/>
    </row>
    <row r="48" ht="15.75" customHeight="1">
      <c r="A48" s="103"/>
      <c r="B48" s="87" t="s">
        <v>90</v>
      </c>
      <c r="C48" s="82"/>
      <c r="D48" s="82"/>
      <c r="E48" s="82"/>
      <c r="F48" s="82"/>
      <c r="G48" s="82"/>
      <c r="H48" s="82"/>
      <c r="I48" s="82"/>
      <c r="J48" s="82"/>
      <c r="K48" s="78">
        <f>'Inbound Cascade EMESA NORTH'!AN68</f>
        <v>6.157744941</v>
      </c>
      <c r="L48" s="78">
        <f>'Inbound Cascade EMESA NORTH'!AO68</f>
        <v>7.743918353</v>
      </c>
      <c r="M48" s="78">
        <f>'Inbound Cascade EMESA NORTH'!AP68</f>
        <v>8.931971294</v>
      </c>
      <c r="N48" s="78">
        <f>'Inbound Cascade EMESA NORTH'!AQ68</f>
        <v>9.337220471</v>
      </c>
      <c r="O48" s="78">
        <f>'Inbound Cascade EMESA NORTH'!AR68</f>
        <v>9.485498471</v>
      </c>
      <c r="P48" s="78">
        <f>'Inbound Cascade EMESA NORTH'!AS68</f>
        <v>9.452302941</v>
      </c>
      <c r="Q48" s="78">
        <f>'Inbound Cascade EMESA NORTH'!AT68</f>
        <v>9.815767059</v>
      </c>
      <c r="R48" s="78">
        <f>'Inbound Cascade EMESA NORTH'!AV68</f>
        <v>9.745707176</v>
      </c>
      <c r="S48" s="78">
        <f>'Inbound Cascade EMESA NORTH'!AW68</f>
        <v>9.462178941</v>
      </c>
      <c r="T48" s="78">
        <f>'Inbound Cascade EMESA NORTH'!AX68</f>
        <v>9.247461529</v>
      </c>
      <c r="U48" s="78" t="str">
        <f>'Inbound Cascade EMESA NORTH'!AY68</f>
        <v>#REF!</v>
      </c>
      <c r="V48" s="78" t="str">
        <f>'Inbound Cascade EMESA NORTH'!AZ68</f>
        <v>#REF!</v>
      </c>
      <c r="W48" s="78" t="str">
        <f>'Inbound Cascade EMESA NORTH'!BA68</f>
        <v>#REF!</v>
      </c>
      <c r="X48" s="78" t="str">
        <f>'Inbound Cascade EMESA NORTH'!BB68</f>
        <v>#REF!</v>
      </c>
      <c r="Y48" s="78" t="str">
        <f>'Inbound Cascade EMESA NORTH'!BC68</f>
        <v>#REF!</v>
      </c>
      <c r="Z48" s="78" t="str">
        <f>'Inbound Cascade EMESA NORTH'!BD68</f>
        <v>#REF!</v>
      </c>
      <c r="AA48" s="78" t="str">
        <f>'Inbound Cascade EMESA NORTH'!BE68</f>
        <v>#REF!</v>
      </c>
      <c r="AB48" s="78" t="str">
        <f>'Inbound Cascade EMESA NORTH'!BF68</f>
        <v>#REF!</v>
      </c>
      <c r="AC48" s="78" t="str">
        <f>'Inbound Cascade EMESA NORTH'!BG68</f>
        <v>#REF!</v>
      </c>
      <c r="AD48" s="78" t="str">
        <f>'Inbound Cascade EMESA NORTH'!BH68</f>
        <v>#REF!</v>
      </c>
      <c r="AE48" s="78" t="str">
        <f>'Inbound Cascade EMESA NORTH'!BI68</f>
        <v>#REF!</v>
      </c>
      <c r="AF48" s="78" t="str">
        <f>'Inbound Cascade EMESA NORTH'!BJ68</f>
        <v>#REF!</v>
      </c>
      <c r="AG48" s="78" t="str">
        <f>'Inbound Cascade EMESA NORTH'!BK68</f>
        <v>#REF!</v>
      </c>
      <c r="AH48" s="78" t="str">
        <f>'Inbound Cascade EMESA NORTH'!BL68</f>
        <v>#REF!</v>
      </c>
      <c r="AI48" s="49"/>
      <c r="AJ48" s="49"/>
      <c r="AK48" s="49"/>
      <c r="AL48" s="49"/>
      <c r="AM48" s="49"/>
      <c r="AN48" s="49"/>
      <c r="AO48" s="49"/>
    </row>
    <row r="49" ht="15.75" customHeight="1">
      <c r="A49" s="103"/>
      <c r="B49" s="90" t="s">
        <v>91</v>
      </c>
      <c r="C49" s="78">
        <f t="shared" ref="C49:J49" si="15">SUM(C38:C41)</f>
        <v>0</v>
      </c>
      <c r="D49" s="78">
        <f t="shared" si="15"/>
        <v>0</v>
      </c>
      <c r="E49" s="78">
        <f t="shared" si="15"/>
        <v>0</v>
      </c>
      <c r="F49" s="78">
        <f t="shared" si="15"/>
        <v>0</v>
      </c>
      <c r="G49" s="78">
        <f t="shared" si="15"/>
        <v>0</v>
      </c>
      <c r="H49" s="78">
        <f t="shared" si="15"/>
        <v>0</v>
      </c>
      <c r="I49" s="78">
        <f t="shared" si="15"/>
        <v>0</v>
      </c>
      <c r="J49" s="78">
        <f t="shared" si="15"/>
        <v>0</v>
      </c>
      <c r="K49" s="48">
        <f>'Events Cascade EMESA'!AO68/2</f>
        <v>0</v>
      </c>
      <c r="L49" s="48">
        <f>'Events Cascade EMESA'!AP68/2</f>
        <v>0</v>
      </c>
      <c r="M49" s="48">
        <f>'Events Cascade EMESA'!AQ68/2</f>
        <v>0</v>
      </c>
      <c r="N49" s="48">
        <f>'Events Cascade EMESA'!AR68/2</f>
        <v>0</v>
      </c>
      <c r="O49" s="48">
        <f>'Events Cascade EMESA'!AS68/2</f>
        <v>0</v>
      </c>
      <c r="P49" s="48">
        <f>'Events Cascade EMESA'!AT68/2</f>
        <v>0</v>
      </c>
      <c r="Q49" s="48">
        <f>'Events Cascade EMESA'!AU68/2</f>
        <v>0</v>
      </c>
      <c r="R49" s="48">
        <f>'Events Cascade EMESA'!AV68/2</f>
        <v>0.24297</v>
      </c>
      <c r="S49" s="48">
        <f>'Events Cascade EMESA'!AW68</f>
        <v>1.38693</v>
      </c>
      <c r="T49" s="48">
        <f>'Events Cascade EMESA'!AX68</f>
        <v>1.65036</v>
      </c>
      <c r="U49" s="48">
        <f>'Events Cascade EMESA'!AY68</f>
        <v>1.75827</v>
      </c>
      <c r="V49" s="48">
        <f>'Events Cascade EMESA'!AZ68</f>
        <v>1.911945</v>
      </c>
      <c r="W49" s="48">
        <f>'Events Cascade EMESA'!BA68</f>
        <v>2.085151765</v>
      </c>
      <c r="X49" s="48">
        <f>'Events Cascade EMESA'!BB68</f>
        <v>2.188557353</v>
      </c>
      <c r="Y49" s="48">
        <f>'Events Cascade EMESA'!BC68</f>
        <v>2.203877647</v>
      </c>
      <c r="Z49" s="48">
        <f>'Events Cascade EMESA'!BD68</f>
        <v>2.232038824</v>
      </c>
      <c r="AA49" s="48">
        <f>'Events Cascade EMESA'!BE68</f>
        <v>2.248464706</v>
      </c>
      <c r="AB49" s="48">
        <f>'Events Cascade EMESA'!BF68</f>
        <v>2.250282353</v>
      </c>
      <c r="AC49" s="48">
        <f>'Events Cascade EMESA'!BG68</f>
        <v>2.250441176</v>
      </c>
      <c r="AD49" s="48">
        <f>'Events Cascade EMESA'!BH68</f>
        <v>2.250379412</v>
      </c>
      <c r="AE49" s="48">
        <f>'Events Cascade EMESA'!BI68</f>
        <v>2.250233824</v>
      </c>
      <c r="AF49" s="48">
        <f>'Events Cascade EMESA'!BJ68</f>
        <v>2.250123529</v>
      </c>
      <c r="AG49" s="48">
        <f>'Events Cascade EMESA'!BK68</f>
        <v>2.250057353</v>
      </c>
      <c r="AH49" s="48">
        <f>'Events Cascade EMESA'!BL68</f>
        <v>2.250026471</v>
      </c>
      <c r="AI49" s="49"/>
      <c r="AJ49" s="49"/>
      <c r="AK49" s="49"/>
      <c r="AL49" s="49"/>
      <c r="AM49" s="49"/>
      <c r="AN49" s="49"/>
      <c r="AO49" s="49"/>
    </row>
    <row r="50" ht="15.75" customHeight="1">
      <c r="A50" s="104"/>
      <c r="B50" s="105" t="s">
        <v>92</v>
      </c>
      <c r="C50" s="47"/>
      <c r="D50" s="47"/>
      <c r="E50" s="47"/>
      <c r="F50" s="47"/>
      <c r="G50" s="47"/>
      <c r="H50" s="47"/>
      <c r="I50" s="47"/>
      <c r="J50" s="47"/>
      <c r="K50" s="48">
        <f>'Partner Cascade EMESA NORTH'!AO68</f>
        <v>5.95</v>
      </c>
      <c r="L50" s="48">
        <f>'Partner Cascade EMESA NORTH'!AP68</f>
        <v>4.8</v>
      </c>
      <c r="M50" s="48">
        <f>'Partner Cascade EMESA NORTH'!AQ68</f>
        <v>4.45</v>
      </c>
      <c r="N50" s="48">
        <f>'Partner Cascade EMESA NORTH'!AR68</f>
        <v>4.96</v>
      </c>
      <c r="O50" s="48">
        <f>'Partner Cascade EMESA NORTH'!AS68</f>
        <v>5.5</v>
      </c>
      <c r="P50" s="48">
        <f>'Partner Cascade EMESA NORTH'!AT68</f>
        <v>5.44</v>
      </c>
      <c r="Q50" s="48">
        <f>'Partner Cascade EMESA NORTH'!AU68</f>
        <v>4.19</v>
      </c>
      <c r="R50" s="48">
        <f>'Partner Cascade EMESA NORTH'!AV68</f>
        <v>2.93</v>
      </c>
      <c r="S50" s="48">
        <f>'Partner Cascade EMESA NORTH'!AW68</f>
        <v>1.79</v>
      </c>
      <c r="T50" s="48">
        <f>'Partner Cascade EMESA NORTH'!AX68</f>
        <v>1.31</v>
      </c>
      <c r="U50" s="48">
        <f>'Partner Cascade EMESA NORTH'!AY68</f>
        <v>1.243333333</v>
      </c>
      <c r="V50" s="48">
        <f>'Partner Cascade EMESA NORTH'!AZ68</f>
        <v>1.547433333</v>
      </c>
      <c r="W50" s="48">
        <f>'Partner Cascade EMESA NORTH'!BA68</f>
        <v>1.872420333</v>
      </c>
      <c r="X50" s="48">
        <f>'Partner Cascade EMESA NORTH'!BB68</f>
        <v>2.13862309</v>
      </c>
      <c r="Y50" s="48">
        <f>'Partner Cascade EMESA NORTH'!BC68</f>
        <v>2.369293373</v>
      </c>
      <c r="Z50" s="48">
        <f>'Partner Cascade EMESA NORTH'!BD68</f>
        <v>2.571543909</v>
      </c>
      <c r="AA50" s="48">
        <f>'Partner Cascade EMESA NORTH'!BE68</f>
        <v>2.770018649</v>
      </c>
      <c r="AB50" s="48">
        <f>'Partner Cascade EMESA NORTH'!BF68</f>
        <v>2.962186621</v>
      </c>
      <c r="AC50" s="48">
        <f>'Partner Cascade EMESA NORTH'!BG68</f>
        <v>3.169539685</v>
      </c>
      <c r="AD50" s="48">
        <f>'Partner Cascade EMESA NORTH'!BH68</f>
        <v>3.391407463</v>
      </c>
      <c r="AE50" s="48">
        <f>'Partner Cascade EMESA NORTH'!BI68</f>
        <v>3.628805985</v>
      </c>
      <c r="AF50" s="48">
        <f>'Partner Cascade EMESA NORTH'!BJ68</f>
        <v>3.882822404</v>
      </c>
      <c r="AG50" s="48">
        <f>'Partner Cascade EMESA NORTH'!BK68</f>
        <v>4.154619973</v>
      </c>
      <c r="AH50" s="48">
        <f>'Partner Cascade EMESA NORTH'!BL68</f>
        <v>4.445443371</v>
      </c>
      <c r="AI50" s="49"/>
      <c r="AJ50" s="49"/>
      <c r="AK50" s="49"/>
      <c r="AL50" s="49"/>
      <c r="AM50" s="49"/>
      <c r="AN50" s="49"/>
      <c r="AO50" s="49"/>
    </row>
    <row r="51" ht="15.75" customHeight="1">
      <c r="A51" s="100" t="s">
        <v>103</v>
      </c>
      <c r="B51" s="85"/>
      <c r="C51" s="106"/>
      <c r="D51" s="106"/>
      <c r="E51" s="106"/>
      <c r="F51" s="106"/>
      <c r="G51" s="106"/>
      <c r="H51" s="106"/>
      <c r="I51" s="106"/>
      <c r="J51" s="106"/>
      <c r="K51" s="94">
        <f t="shared" ref="K51:AH51" si="16">SUM(K46:K50)</f>
        <v>12.15448024</v>
      </c>
      <c r="L51" s="94">
        <f t="shared" si="16"/>
        <v>12.70606541</v>
      </c>
      <c r="M51" s="94">
        <f t="shared" si="16"/>
        <v>13.64047424</v>
      </c>
      <c r="N51" s="94">
        <f t="shared" si="16"/>
        <v>14.61640944</v>
      </c>
      <c r="O51" s="94">
        <f t="shared" si="16"/>
        <v>15.33461759</v>
      </c>
      <c r="P51" s="94">
        <f t="shared" si="16"/>
        <v>15.2579625</v>
      </c>
      <c r="Q51" s="94">
        <f t="shared" si="16"/>
        <v>14.37986559</v>
      </c>
      <c r="R51" s="94">
        <f t="shared" si="16"/>
        <v>22.9087508</v>
      </c>
      <c r="S51" s="94">
        <f t="shared" si="16"/>
        <v>23.82562512</v>
      </c>
      <c r="T51" s="94">
        <f t="shared" si="16"/>
        <v>24.7702632</v>
      </c>
      <c r="U51" s="94" t="str">
        <f t="shared" si="16"/>
        <v>#REF!</v>
      </c>
      <c r="V51" s="94" t="str">
        <f t="shared" si="16"/>
        <v>#REF!</v>
      </c>
      <c r="W51" s="94" t="str">
        <f t="shared" si="16"/>
        <v>#REF!</v>
      </c>
      <c r="X51" s="94" t="str">
        <f t="shared" si="16"/>
        <v>#REF!</v>
      </c>
      <c r="Y51" s="94" t="str">
        <f t="shared" si="16"/>
        <v>#REF!</v>
      </c>
      <c r="Z51" s="94" t="str">
        <f t="shared" si="16"/>
        <v>#REF!</v>
      </c>
      <c r="AA51" s="94" t="str">
        <f t="shared" si="16"/>
        <v>#REF!</v>
      </c>
      <c r="AB51" s="94" t="str">
        <f t="shared" si="16"/>
        <v>#REF!</v>
      </c>
      <c r="AC51" s="94" t="str">
        <f t="shared" si="16"/>
        <v>#REF!</v>
      </c>
      <c r="AD51" s="94" t="str">
        <f t="shared" si="16"/>
        <v>#REF!</v>
      </c>
      <c r="AE51" s="94" t="str">
        <f t="shared" si="16"/>
        <v>#REF!</v>
      </c>
      <c r="AF51" s="94" t="str">
        <f t="shared" si="16"/>
        <v>#REF!</v>
      </c>
      <c r="AG51" s="94" t="str">
        <f t="shared" si="16"/>
        <v>#REF!</v>
      </c>
      <c r="AH51" s="94" t="str">
        <f t="shared" si="16"/>
        <v>#REF!</v>
      </c>
      <c r="AI51" s="95"/>
      <c r="AJ51" s="95"/>
      <c r="AK51" s="95"/>
      <c r="AL51" s="95"/>
      <c r="AM51" s="95"/>
      <c r="AN51" s="95"/>
      <c r="AO51" s="95"/>
    </row>
    <row r="52" ht="15.75" customHeight="1">
      <c r="A52" s="96" t="s">
        <v>101</v>
      </c>
      <c r="B52" s="96"/>
      <c r="C52" s="107"/>
      <c r="D52" s="107"/>
      <c r="E52" s="107"/>
      <c r="F52" s="107"/>
      <c r="G52" s="107"/>
      <c r="H52" s="107"/>
      <c r="I52" s="107"/>
      <c r="J52" s="107"/>
      <c r="K52" s="108"/>
      <c r="L52" s="108"/>
      <c r="M52" s="108"/>
      <c r="N52" s="108"/>
      <c r="O52" s="108"/>
      <c r="P52" s="108"/>
      <c r="Q52" s="108"/>
      <c r="R52" s="98"/>
      <c r="S52" s="98">
        <v>35.0</v>
      </c>
      <c r="T52" s="98">
        <v>27.0</v>
      </c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9"/>
      <c r="AJ52" s="99"/>
      <c r="AK52" s="99"/>
      <c r="AL52" s="99"/>
      <c r="AM52" s="99"/>
      <c r="AN52" s="99"/>
      <c r="AO52" s="99"/>
    </row>
    <row r="53" ht="15.75" customHeight="1">
      <c r="A53" s="109" t="s">
        <v>104</v>
      </c>
      <c r="B53" s="81"/>
      <c r="C53" s="63"/>
      <c r="D53" s="63"/>
      <c r="E53" s="63"/>
      <c r="F53" s="63"/>
      <c r="G53" s="63"/>
      <c r="H53" s="63"/>
      <c r="I53" s="63"/>
      <c r="J53" s="63"/>
      <c r="K53" s="78">
        <v>9.0</v>
      </c>
      <c r="L53" s="78">
        <v>5.0</v>
      </c>
      <c r="M53" s="78">
        <v>7.0</v>
      </c>
      <c r="N53" s="78">
        <v>21.0</v>
      </c>
      <c r="O53" s="78">
        <v>9.0</v>
      </c>
      <c r="P53" s="78">
        <v>7.0</v>
      </c>
      <c r="Q53" s="78">
        <v>6.0</v>
      </c>
      <c r="R53" s="83">
        <v>6.0</v>
      </c>
      <c r="S53" s="83">
        <v>5.0</v>
      </c>
      <c r="T53" s="83">
        <v>8.0</v>
      </c>
      <c r="U53" s="83" t="str">
        <f t="shared" ref="U53:AH53" si="17">average($S$53:$T$53)/average($S$115:$T$115)*U115</f>
        <v>#REF!</v>
      </c>
      <c r="V53" s="83" t="str">
        <f t="shared" si="17"/>
        <v>#REF!</v>
      </c>
      <c r="W53" s="83" t="str">
        <f t="shared" si="17"/>
        <v>#REF!</v>
      </c>
      <c r="X53" s="83" t="str">
        <f t="shared" si="17"/>
        <v>#REF!</v>
      </c>
      <c r="Y53" s="83" t="str">
        <f t="shared" si="17"/>
        <v>#REF!</v>
      </c>
      <c r="Z53" s="83" t="str">
        <f t="shared" si="17"/>
        <v>#REF!</v>
      </c>
      <c r="AA53" s="83" t="str">
        <f t="shared" si="17"/>
        <v>#REF!</v>
      </c>
      <c r="AB53" s="83" t="str">
        <f t="shared" si="17"/>
        <v>#REF!</v>
      </c>
      <c r="AC53" s="83" t="str">
        <f t="shared" si="17"/>
        <v>#REF!</v>
      </c>
      <c r="AD53" s="83" t="str">
        <f t="shared" si="17"/>
        <v>#REF!</v>
      </c>
      <c r="AE53" s="83" t="str">
        <f t="shared" si="17"/>
        <v>#REF!</v>
      </c>
      <c r="AF53" s="83" t="str">
        <f t="shared" si="17"/>
        <v>#REF!</v>
      </c>
      <c r="AG53" s="83" t="str">
        <f t="shared" si="17"/>
        <v>#REF!</v>
      </c>
      <c r="AH53" s="83" t="str">
        <f t="shared" si="17"/>
        <v>#REF!</v>
      </c>
      <c r="AI53" s="49"/>
      <c r="AJ53" s="49"/>
      <c r="AK53" s="49"/>
      <c r="AL53" s="49"/>
      <c r="AM53" s="49"/>
      <c r="AN53" s="49"/>
      <c r="AO53" s="49"/>
    </row>
    <row r="54" ht="15.75" customHeight="1">
      <c r="A54" s="101" t="s">
        <v>97</v>
      </c>
      <c r="B54" s="102" t="s">
        <v>88</v>
      </c>
      <c r="C54" s="59"/>
      <c r="D54" s="59"/>
      <c r="E54" s="59"/>
      <c r="F54" s="59"/>
      <c r="G54" s="59"/>
      <c r="H54" s="59"/>
      <c r="I54" s="59"/>
      <c r="J54" s="59"/>
      <c r="K54" s="60">
        <f>'Outbound Cascade EMESA NORTH'!AO74/2</f>
        <v>0</v>
      </c>
      <c r="L54" s="60">
        <f>'Outbound Cascade EMESA NORTH'!AP74/2</f>
        <v>0</v>
      </c>
      <c r="M54" s="60">
        <f>'Outbound Cascade EMESA NORTH'!AQ74/2</f>
        <v>0</v>
      </c>
      <c r="N54" s="60">
        <f>'Outbound Cascade EMESA NORTH'!AR74/2</f>
        <v>0</v>
      </c>
      <c r="O54" s="60">
        <f>'Outbound Cascade EMESA NORTH'!AS74/2</f>
        <v>0</v>
      </c>
      <c r="P54" s="60">
        <f>'Outbound Cascade EMESA NORTH'!AT74/2</f>
        <v>0</v>
      </c>
      <c r="Q54" s="60">
        <f>'Outbound Cascade EMESA NORTH'!AU74/2</f>
        <v>0</v>
      </c>
      <c r="R54" s="78">
        <f>'Outbound Cascade EMESA SOUTH'!AV68</f>
        <v>0.5106858824</v>
      </c>
      <c r="S54" s="78">
        <f>'Outbound Cascade EMESA SOUTH'!AW68</f>
        <v>0.5585352941</v>
      </c>
      <c r="T54" s="78">
        <f>'Outbound Cascade EMESA SOUTH'!AX68</f>
        <v>0.5289005882</v>
      </c>
      <c r="U54" s="78">
        <f>'Outbound Cascade EMESA SOUTH'!AY68</f>
        <v>0.4599902941</v>
      </c>
      <c r="V54" s="78">
        <f>'Outbound Cascade EMESA SOUTH'!AZ68</f>
        <v>0.4095220588</v>
      </c>
      <c r="W54" s="78">
        <f>'Outbound Cascade EMESA SOUTH'!BA68</f>
        <v>0.2678123529</v>
      </c>
      <c r="X54" s="78">
        <f>'Outbound Cascade EMESA SOUTH'!BB68</f>
        <v>0.15057</v>
      </c>
      <c r="Y54" s="78">
        <f>'Outbound Cascade EMESA SOUTH'!BC68</f>
        <v>0.069555</v>
      </c>
      <c r="Z54" s="78">
        <f>'Outbound Cascade EMESA SOUTH'!BD68</f>
        <v>0.031395</v>
      </c>
      <c r="AA54" s="78">
        <f>'Outbound Cascade EMESA SOUTH'!BE68</f>
        <v>0.01398</v>
      </c>
      <c r="AB54" s="78">
        <f>'Outbound Cascade EMESA SOUTH'!BF68</f>
        <v>0.00147</v>
      </c>
      <c r="AC54" s="78">
        <f>'Outbound Cascade EMESA SOUTH'!BG68</f>
        <v>0.00012</v>
      </c>
      <c r="AD54" s="78">
        <f>'Outbound Cascade EMESA SOUTH'!BH68</f>
        <v>0</v>
      </c>
      <c r="AE54" s="78">
        <f>'Outbound Cascade EMESA SOUTH'!BI68</f>
        <v>0</v>
      </c>
      <c r="AF54" s="78">
        <f>'Outbound Cascade EMESA SOUTH'!BJ68</f>
        <v>0</v>
      </c>
      <c r="AG54" s="78">
        <f>'Outbound Cascade EMESA SOUTH'!BK68</f>
        <v>0</v>
      </c>
      <c r="AH54" s="78">
        <f>'Outbound Cascade EMESA SOUTH'!BL68</f>
        <v>0</v>
      </c>
      <c r="AI54" s="49"/>
      <c r="AJ54" s="49"/>
      <c r="AK54" s="49"/>
      <c r="AL54" s="49"/>
      <c r="AM54" s="49"/>
      <c r="AN54" s="49"/>
      <c r="AO54" s="49"/>
    </row>
    <row r="55" ht="15.75" customHeight="1">
      <c r="A55" s="103"/>
      <c r="B55" s="87" t="s">
        <v>89</v>
      </c>
      <c r="C55" s="63"/>
      <c r="D55" s="63"/>
      <c r="E55" s="63"/>
      <c r="F55" s="63"/>
      <c r="G55" s="63"/>
      <c r="H55" s="63"/>
      <c r="I55" s="63"/>
      <c r="J55" s="63"/>
      <c r="K55" s="78"/>
      <c r="L55" s="78"/>
      <c r="M55" s="78"/>
      <c r="N55" s="78"/>
      <c r="O55" s="78"/>
      <c r="P55" s="78"/>
      <c r="Q55" s="110"/>
      <c r="R55" s="53">
        <f>'ILO Cascade EMESA SOUTH'!AV68</f>
        <v>6.602653922</v>
      </c>
      <c r="S55" s="53">
        <f>'ILO Cascade EMESA SOUTH'!AW68</f>
        <v>7.554845294</v>
      </c>
      <c r="T55" s="53">
        <f>'ILO Cascade EMESA SOUTH'!AX68</f>
        <v>8.215574314</v>
      </c>
      <c r="U55" s="53">
        <f>'ILO Cascade EMESA SOUTH'!AY68</f>
        <v>8.715906471</v>
      </c>
      <c r="V55" s="53">
        <f>'ILO Cascade EMESA SOUTH'!AZ68</f>
        <v>9.262888529</v>
      </c>
      <c r="W55" s="53">
        <f>'ILO Cascade EMESA SOUTH'!BA68</f>
        <v>10.16837471</v>
      </c>
      <c r="X55" s="53">
        <f>'ILO Cascade EMESA SOUTH'!BB68</f>
        <v>11.09065765</v>
      </c>
      <c r="Y55" s="53">
        <f>'ILO Cascade EMESA SOUTH'!BC68</f>
        <v>12.08620765</v>
      </c>
      <c r="Z55" s="53">
        <f>'ILO Cascade EMESA SOUTH'!BD68</f>
        <v>12.98925441</v>
      </c>
      <c r="AA55" s="53">
        <f>'ILO Cascade EMESA SOUTH'!BE68</f>
        <v>13.94578941</v>
      </c>
      <c r="AB55" s="53">
        <f>'ILO Cascade EMESA SOUTH'!BF68</f>
        <v>14.61190412</v>
      </c>
      <c r="AC55" s="53">
        <f>'ILO Cascade EMESA SOUTH'!BG68</f>
        <v>14.98902706</v>
      </c>
      <c r="AD55" s="53">
        <f>'ILO Cascade EMESA SOUTH'!BH68</f>
        <v>15.17331882</v>
      </c>
      <c r="AE55" s="53">
        <f>'ILO Cascade EMESA SOUTH'!BI68</f>
        <v>15.25604294</v>
      </c>
      <c r="AF55" s="53">
        <f>'ILO Cascade EMESA SOUTH'!BJ68</f>
        <v>15.29616</v>
      </c>
      <c r="AG55" s="53">
        <f>'ILO Cascade EMESA SOUTH'!BK68</f>
        <v>15.30003</v>
      </c>
      <c r="AH55" s="53">
        <f>'ILO Cascade EMESA SOUTH'!BL68</f>
        <v>15.30018</v>
      </c>
      <c r="AI55" s="49"/>
      <c r="AJ55" s="49"/>
      <c r="AK55" s="49"/>
      <c r="AL55" s="49"/>
      <c r="AM55" s="49"/>
      <c r="AN55" s="49"/>
      <c r="AO55" s="49"/>
    </row>
    <row r="56" ht="15.75" customHeight="1">
      <c r="A56" s="103"/>
      <c r="B56" s="87" t="s">
        <v>90</v>
      </c>
      <c r="C56" s="82"/>
      <c r="D56" s="82"/>
      <c r="E56" s="82"/>
      <c r="F56" s="82"/>
      <c r="G56" s="82"/>
      <c r="H56" s="82"/>
      <c r="I56" s="82"/>
      <c r="J56" s="82"/>
      <c r="K56" s="78" t="str">
        <f>'Inbound Cascade EMESA NORTH'!AN74</f>
        <v/>
      </c>
      <c r="L56" s="78" t="str">
        <f>'Inbound Cascade EMESA NORTH'!AO74</f>
        <v/>
      </c>
      <c r="M56" s="78" t="str">
        <f>'Inbound Cascade EMESA NORTH'!AP74</f>
        <v/>
      </c>
      <c r="N56" s="78" t="str">
        <f>'Inbound Cascade EMESA NORTH'!AQ74</f>
        <v/>
      </c>
      <c r="O56" s="78" t="str">
        <f>'Inbound Cascade EMESA NORTH'!AR74</f>
        <v/>
      </c>
      <c r="P56" s="78" t="str">
        <f>'Inbound Cascade EMESA NORTH'!AS74</f>
        <v/>
      </c>
      <c r="Q56" s="78" t="str">
        <f>'Inbound Cascade EMESA NORTH'!AT74</f>
        <v/>
      </c>
      <c r="R56" s="78">
        <f>'Inbound Cascade EMESA SOUTH'!AV68</f>
        <v>9.745707176</v>
      </c>
      <c r="S56" s="78">
        <f>'Inbound Cascade EMESA SOUTH'!AW68</f>
        <v>9.462178941</v>
      </c>
      <c r="T56" s="78">
        <f>'Inbound Cascade EMESA SOUTH'!AX68</f>
        <v>9.621261529</v>
      </c>
      <c r="U56" s="78" t="str">
        <f>'Inbound Cascade EMESA SOUTH'!AY68</f>
        <v>#REF!</v>
      </c>
      <c r="V56" s="78" t="str">
        <f>'Inbound Cascade EMESA SOUTH'!AZ68</f>
        <v>#REF!</v>
      </c>
      <c r="W56" s="78" t="str">
        <f>'Inbound Cascade EMESA SOUTH'!BA68</f>
        <v>#REF!</v>
      </c>
      <c r="X56" s="78" t="str">
        <f>'Inbound Cascade EMESA SOUTH'!BB68</f>
        <v>#REF!</v>
      </c>
      <c r="Y56" s="78" t="str">
        <f>'Inbound Cascade EMESA SOUTH'!BC68</f>
        <v>#REF!</v>
      </c>
      <c r="Z56" s="78" t="str">
        <f>'Inbound Cascade EMESA SOUTH'!BD68</f>
        <v>#REF!</v>
      </c>
      <c r="AA56" s="78" t="str">
        <f>'Inbound Cascade EMESA SOUTH'!BE68</f>
        <v>#REF!</v>
      </c>
      <c r="AB56" s="78" t="str">
        <f>'Inbound Cascade EMESA SOUTH'!BF68</f>
        <v>#REF!</v>
      </c>
      <c r="AC56" s="78" t="str">
        <f>'Inbound Cascade EMESA SOUTH'!BG68</f>
        <v>#REF!</v>
      </c>
      <c r="AD56" s="78" t="str">
        <f>'Inbound Cascade EMESA SOUTH'!BH68</f>
        <v>#REF!</v>
      </c>
      <c r="AE56" s="78" t="str">
        <f>'Inbound Cascade EMESA SOUTH'!BI68</f>
        <v>#REF!</v>
      </c>
      <c r="AF56" s="78" t="str">
        <f>'Inbound Cascade EMESA SOUTH'!BJ68</f>
        <v>#REF!</v>
      </c>
      <c r="AG56" s="78" t="str">
        <f>'Inbound Cascade EMESA SOUTH'!BK68</f>
        <v>#REF!</v>
      </c>
      <c r="AH56" s="78" t="str">
        <f>'Inbound Cascade EMESA SOUTH'!BL68</f>
        <v>#REF!</v>
      </c>
      <c r="AI56" s="49"/>
      <c r="AJ56" s="49"/>
      <c r="AK56" s="49"/>
      <c r="AL56" s="49"/>
      <c r="AM56" s="49"/>
      <c r="AN56" s="49"/>
      <c r="AO56" s="49"/>
    </row>
    <row r="57" ht="15.75" customHeight="1">
      <c r="A57" s="103"/>
      <c r="B57" s="90" t="s">
        <v>91</v>
      </c>
      <c r="C57" s="78">
        <f t="shared" ref="C57:J57" si="18">SUM(C46:C49)</f>
        <v>0</v>
      </c>
      <c r="D57" s="78">
        <f t="shared" si="18"/>
        <v>0</v>
      </c>
      <c r="E57" s="78">
        <f t="shared" si="18"/>
        <v>0</v>
      </c>
      <c r="F57" s="78">
        <f t="shared" si="18"/>
        <v>0</v>
      </c>
      <c r="G57" s="78">
        <f t="shared" si="18"/>
        <v>0</v>
      </c>
      <c r="H57" s="78">
        <f t="shared" si="18"/>
        <v>0</v>
      </c>
      <c r="I57" s="78">
        <f t="shared" si="18"/>
        <v>0</v>
      </c>
      <c r="J57" s="78">
        <f t="shared" si="18"/>
        <v>0</v>
      </c>
      <c r="K57" s="48">
        <f>'Events Cascade EMESA'!AO74/2</f>
        <v>0</v>
      </c>
      <c r="L57" s="48">
        <f>'Events Cascade EMESA'!AP74/2</f>
        <v>0</v>
      </c>
      <c r="M57" s="48">
        <f>'Events Cascade EMESA'!AQ74/2</f>
        <v>0</v>
      </c>
      <c r="N57" s="48">
        <f>'Events Cascade EMESA'!AR74/2</f>
        <v>0</v>
      </c>
      <c r="O57" s="48">
        <f>'Events Cascade EMESA'!AS74/2</f>
        <v>0</v>
      </c>
      <c r="P57" s="48">
        <f>'Events Cascade EMESA'!AT74/2</f>
        <v>0</v>
      </c>
      <c r="Q57" s="48">
        <f>'Events Cascade EMESA'!AU74/2</f>
        <v>0</v>
      </c>
      <c r="R57" s="48">
        <f>'Events Cascade EMESA'!AV74/2</f>
        <v>0</v>
      </c>
      <c r="S57" s="48">
        <f>'Events Cascade EMESA'!AW74/2</f>
        <v>0</v>
      </c>
      <c r="T57" s="48">
        <f>'Events Cascade EMESA'!AX74/2</f>
        <v>0</v>
      </c>
      <c r="U57" s="48">
        <f>'Events Cascade EMESA'!AY74/2</f>
        <v>0</v>
      </c>
      <c r="V57" s="48">
        <f>'Events Cascade EMESA'!AZ74/2</f>
        <v>0</v>
      </c>
      <c r="W57" s="48">
        <f>'Events Cascade EMESA'!BA74/2</f>
        <v>0</v>
      </c>
      <c r="X57" s="48">
        <f>'Events Cascade EMESA'!BB74/2</f>
        <v>0</v>
      </c>
      <c r="Y57" s="48">
        <f>'Events Cascade EMESA'!BC74/2</f>
        <v>0</v>
      </c>
      <c r="Z57" s="48">
        <f>'Events Cascade EMESA'!BD74/2</f>
        <v>0</v>
      </c>
      <c r="AA57" s="48">
        <f>'Events Cascade EMESA'!BE74/2</f>
        <v>0</v>
      </c>
      <c r="AB57" s="48">
        <f>'Events Cascade EMESA'!BF74/2</f>
        <v>0</v>
      </c>
      <c r="AC57" s="48">
        <f>'Events Cascade EMESA'!BG74/2</f>
        <v>0</v>
      </c>
      <c r="AD57" s="48">
        <f>'Events Cascade EMESA'!BH74/2</f>
        <v>0</v>
      </c>
      <c r="AE57" s="48">
        <f>'Events Cascade EMESA'!BI74/2</f>
        <v>0</v>
      </c>
      <c r="AF57" s="48">
        <f>'Events Cascade EMESA'!BJ74/2</f>
        <v>0</v>
      </c>
      <c r="AG57" s="48">
        <f>'Events Cascade EMESA'!BK74/2</f>
        <v>0</v>
      </c>
      <c r="AH57" s="48">
        <f>'Events Cascade EMESA'!BL74/2</f>
        <v>0</v>
      </c>
      <c r="AI57" s="49"/>
      <c r="AJ57" s="49"/>
      <c r="AK57" s="49"/>
      <c r="AL57" s="49"/>
      <c r="AM57" s="49"/>
      <c r="AN57" s="49"/>
      <c r="AO57" s="49"/>
    </row>
    <row r="58" ht="15.75" customHeight="1">
      <c r="A58" s="104"/>
      <c r="B58" s="105" t="s">
        <v>92</v>
      </c>
      <c r="C58" s="47"/>
      <c r="D58" s="47"/>
      <c r="E58" s="47"/>
      <c r="F58" s="47"/>
      <c r="G58" s="47"/>
      <c r="H58" s="47"/>
      <c r="I58" s="47"/>
      <c r="J58" s="47"/>
      <c r="K58" s="48" t="str">
        <f>'Partner Cascade EMESA NORTH'!AO74</f>
        <v/>
      </c>
      <c r="L58" s="48" t="str">
        <f>'Partner Cascade EMESA NORTH'!AP74</f>
        <v/>
      </c>
      <c r="M58" s="48" t="str">
        <f>'Partner Cascade EMESA NORTH'!AQ74</f>
        <v/>
      </c>
      <c r="N58" s="48" t="str">
        <f>'Partner Cascade EMESA NORTH'!AR74</f>
        <v/>
      </c>
      <c r="O58" s="48" t="str">
        <f>'Partner Cascade EMESA NORTH'!AS74</f>
        <v/>
      </c>
      <c r="P58" s="48" t="str">
        <f>'Partner Cascade EMESA NORTH'!AT74</f>
        <v/>
      </c>
      <c r="Q58" s="48" t="str">
        <f>'Partner Cascade EMESA NORTH'!AU74</f>
        <v/>
      </c>
      <c r="R58" s="48">
        <f>'Partner Cascade EMESA SOUTH'!AV68</f>
        <v>10.27</v>
      </c>
      <c r="S58" s="48">
        <f>'Partner Cascade EMESA SOUTH'!AW68</f>
        <v>6.7</v>
      </c>
      <c r="T58" s="48">
        <f>'Partner Cascade EMESA SOUTH'!AX68</f>
        <v>3.95</v>
      </c>
      <c r="U58" s="48">
        <f>'Partner Cascade EMESA SOUTH'!AY68</f>
        <v>2.995</v>
      </c>
      <c r="V58" s="48">
        <f>'Partner Cascade EMESA SOUTH'!AZ68</f>
        <v>3.10825</v>
      </c>
      <c r="W58" s="48">
        <f>'Partner Cascade EMESA SOUTH'!BA68</f>
        <v>3.3707275</v>
      </c>
      <c r="X58" s="48">
        <f>'Partner Cascade EMESA SOUTH'!BB68</f>
        <v>3.671078425</v>
      </c>
      <c r="Y58" s="48">
        <f>'Partner Cascade EMESA SOUTH'!BC68</f>
        <v>4.076853915</v>
      </c>
      <c r="Z58" s="48">
        <f>'Partner Cascade EMESA SOUTH'!BD68</f>
        <v>4.456133689</v>
      </c>
      <c r="AA58" s="48">
        <f>'Partner Cascade EMESA SOUTH'!BE68</f>
        <v>4.794263047</v>
      </c>
      <c r="AB58" s="48">
        <f>'Partner Cascade EMESA SOUTH'!BF68</f>
        <v>5.12686146</v>
      </c>
      <c r="AC58" s="48">
        <f>'Partner Cascade EMESA SOUTH'!BG68</f>
        <v>5.485741763</v>
      </c>
      <c r="AD58" s="48">
        <f>'Partner Cascade EMESA SOUTH'!BH68</f>
        <v>5.869743686</v>
      </c>
      <c r="AE58" s="48">
        <f>'Partner Cascade EMESA SOUTH'!BI68</f>
        <v>6.280625744</v>
      </c>
      <c r="AF58" s="48">
        <f>'Partner Cascade EMESA SOUTH'!BJ68</f>
        <v>6.720269546</v>
      </c>
      <c r="AG58" s="48">
        <f>'Partner Cascade EMESA SOUTH'!BK68</f>
        <v>7.190688414</v>
      </c>
      <c r="AH58" s="48">
        <f>'Partner Cascade EMESA SOUTH'!BL68</f>
        <v>7.694036603</v>
      </c>
      <c r="AI58" s="49"/>
      <c r="AJ58" s="49"/>
      <c r="AK58" s="49"/>
      <c r="AL58" s="49"/>
      <c r="AM58" s="49"/>
      <c r="AN58" s="49"/>
      <c r="AO58" s="49"/>
    </row>
    <row r="59" ht="15.75" customHeight="1">
      <c r="A59" s="100" t="s">
        <v>105</v>
      </c>
      <c r="B59" s="85"/>
      <c r="C59" s="106"/>
      <c r="D59" s="106"/>
      <c r="E59" s="106"/>
      <c r="F59" s="106"/>
      <c r="G59" s="106"/>
      <c r="H59" s="106"/>
      <c r="I59" s="106"/>
      <c r="J59" s="106"/>
      <c r="K59" s="94">
        <f t="shared" ref="K59:AH59" si="19">SUM(K54:K58)</f>
        <v>0</v>
      </c>
      <c r="L59" s="94">
        <f t="shared" si="19"/>
        <v>0</v>
      </c>
      <c r="M59" s="94">
        <f t="shared" si="19"/>
        <v>0</v>
      </c>
      <c r="N59" s="94">
        <f t="shared" si="19"/>
        <v>0</v>
      </c>
      <c r="O59" s="94">
        <f t="shared" si="19"/>
        <v>0</v>
      </c>
      <c r="P59" s="94">
        <f t="shared" si="19"/>
        <v>0</v>
      </c>
      <c r="Q59" s="94">
        <f t="shared" si="19"/>
        <v>0</v>
      </c>
      <c r="R59" s="94">
        <f t="shared" si="19"/>
        <v>27.12904698</v>
      </c>
      <c r="S59" s="94">
        <f t="shared" si="19"/>
        <v>24.27555953</v>
      </c>
      <c r="T59" s="94">
        <f t="shared" si="19"/>
        <v>22.31573643</v>
      </c>
      <c r="U59" s="94" t="str">
        <f t="shared" si="19"/>
        <v>#REF!</v>
      </c>
      <c r="V59" s="94" t="str">
        <f t="shared" si="19"/>
        <v>#REF!</v>
      </c>
      <c r="W59" s="94" t="str">
        <f t="shared" si="19"/>
        <v>#REF!</v>
      </c>
      <c r="X59" s="94" t="str">
        <f t="shared" si="19"/>
        <v>#REF!</v>
      </c>
      <c r="Y59" s="94" t="str">
        <f t="shared" si="19"/>
        <v>#REF!</v>
      </c>
      <c r="Z59" s="94" t="str">
        <f t="shared" si="19"/>
        <v>#REF!</v>
      </c>
      <c r="AA59" s="94" t="str">
        <f t="shared" si="19"/>
        <v>#REF!</v>
      </c>
      <c r="AB59" s="94" t="str">
        <f t="shared" si="19"/>
        <v>#REF!</v>
      </c>
      <c r="AC59" s="94" t="str">
        <f t="shared" si="19"/>
        <v>#REF!</v>
      </c>
      <c r="AD59" s="94" t="str">
        <f t="shared" si="19"/>
        <v>#REF!</v>
      </c>
      <c r="AE59" s="94" t="str">
        <f t="shared" si="19"/>
        <v>#REF!</v>
      </c>
      <c r="AF59" s="94" t="str">
        <f t="shared" si="19"/>
        <v>#REF!</v>
      </c>
      <c r="AG59" s="94" t="str">
        <f t="shared" si="19"/>
        <v>#REF!</v>
      </c>
      <c r="AH59" s="94" t="str">
        <f t="shared" si="19"/>
        <v>#REF!</v>
      </c>
      <c r="AI59" s="95"/>
      <c r="AJ59" s="95"/>
      <c r="AK59" s="95"/>
      <c r="AL59" s="95"/>
      <c r="AM59" s="95"/>
      <c r="AN59" s="95"/>
      <c r="AO59" s="95"/>
    </row>
    <row r="60" ht="15.75" customHeight="1">
      <c r="A60" s="96"/>
      <c r="B60" s="96"/>
      <c r="C60" s="107"/>
      <c r="D60" s="107"/>
      <c r="E60" s="107"/>
      <c r="F60" s="107"/>
      <c r="G60" s="107"/>
      <c r="H60" s="107"/>
      <c r="I60" s="107"/>
      <c r="J60" s="107"/>
      <c r="K60" s="108"/>
      <c r="L60" s="108"/>
      <c r="M60" s="108"/>
      <c r="N60" s="108"/>
      <c r="O60" s="108"/>
      <c r="P60" s="108"/>
      <c r="Q60" s="108"/>
      <c r="R60" s="98"/>
      <c r="S60" s="98">
        <v>33.0</v>
      </c>
      <c r="T60" s="98">
        <v>24.0</v>
      </c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9"/>
      <c r="AJ60" s="99"/>
      <c r="AK60" s="99"/>
      <c r="AL60" s="99"/>
      <c r="AM60" s="99"/>
      <c r="AN60" s="99"/>
      <c r="AO60" s="99"/>
    </row>
    <row r="61" ht="15.75" customHeight="1">
      <c r="A61" s="109" t="s">
        <v>106</v>
      </c>
      <c r="B61" s="81"/>
      <c r="C61" s="63"/>
      <c r="D61" s="63"/>
      <c r="E61" s="63"/>
      <c r="F61" s="63"/>
      <c r="G61" s="63"/>
      <c r="H61" s="63"/>
      <c r="I61" s="63"/>
      <c r="J61" s="63"/>
      <c r="K61" s="78">
        <v>9.0</v>
      </c>
      <c r="L61" s="78">
        <v>5.0</v>
      </c>
      <c r="M61" s="78">
        <v>7.0</v>
      </c>
      <c r="N61" s="78">
        <v>21.0</v>
      </c>
      <c r="O61" s="78">
        <v>9.0</v>
      </c>
      <c r="P61" s="78">
        <v>7.0</v>
      </c>
      <c r="Q61" s="78">
        <v>6.0</v>
      </c>
      <c r="R61" s="83">
        <v>6.0</v>
      </c>
      <c r="S61" s="83">
        <v>12.0</v>
      </c>
      <c r="T61" s="83">
        <v>13.0</v>
      </c>
      <c r="U61" s="83" t="str">
        <f t="shared" ref="U61:AH61" si="20">average($S$61:$T$61)/average($S$116:$T$116)*U116</f>
        <v>#REF!</v>
      </c>
      <c r="V61" s="83" t="str">
        <f t="shared" si="20"/>
        <v>#REF!</v>
      </c>
      <c r="W61" s="83" t="str">
        <f t="shared" si="20"/>
        <v>#REF!</v>
      </c>
      <c r="X61" s="83" t="str">
        <f t="shared" si="20"/>
        <v>#REF!</v>
      </c>
      <c r="Y61" s="83" t="str">
        <f t="shared" si="20"/>
        <v>#REF!</v>
      </c>
      <c r="Z61" s="83" t="str">
        <f t="shared" si="20"/>
        <v>#REF!</v>
      </c>
      <c r="AA61" s="83" t="str">
        <f t="shared" si="20"/>
        <v>#REF!</v>
      </c>
      <c r="AB61" s="83" t="str">
        <f t="shared" si="20"/>
        <v>#REF!</v>
      </c>
      <c r="AC61" s="83" t="str">
        <f t="shared" si="20"/>
        <v>#REF!</v>
      </c>
      <c r="AD61" s="83" t="str">
        <f t="shared" si="20"/>
        <v>#REF!</v>
      </c>
      <c r="AE61" s="83" t="str">
        <f t="shared" si="20"/>
        <v>#REF!</v>
      </c>
      <c r="AF61" s="83" t="str">
        <f t="shared" si="20"/>
        <v>#REF!</v>
      </c>
      <c r="AG61" s="83" t="str">
        <f t="shared" si="20"/>
        <v>#REF!</v>
      </c>
      <c r="AH61" s="83" t="str">
        <f t="shared" si="20"/>
        <v>#REF!</v>
      </c>
      <c r="AI61" s="49"/>
      <c r="AJ61" s="49"/>
      <c r="AK61" s="49"/>
      <c r="AL61" s="49"/>
      <c r="AM61" s="49"/>
      <c r="AN61" s="49"/>
      <c r="AO61" s="49"/>
    </row>
    <row r="62" ht="15.75" customHeight="1">
      <c r="A62" s="100" t="s">
        <v>107</v>
      </c>
      <c r="B62" s="85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111">
        <f t="shared" ref="O62:R62" si="21">O51+O43+O45+O53</f>
        <v>38.51086447</v>
      </c>
      <c r="P62" s="111">
        <f t="shared" si="21"/>
        <v>34.76224818</v>
      </c>
      <c r="Q62" s="111">
        <f t="shared" si="21"/>
        <v>35.46352435</v>
      </c>
      <c r="R62" s="111">
        <f t="shared" si="21"/>
        <v>46.24883131</v>
      </c>
      <c r="S62" s="111">
        <f>S51+S43+S45+S53+S61+S59</f>
        <v>87.35027625</v>
      </c>
      <c r="T62" s="111">
        <f>T51+T43+T45+T53</f>
        <v>60.52495651</v>
      </c>
      <c r="U62" s="111" t="str">
        <f>U51+U43+U45+U53+U59+U61</f>
        <v>#REF!</v>
      </c>
      <c r="V62" s="111" t="str">
        <f t="shared" ref="V62:AH62" si="22">V51+V43+V45+V53</f>
        <v>#REF!</v>
      </c>
      <c r="W62" s="111" t="str">
        <f t="shared" si="22"/>
        <v>#REF!</v>
      </c>
      <c r="X62" s="111" t="str">
        <f t="shared" si="22"/>
        <v>#REF!</v>
      </c>
      <c r="Y62" s="111" t="str">
        <f t="shared" si="22"/>
        <v>#REF!</v>
      </c>
      <c r="Z62" s="111" t="str">
        <f t="shared" si="22"/>
        <v>#REF!</v>
      </c>
      <c r="AA62" s="111" t="str">
        <f t="shared" si="22"/>
        <v>#REF!</v>
      </c>
      <c r="AB62" s="111" t="str">
        <f t="shared" si="22"/>
        <v>#REF!</v>
      </c>
      <c r="AC62" s="111" t="str">
        <f t="shared" si="22"/>
        <v>#REF!</v>
      </c>
      <c r="AD62" s="111" t="str">
        <f t="shared" si="22"/>
        <v>#REF!</v>
      </c>
      <c r="AE62" s="111" t="str">
        <f t="shared" si="22"/>
        <v>#REF!</v>
      </c>
      <c r="AF62" s="111" t="str">
        <f t="shared" si="22"/>
        <v>#REF!</v>
      </c>
      <c r="AG62" s="111" t="str">
        <f t="shared" si="22"/>
        <v>#REF!</v>
      </c>
      <c r="AH62" s="111" t="str">
        <f t="shared" si="22"/>
        <v>#REF!</v>
      </c>
      <c r="AI62" s="49"/>
      <c r="AJ62" s="49"/>
      <c r="AK62" s="49"/>
      <c r="AL62" s="49"/>
      <c r="AM62" s="49"/>
      <c r="AN62" s="49"/>
      <c r="AO62" s="49"/>
    </row>
    <row r="63" ht="15.75" customHeight="1">
      <c r="A63" s="112" t="s">
        <v>108</v>
      </c>
      <c r="B63" s="113"/>
      <c r="C63" s="53">
        <v>35000.0</v>
      </c>
      <c r="D63" s="53">
        <v>35000.0</v>
      </c>
      <c r="E63" s="53">
        <v>35000.0</v>
      </c>
      <c r="F63" s="53">
        <v>35000.0</v>
      </c>
      <c r="G63" s="53">
        <v>35000.0</v>
      </c>
      <c r="H63" s="53">
        <v>35000.0</v>
      </c>
      <c r="I63" s="53">
        <v>45000.0</v>
      </c>
      <c r="J63" s="53">
        <v>45000.0</v>
      </c>
      <c r="K63" s="52"/>
      <c r="L63" s="52"/>
      <c r="M63" s="52"/>
      <c r="N63" s="52"/>
      <c r="O63" s="52"/>
      <c r="P63" s="52"/>
      <c r="Q63" s="52"/>
      <c r="R63" s="53">
        <v>110000.0</v>
      </c>
      <c r="S63" s="53">
        <v>62763.0</v>
      </c>
      <c r="T63" s="53">
        <v>216058.0</v>
      </c>
      <c r="U63" s="53">
        <v>115000.0</v>
      </c>
      <c r="V63" s="53">
        <v>115000.0</v>
      </c>
      <c r="W63" s="53">
        <v>115000.0</v>
      </c>
      <c r="X63" s="53">
        <v>115000.0</v>
      </c>
      <c r="Y63" s="53">
        <v>115000.0</v>
      </c>
      <c r="Z63" s="53">
        <v>115000.0</v>
      </c>
      <c r="AA63" s="53">
        <v>115000.0</v>
      </c>
      <c r="AB63" s="53">
        <v>115000.0</v>
      </c>
      <c r="AC63" s="53">
        <v>115000.0</v>
      </c>
      <c r="AD63" s="53">
        <v>115000.0</v>
      </c>
      <c r="AE63" s="53">
        <v>115000.0</v>
      </c>
      <c r="AF63" s="53">
        <v>115000.0</v>
      </c>
      <c r="AG63" s="53">
        <v>115000.0</v>
      </c>
      <c r="AH63" s="53">
        <v>115000.0</v>
      </c>
      <c r="AI63" s="49"/>
      <c r="AJ63" s="49"/>
      <c r="AK63" s="49"/>
      <c r="AL63" s="49"/>
      <c r="AM63" s="49"/>
      <c r="AN63" s="49"/>
      <c r="AO63" s="49"/>
    </row>
    <row r="64" ht="15.75" customHeight="1">
      <c r="A64" s="112" t="s">
        <v>109</v>
      </c>
      <c r="B64" s="113"/>
      <c r="C64" s="53">
        <v>35000.0</v>
      </c>
      <c r="D64" s="53">
        <v>35000.0</v>
      </c>
      <c r="E64" s="53">
        <v>35000.0</v>
      </c>
      <c r="F64" s="53">
        <v>35000.0</v>
      </c>
      <c r="G64" s="53">
        <v>35000.0</v>
      </c>
      <c r="H64" s="53">
        <v>35000.0</v>
      </c>
      <c r="I64" s="53">
        <v>45000.0</v>
      </c>
      <c r="J64" s="53">
        <v>45000.0</v>
      </c>
      <c r="K64" s="52"/>
      <c r="L64" s="52"/>
      <c r="M64" s="52"/>
      <c r="N64" s="52"/>
      <c r="O64" s="52"/>
      <c r="P64" s="52"/>
      <c r="Q64" s="52"/>
      <c r="R64" s="53">
        <v>70000.0</v>
      </c>
      <c r="S64" s="53">
        <v>81223.714</v>
      </c>
      <c r="T64" s="53">
        <v>75083.33333</v>
      </c>
      <c r="U64" s="53">
        <v>75000.0</v>
      </c>
      <c r="V64" s="53">
        <v>80000.0</v>
      </c>
      <c r="W64" s="53">
        <v>80000.0</v>
      </c>
      <c r="X64" s="53">
        <v>80000.0</v>
      </c>
      <c r="Y64" s="53">
        <v>80000.0</v>
      </c>
      <c r="Z64" s="53">
        <v>80000.0</v>
      </c>
      <c r="AA64" s="53">
        <v>80000.0</v>
      </c>
      <c r="AB64" s="53">
        <v>80000.0</v>
      </c>
      <c r="AC64" s="53">
        <v>80000.0</v>
      </c>
      <c r="AD64" s="53">
        <v>80000.0</v>
      </c>
      <c r="AE64" s="53">
        <v>80000.0</v>
      </c>
      <c r="AF64" s="53">
        <v>80000.0</v>
      </c>
      <c r="AG64" s="53">
        <v>80000.0</v>
      </c>
      <c r="AH64" s="53">
        <v>80000.0</v>
      </c>
      <c r="AI64" s="49"/>
      <c r="AJ64" s="49"/>
      <c r="AK64" s="49"/>
      <c r="AL64" s="49"/>
      <c r="AM64" s="49"/>
      <c r="AN64" s="49"/>
      <c r="AO64" s="49"/>
    </row>
    <row r="65" ht="15.75" customHeight="1">
      <c r="A65" s="114" t="s">
        <v>110</v>
      </c>
      <c r="B65" s="115"/>
      <c r="C65" s="48">
        <v>35000.0</v>
      </c>
      <c r="D65" s="48">
        <v>35000.0</v>
      </c>
      <c r="E65" s="48">
        <v>35000.0</v>
      </c>
      <c r="F65" s="48">
        <v>35000.0</v>
      </c>
      <c r="G65" s="48">
        <v>35000.0</v>
      </c>
      <c r="H65" s="48">
        <v>35000.0</v>
      </c>
      <c r="I65" s="48">
        <v>45000.0</v>
      </c>
      <c r="J65" s="48">
        <v>45000.0</v>
      </c>
      <c r="K65" s="47"/>
      <c r="L65" s="47"/>
      <c r="M65" s="47"/>
      <c r="N65" s="47"/>
      <c r="O65" s="47"/>
      <c r="P65" s="47"/>
      <c r="Q65" s="47"/>
      <c r="R65" s="48">
        <v>70000.0</v>
      </c>
      <c r="S65" s="48">
        <v>58845.41667</v>
      </c>
      <c r="T65" s="48">
        <v>70856.83</v>
      </c>
      <c r="U65" s="48">
        <v>75000.0</v>
      </c>
      <c r="V65" s="48">
        <v>80000.0</v>
      </c>
      <c r="W65" s="48">
        <v>80000.0</v>
      </c>
      <c r="X65" s="48">
        <v>80000.0</v>
      </c>
      <c r="Y65" s="48">
        <v>80000.0</v>
      </c>
      <c r="Z65" s="48">
        <v>80000.0</v>
      </c>
      <c r="AA65" s="48">
        <v>80000.0</v>
      </c>
      <c r="AB65" s="48">
        <v>80000.0</v>
      </c>
      <c r="AC65" s="48">
        <v>80000.0</v>
      </c>
      <c r="AD65" s="48">
        <v>80000.0</v>
      </c>
      <c r="AE65" s="48">
        <v>80000.0</v>
      </c>
      <c r="AF65" s="48">
        <v>80000.0</v>
      </c>
      <c r="AG65" s="48">
        <v>80000.0</v>
      </c>
      <c r="AH65" s="48">
        <v>80000.0</v>
      </c>
      <c r="AI65" s="49"/>
      <c r="AJ65" s="49"/>
      <c r="AK65" s="49"/>
      <c r="AL65" s="49"/>
      <c r="AM65" s="49"/>
      <c r="AN65" s="49"/>
      <c r="AO65" s="49"/>
    </row>
    <row r="66" ht="15.75" customHeight="1">
      <c r="A66" s="116" t="s">
        <v>111</v>
      </c>
      <c r="B66" s="117"/>
      <c r="C66" s="118">
        <v>35000.0</v>
      </c>
      <c r="D66" s="118">
        <v>35000.0</v>
      </c>
      <c r="E66" s="118">
        <v>35000.0</v>
      </c>
      <c r="F66" s="118">
        <v>35000.0</v>
      </c>
      <c r="G66" s="118">
        <v>35000.0</v>
      </c>
      <c r="H66" s="118">
        <v>35000.0</v>
      </c>
      <c r="I66" s="118">
        <v>45000.0</v>
      </c>
      <c r="J66" s="118">
        <v>45000.0</v>
      </c>
      <c r="K66" s="118">
        <v>0.0</v>
      </c>
      <c r="L66" s="118">
        <v>49186.0</v>
      </c>
      <c r="M66" s="118">
        <v>54416.0</v>
      </c>
      <c r="N66" s="118">
        <v>30000.0</v>
      </c>
      <c r="O66" s="118">
        <v>0.0</v>
      </c>
      <c r="P66" s="118">
        <v>0.0</v>
      </c>
      <c r="Q66" s="118">
        <v>102675.0</v>
      </c>
      <c r="R66" s="118">
        <f>average($K$66:$Q$66)</f>
        <v>33753.85714</v>
      </c>
      <c r="S66" s="118">
        <f t="shared" ref="S66:AH66" si="23">average($K$66:$Q$66)+10000</f>
        <v>43753.85714</v>
      </c>
      <c r="T66" s="118">
        <f t="shared" si="23"/>
        <v>43753.85714</v>
      </c>
      <c r="U66" s="118">
        <f t="shared" si="23"/>
        <v>43753.85714</v>
      </c>
      <c r="V66" s="118">
        <f t="shared" si="23"/>
        <v>43753.85714</v>
      </c>
      <c r="W66" s="118">
        <f t="shared" si="23"/>
        <v>43753.85714</v>
      </c>
      <c r="X66" s="118">
        <f t="shared" si="23"/>
        <v>43753.85714</v>
      </c>
      <c r="Y66" s="118">
        <f t="shared" si="23"/>
        <v>43753.85714</v>
      </c>
      <c r="Z66" s="118">
        <f t="shared" si="23"/>
        <v>43753.85714</v>
      </c>
      <c r="AA66" s="118">
        <f t="shared" si="23"/>
        <v>43753.85714</v>
      </c>
      <c r="AB66" s="118">
        <f t="shared" si="23"/>
        <v>43753.85714</v>
      </c>
      <c r="AC66" s="118">
        <f t="shared" si="23"/>
        <v>43753.85714</v>
      </c>
      <c r="AD66" s="118">
        <f t="shared" si="23"/>
        <v>43753.85714</v>
      </c>
      <c r="AE66" s="118">
        <f t="shared" si="23"/>
        <v>43753.85714</v>
      </c>
      <c r="AF66" s="118">
        <f t="shared" si="23"/>
        <v>43753.85714</v>
      </c>
      <c r="AG66" s="118">
        <f t="shared" si="23"/>
        <v>43753.85714</v>
      </c>
      <c r="AH66" s="118">
        <f t="shared" si="23"/>
        <v>43753.85714</v>
      </c>
      <c r="AI66" s="119"/>
      <c r="AJ66" s="49"/>
      <c r="AK66" s="49"/>
      <c r="AL66" s="49"/>
      <c r="AM66" s="49"/>
      <c r="AN66" s="49"/>
      <c r="AO66" s="49"/>
    </row>
    <row r="67" ht="15.75" customHeight="1">
      <c r="A67" s="112" t="s">
        <v>112</v>
      </c>
      <c r="B67" s="113"/>
      <c r="C67" s="53">
        <v>35000.0</v>
      </c>
      <c r="D67" s="53">
        <v>35000.0</v>
      </c>
      <c r="E67" s="53">
        <v>35000.0</v>
      </c>
      <c r="F67" s="53">
        <v>35000.0</v>
      </c>
      <c r="G67" s="53">
        <v>35000.0</v>
      </c>
      <c r="H67" s="53">
        <v>35000.0</v>
      </c>
      <c r="I67" s="53">
        <v>45000.0</v>
      </c>
      <c r="J67" s="53">
        <v>45000.0</v>
      </c>
      <c r="K67" s="53">
        <v>19785.0</v>
      </c>
      <c r="L67" s="53">
        <v>22253.0</v>
      </c>
      <c r="M67" s="53">
        <v>27809.0</v>
      </c>
      <c r="N67" s="53">
        <v>43288.0</v>
      </c>
      <c r="O67" s="53">
        <v>21378.0</v>
      </c>
      <c r="P67" s="53">
        <v>24094.0</v>
      </c>
      <c r="Q67" s="53">
        <v>19213.0</v>
      </c>
      <c r="R67" s="53">
        <f t="shared" ref="R67:R68" si="25">average($K$67:$Q$67)</f>
        <v>25402.85714</v>
      </c>
      <c r="S67" s="53">
        <f t="shared" ref="S67:AH67" si="24">average($K$67:$Q$67)+10000</f>
        <v>35402.85714</v>
      </c>
      <c r="T67" s="53">
        <f t="shared" si="24"/>
        <v>35402.85714</v>
      </c>
      <c r="U67" s="53">
        <f t="shared" si="24"/>
        <v>35402.85714</v>
      </c>
      <c r="V67" s="53">
        <f t="shared" si="24"/>
        <v>35402.85714</v>
      </c>
      <c r="W67" s="53">
        <f t="shared" si="24"/>
        <v>35402.85714</v>
      </c>
      <c r="X67" s="53">
        <f t="shared" si="24"/>
        <v>35402.85714</v>
      </c>
      <c r="Y67" s="53">
        <f t="shared" si="24"/>
        <v>35402.85714</v>
      </c>
      <c r="Z67" s="53">
        <f t="shared" si="24"/>
        <v>35402.85714</v>
      </c>
      <c r="AA67" s="53">
        <f t="shared" si="24"/>
        <v>35402.85714</v>
      </c>
      <c r="AB67" s="53">
        <f t="shared" si="24"/>
        <v>35402.85714</v>
      </c>
      <c r="AC67" s="53">
        <f t="shared" si="24"/>
        <v>35402.85714</v>
      </c>
      <c r="AD67" s="53">
        <f t="shared" si="24"/>
        <v>35402.85714</v>
      </c>
      <c r="AE67" s="53">
        <f t="shared" si="24"/>
        <v>35402.85714</v>
      </c>
      <c r="AF67" s="53">
        <f t="shared" si="24"/>
        <v>35402.85714</v>
      </c>
      <c r="AG67" s="53">
        <f t="shared" si="24"/>
        <v>35402.85714</v>
      </c>
      <c r="AH67" s="53">
        <f t="shared" si="24"/>
        <v>35402.85714</v>
      </c>
      <c r="AI67" s="49"/>
      <c r="AJ67" s="49"/>
      <c r="AK67" s="49"/>
      <c r="AL67" s="49"/>
      <c r="AM67" s="49"/>
      <c r="AN67" s="49"/>
      <c r="AO67" s="49"/>
    </row>
    <row r="68" ht="15.75" customHeight="1">
      <c r="A68" s="120" t="s">
        <v>113</v>
      </c>
      <c r="B68" s="121"/>
      <c r="C68" s="57">
        <v>35000.0</v>
      </c>
      <c r="D68" s="57">
        <v>35000.0</v>
      </c>
      <c r="E68" s="57">
        <v>35000.0</v>
      </c>
      <c r="F68" s="57">
        <v>35000.0</v>
      </c>
      <c r="G68" s="57">
        <v>35000.0</v>
      </c>
      <c r="H68" s="57">
        <v>35000.0</v>
      </c>
      <c r="I68" s="57">
        <v>45000.0</v>
      </c>
      <c r="J68" s="57">
        <v>45000.0</v>
      </c>
      <c r="K68" s="57">
        <v>19785.0</v>
      </c>
      <c r="L68" s="57">
        <v>22253.0</v>
      </c>
      <c r="M68" s="57">
        <v>27809.0</v>
      </c>
      <c r="N68" s="57">
        <v>43288.0</v>
      </c>
      <c r="O68" s="57">
        <v>21378.0</v>
      </c>
      <c r="P68" s="57">
        <v>24094.0</v>
      </c>
      <c r="Q68" s="57">
        <v>19213.0</v>
      </c>
      <c r="R68" s="57">
        <f t="shared" si="25"/>
        <v>25402.85714</v>
      </c>
      <c r="S68" s="57">
        <f t="shared" ref="S68:AH68" si="26">average($K$67:$Q$67)+10000</f>
        <v>35402.85714</v>
      </c>
      <c r="T68" s="57">
        <f t="shared" si="26"/>
        <v>35402.85714</v>
      </c>
      <c r="U68" s="57">
        <f t="shared" si="26"/>
        <v>35402.85714</v>
      </c>
      <c r="V68" s="57">
        <f t="shared" si="26"/>
        <v>35402.85714</v>
      </c>
      <c r="W68" s="57">
        <f t="shared" si="26"/>
        <v>35402.85714</v>
      </c>
      <c r="X68" s="57">
        <f t="shared" si="26"/>
        <v>35402.85714</v>
      </c>
      <c r="Y68" s="57">
        <f t="shared" si="26"/>
        <v>35402.85714</v>
      </c>
      <c r="Z68" s="57">
        <f t="shared" si="26"/>
        <v>35402.85714</v>
      </c>
      <c r="AA68" s="57">
        <f t="shared" si="26"/>
        <v>35402.85714</v>
      </c>
      <c r="AB68" s="57">
        <f t="shared" si="26"/>
        <v>35402.85714</v>
      </c>
      <c r="AC68" s="57">
        <f t="shared" si="26"/>
        <v>35402.85714</v>
      </c>
      <c r="AD68" s="57">
        <f t="shared" si="26"/>
        <v>35402.85714</v>
      </c>
      <c r="AE68" s="57">
        <f t="shared" si="26"/>
        <v>35402.85714</v>
      </c>
      <c r="AF68" s="57">
        <f t="shared" si="26"/>
        <v>35402.85714</v>
      </c>
      <c r="AG68" s="57">
        <f t="shared" si="26"/>
        <v>35402.85714</v>
      </c>
      <c r="AH68" s="57">
        <f t="shared" si="26"/>
        <v>35402.85714</v>
      </c>
      <c r="AI68" s="122"/>
      <c r="AJ68" s="49"/>
      <c r="AK68" s="49"/>
      <c r="AL68" s="49"/>
      <c r="AM68" s="49"/>
      <c r="AN68" s="49"/>
      <c r="AO68" s="49"/>
    </row>
    <row r="69" ht="15.75" customHeight="1">
      <c r="A69" s="123" t="s">
        <v>114</v>
      </c>
      <c r="B69" s="89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5">
        <v>1.0</v>
      </c>
      <c r="T69" s="125">
        <v>1.0</v>
      </c>
      <c r="U69" s="126">
        <v>1.0</v>
      </c>
      <c r="V69" s="126">
        <v>1.0</v>
      </c>
      <c r="W69" s="126">
        <v>1.0</v>
      </c>
      <c r="X69" s="126">
        <v>1.0</v>
      </c>
      <c r="Y69" s="126"/>
      <c r="Z69" s="126">
        <v>0.9</v>
      </c>
      <c r="AA69" s="126"/>
      <c r="AB69" s="126">
        <v>0.8</v>
      </c>
      <c r="AC69" s="126"/>
      <c r="AD69" s="126">
        <v>0.8</v>
      </c>
      <c r="AE69" s="126"/>
      <c r="AF69" s="126">
        <v>0.8</v>
      </c>
      <c r="AG69" s="126"/>
      <c r="AH69" s="126">
        <v>0.8</v>
      </c>
      <c r="AI69" s="127"/>
      <c r="AJ69" s="128"/>
      <c r="AK69" s="128"/>
      <c r="AL69" s="128"/>
      <c r="AM69" s="128"/>
      <c r="AN69" s="128"/>
      <c r="AO69" s="128"/>
    </row>
    <row r="70" ht="15.75" customHeight="1">
      <c r="A70" s="129" t="s">
        <v>115</v>
      </c>
      <c r="B70" s="130"/>
      <c r="C70" s="131">
        <v>2.0</v>
      </c>
      <c r="D70" s="131">
        <v>2.0</v>
      </c>
      <c r="E70" s="131">
        <v>2.0</v>
      </c>
      <c r="F70" s="131">
        <v>2.0</v>
      </c>
      <c r="G70" s="131">
        <v>2.0</v>
      </c>
      <c r="H70" s="131">
        <v>3.0</v>
      </c>
      <c r="I70" s="131">
        <v>3.0</v>
      </c>
      <c r="J70" s="131">
        <v>3.0</v>
      </c>
      <c r="K70" s="131">
        <v>4.5</v>
      </c>
      <c r="L70" s="131">
        <v>3.5</v>
      </c>
      <c r="M70" s="131">
        <v>4.5</v>
      </c>
      <c r="N70" s="131">
        <v>3.4</v>
      </c>
      <c r="O70" s="131">
        <v>3.8</v>
      </c>
      <c r="P70" s="131">
        <v>3.4</v>
      </c>
      <c r="Q70" s="131">
        <v>3.8</v>
      </c>
      <c r="R70" s="131">
        <v>3.4</v>
      </c>
      <c r="S70" s="132">
        <v>10.0</v>
      </c>
      <c r="T70" s="132">
        <v>10.0</v>
      </c>
      <c r="U70" s="131">
        <v>5.0</v>
      </c>
      <c r="V70" s="131">
        <v>5.0</v>
      </c>
      <c r="W70" s="131">
        <f t="shared" ref="W70:W84" si="27">V70+1</f>
        <v>6</v>
      </c>
      <c r="X70" s="131">
        <f>5*X69</f>
        <v>5</v>
      </c>
      <c r="Y70" s="131">
        <f t="shared" ref="Y70:Y84" si="28">X70*1.3</f>
        <v>6.5</v>
      </c>
      <c r="Z70" s="131">
        <f>5*Z69</f>
        <v>4.5</v>
      </c>
      <c r="AA70" s="131">
        <f t="shared" ref="AA70:AA84" si="29">Z70*1.3</f>
        <v>5.85</v>
      </c>
      <c r="AB70" s="131">
        <f>5*AB69</f>
        <v>4</v>
      </c>
      <c r="AC70" s="131">
        <f t="shared" ref="AC70:AC84" si="30">AB70*1.3</f>
        <v>5.2</v>
      </c>
      <c r="AD70" s="131">
        <f>5*AD69</f>
        <v>4</v>
      </c>
      <c r="AE70" s="131">
        <f t="shared" ref="AE70:AE84" si="31">AD70*1.3</f>
        <v>5.2</v>
      </c>
      <c r="AF70" s="131">
        <f>5*AF69</f>
        <v>4</v>
      </c>
      <c r="AG70" s="131">
        <f t="shared" ref="AG70:AG84" si="32">AF70*1.3</f>
        <v>5.2</v>
      </c>
      <c r="AH70" s="131">
        <f>5*AH69</f>
        <v>4</v>
      </c>
      <c r="AI70" s="131"/>
      <c r="AJ70" s="128"/>
      <c r="AK70" s="128"/>
      <c r="AL70" s="128"/>
      <c r="AM70" s="128"/>
      <c r="AN70" s="128"/>
      <c r="AO70" s="128"/>
    </row>
    <row r="71" ht="15.75" customHeight="1">
      <c r="A71" s="129" t="s">
        <v>116</v>
      </c>
      <c r="B71" s="130"/>
      <c r="C71" s="133">
        <v>2.0</v>
      </c>
      <c r="D71" s="133">
        <v>2.0</v>
      </c>
      <c r="E71" s="133">
        <v>2.0</v>
      </c>
      <c r="F71" s="133">
        <v>2.0</v>
      </c>
      <c r="G71" s="133">
        <v>2.0</v>
      </c>
      <c r="H71" s="133">
        <v>3.0</v>
      </c>
      <c r="I71" s="133">
        <v>3.0</v>
      </c>
      <c r="J71" s="133">
        <v>3.0</v>
      </c>
      <c r="K71" s="133">
        <v>4.5</v>
      </c>
      <c r="L71" s="133">
        <v>3.5</v>
      </c>
      <c r="M71" s="133">
        <v>4.5</v>
      </c>
      <c r="N71" s="133">
        <v>3.4</v>
      </c>
      <c r="O71" s="133">
        <v>3.8</v>
      </c>
      <c r="P71" s="133">
        <v>3.4</v>
      </c>
      <c r="Q71" s="133">
        <v>3.8</v>
      </c>
      <c r="R71" s="133">
        <v>3.4</v>
      </c>
      <c r="S71" s="134">
        <v>3.0</v>
      </c>
      <c r="T71" s="134">
        <v>5.0</v>
      </c>
      <c r="U71" s="133">
        <v>4.0</v>
      </c>
      <c r="V71" s="133">
        <v>4.0</v>
      </c>
      <c r="W71" s="131">
        <f t="shared" si="27"/>
        <v>5</v>
      </c>
      <c r="X71" s="133">
        <f>4*X69</f>
        <v>4</v>
      </c>
      <c r="Y71" s="131">
        <f t="shared" si="28"/>
        <v>5.2</v>
      </c>
      <c r="Z71" s="133">
        <f>4*Z69</f>
        <v>3.6</v>
      </c>
      <c r="AA71" s="131">
        <f t="shared" si="29"/>
        <v>4.68</v>
      </c>
      <c r="AB71" s="133">
        <f>4*AB69</f>
        <v>3.2</v>
      </c>
      <c r="AC71" s="131">
        <f t="shared" si="30"/>
        <v>4.16</v>
      </c>
      <c r="AD71" s="133">
        <f>4*AD69</f>
        <v>3.2</v>
      </c>
      <c r="AE71" s="131">
        <f t="shared" si="31"/>
        <v>4.16</v>
      </c>
      <c r="AF71" s="133">
        <f>4*AF69</f>
        <v>3.2</v>
      </c>
      <c r="AG71" s="131">
        <f t="shared" si="32"/>
        <v>4.16</v>
      </c>
      <c r="AH71" s="133">
        <f>4*AH69</f>
        <v>3.2</v>
      </c>
      <c r="AI71" s="128"/>
      <c r="AJ71" s="128"/>
      <c r="AK71" s="128"/>
      <c r="AL71" s="128"/>
      <c r="AM71" s="128"/>
      <c r="AN71" s="128"/>
      <c r="AO71" s="128"/>
    </row>
    <row r="72" ht="15.75" customHeight="1">
      <c r="A72" s="129" t="s">
        <v>117</v>
      </c>
      <c r="B72" s="130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4">
        <v>11.0</v>
      </c>
      <c r="T72" s="134">
        <v>6.0</v>
      </c>
      <c r="U72" s="133">
        <v>4.0</v>
      </c>
      <c r="V72" s="133">
        <v>4.0</v>
      </c>
      <c r="W72" s="131">
        <f t="shared" si="27"/>
        <v>5</v>
      </c>
      <c r="X72" s="133">
        <f>4*X69</f>
        <v>4</v>
      </c>
      <c r="Y72" s="131">
        <f t="shared" si="28"/>
        <v>5.2</v>
      </c>
      <c r="Z72" s="133">
        <f>4*Z69</f>
        <v>3.6</v>
      </c>
      <c r="AA72" s="131">
        <f t="shared" si="29"/>
        <v>4.68</v>
      </c>
      <c r="AB72" s="133">
        <f>4*AB69</f>
        <v>3.2</v>
      </c>
      <c r="AC72" s="131">
        <f t="shared" si="30"/>
        <v>4.16</v>
      </c>
      <c r="AD72" s="133">
        <f>4*AD69</f>
        <v>3.2</v>
      </c>
      <c r="AE72" s="131">
        <f t="shared" si="31"/>
        <v>4.16</v>
      </c>
      <c r="AF72" s="133">
        <f>4*AF69</f>
        <v>3.2</v>
      </c>
      <c r="AG72" s="131">
        <f t="shared" si="32"/>
        <v>4.16</v>
      </c>
      <c r="AH72" s="133">
        <f>4*AH69</f>
        <v>3.2</v>
      </c>
      <c r="AI72" s="128"/>
      <c r="AJ72" s="128"/>
      <c r="AK72" s="128"/>
      <c r="AL72" s="128"/>
      <c r="AM72" s="128"/>
      <c r="AN72" s="128"/>
      <c r="AO72" s="128"/>
    </row>
    <row r="73" ht="15.75" customHeight="1">
      <c r="A73" s="129" t="s">
        <v>118</v>
      </c>
      <c r="B73" s="130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2">
        <v>10.0</v>
      </c>
      <c r="T73" s="132">
        <v>10.0</v>
      </c>
      <c r="U73" s="133">
        <v>5.0</v>
      </c>
      <c r="V73" s="133">
        <v>5.0</v>
      </c>
      <c r="W73" s="131">
        <f t="shared" si="27"/>
        <v>6</v>
      </c>
      <c r="X73" s="133">
        <f>5*X69</f>
        <v>5</v>
      </c>
      <c r="Y73" s="131">
        <f t="shared" si="28"/>
        <v>6.5</v>
      </c>
      <c r="Z73" s="133">
        <f>5*Z69</f>
        <v>4.5</v>
      </c>
      <c r="AA73" s="131">
        <f t="shared" si="29"/>
        <v>5.85</v>
      </c>
      <c r="AB73" s="133">
        <f>5*AB69</f>
        <v>4</v>
      </c>
      <c r="AC73" s="131">
        <f t="shared" si="30"/>
        <v>5.2</v>
      </c>
      <c r="AD73" s="133">
        <f>5*AD69</f>
        <v>4</v>
      </c>
      <c r="AE73" s="131">
        <f t="shared" si="31"/>
        <v>5.2</v>
      </c>
      <c r="AF73" s="133">
        <f>5*AF69</f>
        <v>4</v>
      </c>
      <c r="AG73" s="131">
        <f t="shared" si="32"/>
        <v>5.2</v>
      </c>
      <c r="AH73" s="133">
        <f>5*AH69</f>
        <v>4</v>
      </c>
      <c r="AI73" s="128"/>
      <c r="AJ73" s="128"/>
      <c r="AK73" s="128"/>
      <c r="AL73" s="128"/>
      <c r="AM73" s="128"/>
      <c r="AN73" s="128"/>
      <c r="AO73" s="128"/>
    </row>
    <row r="74" ht="15.75" customHeight="1">
      <c r="A74" s="135" t="s">
        <v>119</v>
      </c>
      <c r="B74" s="50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7">
        <v>10.0</v>
      </c>
      <c r="T74" s="137">
        <v>1.0</v>
      </c>
      <c r="U74" s="136">
        <v>4.0</v>
      </c>
      <c r="V74" s="136">
        <v>4.0</v>
      </c>
      <c r="W74" s="138">
        <f t="shared" si="27"/>
        <v>5</v>
      </c>
      <c r="X74" s="136">
        <f>4*X69</f>
        <v>4</v>
      </c>
      <c r="Y74" s="138">
        <f t="shared" si="28"/>
        <v>5.2</v>
      </c>
      <c r="Z74" s="136">
        <f>4*Z69</f>
        <v>3.6</v>
      </c>
      <c r="AA74" s="138">
        <f t="shared" si="29"/>
        <v>4.68</v>
      </c>
      <c r="AB74" s="136">
        <f>4*AB69</f>
        <v>3.2</v>
      </c>
      <c r="AC74" s="138">
        <f t="shared" si="30"/>
        <v>4.16</v>
      </c>
      <c r="AD74" s="136">
        <f>4*AD69</f>
        <v>3.2</v>
      </c>
      <c r="AE74" s="138">
        <f t="shared" si="31"/>
        <v>4.16</v>
      </c>
      <c r="AF74" s="136">
        <f>4*AF69</f>
        <v>3.2</v>
      </c>
      <c r="AG74" s="138">
        <f t="shared" si="32"/>
        <v>4.16</v>
      </c>
      <c r="AH74" s="136">
        <f>4*AH69</f>
        <v>3.2</v>
      </c>
      <c r="AI74" s="128"/>
      <c r="AJ74" s="128"/>
      <c r="AK74" s="128"/>
      <c r="AL74" s="128"/>
      <c r="AM74" s="128"/>
      <c r="AN74" s="128"/>
      <c r="AO74" s="128"/>
    </row>
    <row r="75" ht="15.75" customHeight="1">
      <c r="A75" s="139" t="s">
        <v>120</v>
      </c>
      <c r="B75" s="117"/>
      <c r="C75" s="140">
        <v>2.0</v>
      </c>
      <c r="D75" s="140">
        <v>2.0</v>
      </c>
      <c r="E75" s="140">
        <v>2.0</v>
      </c>
      <c r="F75" s="140">
        <v>2.0</v>
      </c>
      <c r="G75" s="140">
        <v>2.0</v>
      </c>
      <c r="H75" s="140">
        <v>3.0</v>
      </c>
      <c r="I75" s="140">
        <v>3.0</v>
      </c>
      <c r="J75" s="140">
        <v>3.0</v>
      </c>
      <c r="K75" s="140">
        <v>4.5</v>
      </c>
      <c r="L75" s="140">
        <v>3.5</v>
      </c>
      <c r="M75" s="140">
        <v>4.5</v>
      </c>
      <c r="N75" s="140">
        <v>3.4</v>
      </c>
      <c r="O75" s="140">
        <v>3.8</v>
      </c>
      <c r="P75" s="140">
        <v>3.4</v>
      </c>
      <c r="Q75" s="140">
        <v>3.8</v>
      </c>
      <c r="R75" s="140">
        <v>3.4</v>
      </c>
      <c r="S75" s="141">
        <v>2.0</v>
      </c>
      <c r="T75" s="141">
        <v>10.0</v>
      </c>
      <c r="U75" s="142">
        <v>5.0</v>
      </c>
      <c r="V75" s="142">
        <v>5.0</v>
      </c>
      <c r="W75" s="142">
        <f t="shared" si="27"/>
        <v>6</v>
      </c>
      <c r="X75" s="142">
        <f>5*X69</f>
        <v>5</v>
      </c>
      <c r="Y75" s="142">
        <f t="shared" si="28"/>
        <v>6.5</v>
      </c>
      <c r="Z75" s="142">
        <f>5*Z69</f>
        <v>4.5</v>
      </c>
      <c r="AA75" s="142">
        <f t="shared" si="29"/>
        <v>5.85</v>
      </c>
      <c r="AB75" s="142">
        <f>5*AB69</f>
        <v>4</v>
      </c>
      <c r="AC75" s="142">
        <f t="shared" si="30"/>
        <v>5.2</v>
      </c>
      <c r="AD75" s="142">
        <f>5*AD69</f>
        <v>4</v>
      </c>
      <c r="AE75" s="142">
        <f t="shared" si="31"/>
        <v>5.2</v>
      </c>
      <c r="AF75" s="142">
        <f>5*AF69</f>
        <v>4</v>
      </c>
      <c r="AG75" s="142">
        <f t="shared" si="32"/>
        <v>5.2</v>
      </c>
      <c r="AH75" s="142">
        <f>5*AH69</f>
        <v>4</v>
      </c>
      <c r="AI75" s="140"/>
      <c r="AJ75" s="143"/>
      <c r="AK75" s="143"/>
      <c r="AL75" s="143"/>
      <c r="AM75" s="143"/>
      <c r="AN75" s="143"/>
      <c r="AO75" s="143"/>
    </row>
    <row r="76" ht="15.75" customHeight="1">
      <c r="A76" s="129" t="s">
        <v>121</v>
      </c>
      <c r="B76" s="130"/>
      <c r="C76" s="133">
        <v>2.0</v>
      </c>
      <c r="D76" s="133">
        <v>2.0</v>
      </c>
      <c r="E76" s="133">
        <v>2.0</v>
      </c>
      <c r="F76" s="133">
        <v>2.0</v>
      </c>
      <c r="G76" s="133">
        <v>2.0</v>
      </c>
      <c r="H76" s="133">
        <v>3.0</v>
      </c>
      <c r="I76" s="133">
        <v>3.0</v>
      </c>
      <c r="J76" s="133">
        <v>3.0</v>
      </c>
      <c r="K76" s="133">
        <v>4.5</v>
      </c>
      <c r="L76" s="133">
        <v>3.5</v>
      </c>
      <c r="M76" s="133">
        <v>4.5</v>
      </c>
      <c r="N76" s="133">
        <v>3.4</v>
      </c>
      <c r="O76" s="133">
        <v>3.8</v>
      </c>
      <c r="P76" s="133">
        <v>3.4</v>
      </c>
      <c r="Q76" s="133">
        <v>3.8</v>
      </c>
      <c r="R76" s="133">
        <v>3.4</v>
      </c>
      <c r="S76" s="134">
        <v>5.0</v>
      </c>
      <c r="T76" s="134">
        <v>4.5</v>
      </c>
      <c r="U76" s="133">
        <v>4.0</v>
      </c>
      <c r="V76" s="133">
        <v>4.0</v>
      </c>
      <c r="W76" s="131">
        <f t="shared" si="27"/>
        <v>5</v>
      </c>
      <c r="X76" s="133">
        <f>4*X69</f>
        <v>4</v>
      </c>
      <c r="Y76" s="131">
        <f t="shared" si="28"/>
        <v>5.2</v>
      </c>
      <c r="Z76" s="133">
        <f>4*Z69</f>
        <v>3.6</v>
      </c>
      <c r="AA76" s="131">
        <f t="shared" si="29"/>
        <v>4.68</v>
      </c>
      <c r="AB76" s="133">
        <f>4*AB69</f>
        <v>3.2</v>
      </c>
      <c r="AC76" s="131">
        <f t="shared" si="30"/>
        <v>4.16</v>
      </c>
      <c r="AD76" s="133">
        <f>4*AD69</f>
        <v>3.2</v>
      </c>
      <c r="AE76" s="131">
        <f t="shared" si="31"/>
        <v>4.16</v>
      </c>
      <c r="AF76" s="133">
        <f>4*AF69</f>
        <v>3.2</v>
      </c>
      <c r="AG76" s="131">
        <f t="shared" si="32"/>
        <v>4.16</v>
      </c>
      <c r="AH76" s="133">
        <f>4*AH69</f>
        <v>3.2</v>
      </c>
      <c r="AI76" s="128"/>
      <c r="AJ76" s="128"/>
      <c r="AK76" s="128"/>
      <c r="AL76" s="128"/>
      <c r="AM76" s="128"/>
      <c r="AN76" s="128"/>
      <c r="AO76" s="128"/>
    </row>
    <row r="77" ht="15.75" customHeight="1">
      <c r="A77" s="129" t="s">
        <v>122</v>
      </c>
      <c r="B77" s="130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4">
        <v>6.0</v>
      </c>
      <c r="T77" s="134">
        <v>3.0</v>
      </c>
      <c r="U77" s="133">
        <v>4.0</v>
      </c>
      <c r="V77" s="133">
        <v>4.0</v>
      </c>
      <c r="W77" s="131">
        <f t="shared" si="27"/>
        <v>5</v>
      </c>
      <c r="X77" s="133">
        <f>4*X69</f>
        <v>4</v>
      </c>
      <c r="Y77" s="131">
        <f t="shared" si="28"/>
        <v>5.2</v>
      </c>
      <c r="Z77" s="133">
        <f>4*Z69</f>
        <v>3.6</v>
      </c>
      <c r="AA77" s="131">
        <f t="shared" si="29"/>
        <v>4.68</v>
      </c>
      <c r="AB77" s="133">
        <f>4*AB69</f>
        <v>3.2</v>
      </c>
      <c r="AC77" s="131">
        <f t="shared" si="30"/>
        <v>4.16</v>
      </c>
      <c r="AD77" s="133">
        <f>4*AD69</f>
        <v>3.2</v>
      </c>
      <c r="AE77" s="131">
        <f t="shared" si="31"/>
        <v>4.16</v>
      </c>
      <c r="AF77" s="133">
        <f>4*AF69</f>
        <v>3.2</v>
      </c>
      <c r="AG77" s="131">
        <f t="shared" si="32"/>
        <v>4.16</v>
      </c>
      <c r="AH77" s="133">
        <f>4*AH69</f>
        <v>3.2</v>
      </c>
      <c r="AI77" s="128"/>
      <c r="AJ77" s="128"/>
      <c r="AK77" s="128"/>
      <c r="AL77" s="128"/>
      <c r="AM77" s="128"/>
      <c r="AN77" s="128"/>
      <c r="AO77" s="128"/>
    </row>
    <row r="78" ht="15.75" customHeight="1">
      <c r="A78" s="129" t="s">
        <v>123</v>
      </c>
      <c r="B78" s="130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2">
        <v>10.0</v>
      </c>
      <c r="T78" s="132">
        <v>10.0</v>
      </c>
      <c r="U78" s="133">
        <v>5.0</v>
      </c>
      <c r="V78" s="133">
        <v>5.0</v>
      </c>
      <c r="W78" s="131">
        <f t="shared" si="27"/>
        <v>6</v>
      </c>
      <c r="X78" s="133">
        <f>5*X69</f>
        <v>5</v>
      </c>
      <c r="Y78" s="131">
        <f t="shared" si="28"/>
        <v>6.5</v>
      </c>
      <c r="Z78" s="133">
        <f>5*Z69</f>
        <v>4.5</v>
      </c>
      <c r="AA78" s="131">
        <f t="shared" si="29"/>
        <v>5.85</v>
      </c>
      <c r="AB78" s="133">
        <f>5*AB69</f>
        <v>4</v>
      </c>
      <c r="AC78" s="131">
        <f t="shared" si="30"/>
        <v>5.2</v>
      </c>
      <c r="AD78" s="133">
        <f>5*AD69</f>
        <v>4</v>
      </c>
      <c r="AE78" s="131">
        <f t="shared" si="31"/>
        <v>5.2</v>
      </c>
      <c r="AF78" s="133">
        <f>5*AF69</f>
        <v>4</v>
      </c>
      <c r="AG78" s="131">
        <f t="shared" si="32"/>
        <v>5.2</v>
      </c>
      <c r="AH78" s="133">
        <f>5*AH69</f>
        <v>4</v>
      </c>
      <c r="AI78" s="128"/>
      <c r="AJ78" s="128"/>
      <c r="AK78" s="128"/>
      <c r="AL78" s="128"/>
      <c r="AM78" s="128"/>
      <c r="AN78" s="128"/>
      <c r="AO78" s="128"/>
    </row>
    <row r="79" ht="15.75" customHeight="1">
      <c r="A79" s="144" t="s">
        <v>124</v>
      </c>
      <c r="B79" s="89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6">
        <v>3.0</v>
      </c>
      <c r="T79" s="146">
        <v>3.0</v>
      </c>
      <c r="U79" s="145">
        <v>4.0</v>
      </c>
      <c r="V79" s="145">
        <v>4.0</v>
      </c>
      <c r="W79" s="124">
        <f t="shared" si="27"/>
        <v>5</v>
      </c>
      <c r="X79" s="145">
        <f>4*X69</f>
        <v>4</v>
      </c>
      <c r="Y79" s="124">
        <f t="shared" si="28"/>
        <v>5.2</v>
      </c>
      <c r="Z79" s="145">
        <f>4*Z69</f>
        <v>3.6</v>
      </c>
      <c r="AA79" s="124">
        <f t="shared" si="29"/>
        <v>4.68</v>
      </c>
      <c r="AB79" s="145">
        <f>4*AB69</f>
        <v>3.2</v>
      </c>
      <c r="AC79" s="124">
        <f t="shared" si="30"/>
        <v>4.16</v>
      </c>
      <c r="AD79" s="145">
        <f>4*AD69</f>
        <v>3.2</v>
      </c>
      <c r="AE79" s="124">
        <f t="shared" si="31"/>
        <v>4.16</v>
      </c>
      <c r="AF79" s="145">
        <f>4*AF69</f>
        <v>3.2</v>
      </c>
      <c r="AG79" s="124">
        <f t="shared" si="32"/>
        <v>4.16</v>
      </c>
      <c r="AH79" s="145">
        <f>4*AH69</f>
        <v>3.2</v>
      </c>
      <c r="AI79" s="127"/>
      <c r="AJ79" s="128"/>
      <c r="AK79" s="128"/>
      <c r="AL79" s="128"/>
      <c r="AM79" s="128"/>
      <c r="AN79" s="128"/>
      <c r="AO79" s="128"/>
    </row>
    <row r="80" ht="15.75" customHeight="1">
      <c r="A80" s="129" t="s">
        <v>125</v>
      </c>
      <c r="B80" s="130"/>
      <c r="C80" s="131">
        <v>2.0</v>
      </c>
      <c r="D80" s="131">
        <v>2.0</v>
      </c>
      <c r="E80" s="131">
        <v>2.0</v>
      </c>
      <c r="F80" s="131">
        <v>2.0</v>
      </c>
      <c r="G80" s="131">
        <v>2.0</v>
      </c>
      <c r="H80" s="131">
        <v>3.0</v>
      </c>
      <c r="I80" s="131">
        <v>3.0</v>
      </c>
      <c r="J80" s="131">
        <v>3.0</v>
      </c>
      <c r="K80" s="131">
        <v>4.5</v>
      </c>
      <c r="L80" s="131">
        <v>3.5</v>
      </c>
      <c r="M80" s="131">
        <v>4.5</v>
      </c>
      <c r="N80" s="131">
        <v>3.4</v>
      </c>
      <c r="O80" s="131">
        <v>3.8</v>
      </c>
      <c r="P80" s="131">
        <v>3.4</v>
      </c>
      <c r="Q80" s="131">
        <v>3.8</v>
      </c>
      <c r="R80" s="131">
        <v>3.4</v>
      </c>
      <c r="S80" s="132">
        <v>10.0</v>
      </c>
      <c r="T80" s="132">
        <v>10.0</v>
      </c>
      <c r="U80" s="131">
        <v>5.0</v>
      </c>
      <c r="V80" s="131">
        <v>5.0</v>
      </c>
      <c r="W80" s="131">
        <f t="shared" si="27"/>
        <v>6</v>
      </c>
      <c r="X80" s="131">
        <f>5*X69</f>
        <v>5</v>
      </c>
      <c r="Y80" s="131">
        <f t="shared" si="28"/>
        <v>6.5</v>
      </c>
      <c r="Z80" s="131">
        <f>5*Z69</f>
        <v>4.5</v>
      </c>
      <c r="AA80" s="131">
        <f t="shared" si="29"/>
        <v>5.85</v>
      </c>
      <c r="AB80" s="131">
        <f>5*AB69</f>
        <v>4</v>
      </c>
      <c r="AC80" s="131">
        <f t="shared" si="30"/>
        <v>5.2</v>
      </c>
      <c r="AD80" s="131">
        <f>5*AD69</f>
        <v>4</v>
      </c>
      <c r="AE80" s="131">
        <f t="shared" si="31"/>
        <v>5.2</v>
      </c>
      <c r="AF80" s="131">
        <f>5*AF69</f>
        <v>4</v>
      </c>
      <c r="AG80" s="131">
        <f t="shared" si="32"/>
        <v>5.2</v>
      </c>
      <c r="AH80" s="131">
        <f>5*AH69</f>
        <v>4</v>
      </c>
      <c r="AI80" s="131"/>
      <c r="AJ80" s="128"/>
      <c r="AK80" s="128"/>
      <c r="AL80" s="128"/>
      <c r="AM80" s="128"/>
      <c r="AN80" s="128"/>
      <c r="AO80" s="128"/>
    </row>
    <row r="81" ht="15.75" customHeight="1">
      <c r="A81" s="129" t="s">
        <v>126</v>
      </c>
      <c r="B81" s="130"/>
      <c r="C81" s="133">
        <v>2.0</v>
      </c>
      <c r="D81" s="133">
        <v>2.0</v>
      </c>
      <c r="E81" s="133">
        <v>2.0</v>
      </c>
      <c r="F81" s="133">
        <v>2.0</v>
      </c>
      <c r="G81" s="133">
        <v>2.0</v>
      </c>
      <c r="H81" s="133">
        <v>3.0</v>
      </c>
      <c r="I81" s="133">
        <v>3.0</v>
      </c>
      <c r="J81" s="133">
        <v>3.0</v>
      </c>
      <c r="K81" s="133">
        <v>4.5</v>
      </c>
      <c r="L81" s="133">
        <v>3.5</v>
      </c>
      <c r="M81" s="133">
        <v>4.5</v>
      </c>
      <c r="N81" s="133">
        <v>3.4</v>
      </c>
      <c r="O81" s="133">
        <v>3.8</v>
      </c>
      <c r="P81" s="133">
        <v>3.4</v>
      </c>
      <c r="Q81" s="133">
        <v>3.8</v>
      </c>
      <c r="R81" s="133">
        <v>3.4</v>
      </c>
      <c r="S81" s="134">
        <v>1.8</v>
      </c>
      <c r="T81" s="134">
        <v>2.5</v>
      </c>
      <c r="U81" s="133">
        <f>average(S81:T81)</f>
        <v>2.15</v>
      </c>
      <c r="V81" s="133">
        <f>average(S81:T81)</f>
        <v>2.15</v>
      </c>
      <c r="W81" s="131">
        <f t="shared" si="27"/>
        <v>3.15</v>
      </c>
      <c r="X81" s="133">
        <f>3*X69</f>
        <v>3</v>
      </c>
      <c r="Y81" s="131">
        <f t="shared" si="28"/>
        <v>3.9</v>
      </c>
      <c r="Z81" s="133">
        <f>3*Z69</f>
        <v>2.7</v>
      </c>
      <c r="AA81" s="131">
        <f t="shared" si="29"/>
        <v>3.51</v>
      </c>
      <c r="AB81" s="133">
        <f>3*AB69</f>
        <v>2.4</v>
      </c>
      <c r="AC81" s="131">
        <f t="shared" si="30"/>
        <v>3.12</v>
      </c>
      <c r="AD81" s="133">
        <f>3*AD69</f>
        <v>2.4</v>
      </c>
      <c r="AE81" s="131">
        <f t="shared" si="31"/>
        <v>3.12</v>
      </c>
      <c r="AF81" s="133">
        <f>3*AF69</f>
        <v>2.4</v>
      </c>
      <c r="AG81" s="131">
        <f t="shared" si="32"/>
        <v>3.12</v>
      </c>
      <c r="AH81" s="133">
        <f>3*AH69</f>
        <v>2.4</v>
      </c>
      <c r="AI81" s="128"/>
      <c r="AJ81" s="128"/>
      <c r="AK81" s="128"/>
      <c r="AL81" s="128"/>
      <c r="AM81" s="128"/>
      <c r="AN81" s="128"/>
      <c r="AO81" s="128"/>
    </row>
    <row r="82" ht="15.75" customHeight="1">
      <c r="A82" s="135" t="s">
        <v>127</v>
      </c>
      <c r="B82" s="50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7">
        <v>1.66</v>
      </c>
      <c r="T82" s="137">
        <v>4.66</v>
      </c>
      <c r="U82" s="136">
        <v>3.0</v>
      </c>
      <c r="V82" s="136">
        <v>3.0</v>
      </c>
      <c r="W82" s="131">
        <f t="shared" si="27"/>
        <v>4</v>
      </c>
      <c r="X82" s="136">
        <f>3*X69</f>
        <v>3</v>
      </c>
      <c r="Y82" s="131">
        <f t="shared" si="28"/>
        <v>3.9</v>
      </c>
      <c r="Z82" s="136">
        <f>3*Z69</f>
        <v>2.7</v>
      </c>
      <c r="AA82" s="131">
        <f t="shared" si="29"/>
        <v>3.51</v>
      </c>
      <c r="AB82" s="136">
        <f>3*AB69</f>
        <v>2.4</v>
      </c>
      <c r="AC82" s="131">
        <f t="shared" si="30"/>
        <v>3.12</v>
      </c>
      <c r="AD82" s="136">
        <f>3*AD69</f>
        <v>2.4</v>
      </c>
      <c r="AE82" s="131">
        <f t="shared" si="31"/>
        <v>3.12</v>
      </c>
      <c r="AF82" s="136">
        <f>3*AF69</f>
        <v>2.4</v>
      </c>
      <c r="AG82" s="131">
        <f t="shared" si="32"/>
        <v>3.12</v>
      </c>
      <c r="AH82" s="136">
        <f>3*AH69</f>
        <v>2.4</v>
      </c>
      <c r="AI82" s="128"/>
      <c r="AJ82" s="128"/>
      <c r="AK82" s="128"/>
      <c r="AL82" s="128"/>
      <c r="AM82" s="128"/>
      <c r="AN82" s="128"/>
      <c r="AO82" s="128"/>
    </row>
    <row r="83" ht="15.75" customHeight="1">
      <c r="A83" s="147" t="s">
        <v>128</v>
      </c>
      <c r="B83" s="11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48"/>
      <c r="S83" s="134">
        <v>10.0</v>
      </c>
      <c r="T83" s="134">
        <v>10.0</v>
      </c>
      <c r="U83" s="149">
        <v>5.0</v>
      </c>
      <c r="V83" s="149">
        <v>5.0</v>
      </c>
      <c r="W83" s="131">
        <f t="shared" si="27"/>
        <v>6</v>
      </c>
      <c r="X83" s="149">
        <f>5*X69</f>
        <v>5</v>
      </c>
      <c r="Y83" s="131">
        <f t="shared" si="28"/>
        <v>6.5</v>
      </c>
      <c r="Z83" s="149">
        <f>5*Z69</f>
        <v>4.5</v>
      </c>
      <c r="AA83" s="131">
        <f t="shared" si="29"/>
        <v>5.85</v>
      </c>
      <c r="AB83" s="149">
        <f>5*AB69</f>
        <v>4</v>
      </c>
      <c r="AC83" s="131">
        <f t="shared" si="30"/>
        <v>5.2</v>
      </c>
      <c r="AD83" s="149">
        <f>5*AD69</f>
        <v>4</v>
      </c>
      <c r="AE83" s="131">
        <f t="shared" si="31"/>
        <v>5.2</v>
      </c>
      <c r="AF83" s="149">
        <f>5*AF69</f>
        <v>4</v>
      </c>
      <c r="AG83" s="131">
        <f t="shared" si="32"/>
        <v>5.2</v>
      </c>
      <c r="AH83" s="149">
        <f>5*AH69</f>
        <v>4</v>
      </c>
      <c r="AI83" s="133"/>
      <c r="AJ83" s="128"/>
      <c r="AK83" s="128"/>
      <c r="AL83" s="128"/>
      <c r="AM83" s="128"/>
      <c r="AN83" s="128"/>
      <c r="AO83" s="128"/>
    </row>
    <row r="84" ht="15.75" customHeight="1">
      <c r="A84" s="135" t="s">
        <v>129</v>
      </c>
      <c r="B84" s="50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50">
        <v>5.0</v>
      </c>
      <c r="T84" s="150">
        <v>3.0</v>
      </c>
      <c r="U84" s="138">
        <v>3.0</v>
      </c>
      <c r="V84" s="138">
        <v>3.0</v>
      </c>
      <c r="W84" s="138">
        <f t="shared" si="27"/>
        <v>4</v>
      </c>
      <c r="X84" s="138">
        <f>3*X69</f>
        <v>3</v>
      </c>
      <c r="Y84" s="138">
        <f t="shared" si="28"/>
        <v>3.9</v>
      </c>
      <c r="Z84" s="138">
        <f>3*Z69</f>
        <v>2.7</v>
      </c>
      <c r="AA84" s="138">
        <f t="shared" si="29"/>
        <v>3.51</v>
      </c>
      <c r="AB84" s="138">
        <f>3*AB69</f>
        <v>2.4</v>
      </c>
      <c r="AC84" s="138">
        <f t="shared" si="30"/>
        <v>3.12</v>
      </c>
      <c r="AD84" s="138">
        <f>3*AD69</f>
        <v>2.4</v>
      </c>
      <c r="AE84" s="138">
        <f t="shared" si="31"/>
        <v>3.12</v>
      </c>
      <c r="AF84" s="138">
        <f>3*AF69</f>
        <v>2.4</v>
      </c>
      <c r="AG84" s="138">
        <f t="shared" si="32"/>
        <v>3.12</v>
      </c>
      <c r="AH84" s="138">
        <f>3*AH69</f>
        <v>2.4</v>
      </c>
      <c r="AI84" s="128"/>
      <c r="AJ84" s="128"/>
      <c r="AK84" s="128"/>
      <c r="AL84" s="128"/>
      <c r="AM84" s="128"/>
      <c r="AN84" s="128"/>
      <c r="AO84" s="128"/>
    </row>
    <row r="85" ht="15.75" customHeight="1">
      <c r="A85" s="151" t="s">
        <v>130</v>
      </c>
      <c r="B85" s="117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>
        <v>1.5</v>
      </c>
      <c r="T85" s="142">
        <v>2.5</v>
      </c>
      <c r="U85" s="142">
        <f t="shared" ref="U85:AH85" si="33">Max(T85*0.995,2)</f>
        <v>2.4875</v>
      </c>
      <c r="V85" s="142">
        <f t="shared" si="33"/>
        <v>2.4750625</v>
      </c>
      <c r="W85" s="142">
        <f t="shared" si="33"/>
        <v>2.462687188</v>
      </c>
      <c r="X85" s="142">
        <f t="shared" si="33"/>
        <v>2.450373752</v>
      </c>
      <c r="Y85" s="142">
        <f t="shared" si="33"/>
        <v>2.438121883</v>
      </c>
      <c r="Z85" s="142">
        <f t="shared" si="33"/>
        <v>2.425931273</v>
      </c>
      <c r="AA85" s="142">
        <f t="shared" si="33"/>
        <v>2.413801617</v>
      </c>
      <c r="AB85" s="142">
        <f t="shared" si="33"/>
        <v>2.401732609</v>
      </c>
      <c r="AC85" s="142">
        <f t="shared" si="33"/>
        <v>2.389723946</v>
      </c>
      <c r="AD85" s="142">
        <f t="shared" si="33"/>
        <v>2.377775326</v>
      </c>
      <c r="AE85" s="142">
        <f t="shared" si="33"/>
        <v>2.36588645</v>
      </c>
      <c r="AF85" s="142">
        <f t="shared" si="33"/>
        <v>2.354057017</v>
      </c>
      <c r="AG85" s="142">
        <f t="shared" si="33"/>
        <v>2.342286732</v>
      </c>
      <c r="AH85" s="142">
        <f t="shared" si="33"/>
        <v>2.330575299</v>
      </c>
      <c r="AI85" s="142"/>
      <c r="AJ85" s="128"/>
      <c r="AK85" s="128"/>
      <c r="AL85" s="128"/>
      <c r="AM85" s="128"/>
      <c r="AN85" s="128"/>
      <c r="AO85" s="128"/>
    </row>
    <row r="86" ht="15.75" customHeight="1">
      <c r="A86" s="152" t="s">
        <v>131</v>
      </c>
      <c r="B86" s="11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>
        <v>1.5</v>
      </c>
      <c r="T86" s="133">
        <v>1.5</v>
      </c>
      <c r="U86" s="133">
        <v>1.5</v>
      </c>
      <c r="V86" s="133">
        <v>1.5</v>
      </c>
      <c r="W86" s="133">
        <v>1.5</v>
      </c>
      <c r="X86" s="133">
        <v>1.5</v>
      </c>
      <c r="Y86" s="133">
        <v>1.5</v>
      </c>
      <c r="Z86" s="133">
        <v>1.5</v>
      </c>
      <c r="AA86" s="133">
        <v>1.5</v>
      </c>
      <c r="AB86" s="133">
        <v>1.5</v>
      </c>
      <c r="AC86" s="133">
        <v>1.5</v>
      </c>
      <c r="AD86" s="133">
        <v>1.5</v>
      </c>
      <c r="AE86" s="133">
        <v>1.5</v>
      </c>
      <c r="AF86" s="133">
        <v>1.5</v>
      </c>
      <c r="AG86" s="133">
        <v>1.5</v>
      </c>
      <c r="AH86" s="133">
        <v>1.5</v>
      </c>
      <c r="AI86" s="133"/>
      <c r="AJ86" s="128"/>
      <c r="AK86" s="128"/>
      <c r="AL86" s="128"/>
      <c r="AM86" s="128"/>
      <c r="AN86" s="128"/>
      <c r="AO86" s="128"/>
    </row>
    <row r="87" ht="15.75" customHeight="1">
      <c r="A87" s="153" t="s">
        <v>132</v>
      </c>
      <c r="B87" s="89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>
        <v>1.5</v>
      </c>
      <c r="T87" s="145">
        <v>1.5</v>
      </c>
      <c r="U87" s="145">
        <v>1.5</v>
      </c>
      <c r="V87" s="145">
        <v>1.5</v>
      </c>
      <c r="W87" s="145">
        <v>1.5</v>
      </c>
      <c r="X87" s="145">
        <v>1.5</v>
      </c>
      <c r="Y87" s="145">
        <v>1.5</v>
      </c>
      <c r="Z87" s="145">
        <v>1.5</v>
      </c>
      <c r="AA87" s="145">
        <v>1.5</v>
      </c>
      <c r="AB87" s="145">
        <v>1.5</v>
      </c>
      <c r="AC87" s="145">
        <v>1.5</v>
      </c>
      <c r="AD87" s="145">
        <v>1.5</v>
      </c>
      <c r="AE87" s="145">
        <v>1.5</v>
      </c>
      <c r="AF87" s="145">
        <v>1.5</v>
      </c>
      <c r="AG87" s="145">
        <v>1.5</v>
      </c>
      <c r="AH87" s="145">
        <v>1.5</v>
      </c>
      <c r="AI87" s="127"/>
      <c r="AJ87" s="128"/>
      <c r="AK87" s="128"/>
      <c r="AL87" s="128"/>
      <c r="AM87" s="128"/>
      <c r="AN87" s="128"/>
      <c r="AO87" s="128"/>
    </row>
    <row r="88" ht="15.75" customHeight="1">
      <c r="A88" s="129" t="s">
        <v>133</v>
      </c>
      <c r="B88" s="130"/>
      <c r="C88" s="154"/>
      <c r="D88" s="154"/>
      <c r="E88" s="154"/>
      <c r="F88" s="154"/>
      <c r="G88" s="154"/>
      <c r="H88" s="154"/>
      <c r="I88" s="154"/>
      <c r="J88" s="154"/>
      <c r="K88" s="59"/>
      <c r="L88" s="59"/>
      <c r="M88" s="59"/>
      <c r="N88" s="59"/>
      <c r="O88" s="59"/>
      <c r="P88" s="59"/>
      <c r="Q88" s="59"/>
      <c r="R88" s="155">
        <f>R43*R63/R70</f>
        <v>528649.6636</v>
      </c>
      <c r="S88" s="155">
        <f t="shared" ref="S88:AH88" si="34">S38*S$63/S70</f>
        <v>9537.387949</v>
      </c>
      <c r="T88" s="155">
        <f t="shared" si="34"/>
        <v>42727.40767</v>
      </c>
      <c r="U88" s="155">
        <f t="shared" si="34"/>
        <v>39796.49412</v>
      </c>
      <c r="V88" s="155">
        <f t="shared" si="34"/>
        <v>25866.78088</v>
      </c>
      <c r="W88" s="155">
        <f t="shared" si="34"/>
        <v>11447.21275</v>
      </c>
      <c r="X88" s="155">
        <f t="shared" si="34"/>
        <v>6843.075</v>
      </c>
      <c r="Y88" s="155">
        <f t="shared" si="34"/>
        <v>2495.676923</v>
      </c>
      <c r="Z88" s="155">
        <f t="shared" si="34"/>
        <v>995.5166667</v>
      </c>
      <c r="AA88" s="155">
        <f t="shared" si="34"/>
        <v>77.25641026</v>
      </c>
      <c r="AB88" s="155">
        <f t="shared" si="34"/>
        <v>7.7625</v>
      </c>
      <c r="AC88" s="155">
        <f t="shared" si="34"/>
        <v>0</v>
      </c>
      <c r="AD88" s="155">
        <f t="shared" si="34"/>
        <v>0</v>
      </c>
      <c r="AE88" s="155">
        <f t="shared" si="34"/>
        <v>0</v>
      </c>
      <c r="AF88" s="155">
        <f t="shared" si="34"/>
        <v>0</v>
      </c>
      <c r="AG88" s="155">
        <f t="shared" si="34"/>
        <v>0</v>
      </c>
      <c r="AH88" s="155">
        <f t="shared" si="34"/>
        <v>0</v>
      </c>
      <c r="AI88" s="156"/>
      <c r="AJ88" s="156"/>
      <c r="AK88" s="156"/>
      <c r="AL88" s="156"/>
      <c r="AM88" s="156"/>
      <c r="AN88" s="156"/>
      <c r="AO88" s="156"/>
    </row>
    <row r="89" ht="15.75" customHeight="1">
      <c r="A89" s="129" t="s">
        <v>134</v>
      </c>
      <c r="B89" s="130"/>
      <c r="C89" s="154"/>
      <c r="D89" s="154"/>
      <c r="E89" s="154"/>
      <c r="F89" s="154"/>
      <c r="G89" s="154"/>
      <c r="H89" s="154"/>
      <c r="I89" s="154"/>
      <c r="J89" s="154"/>
      <c r="K89" s="59"/>
      <c r="L89" s="59"/>
      <c r="M89" s="59"/>
      <c r="N89" s="59"/>
      <c r="O89" s="59"/>
      <c r="P89" s="59"/>
      <c r="Q89" s="59"/>
      <c r="R89" s="155"/>
      <c r="S89" s="157">
        <f t="shared" ref="S89:AH89" si="35">S39*S$63/S71</f>
        <v>125075.1073</v>
      </c>
      <c r="T89" s="157">
        <f t="shared" si="35"/>
        <v>330128.829</v>
      </c>
      <c r="U89" s="157">
        <f t="shared" si="35"/>
        <v>247646.2314</v>
      </c>
      <c r="V89" s="157">
        <f t="shared" si="35"/>
        <v>280678.6761</v>
      </c>
      <c r="W89" s="157">
        <f t="shared" si="35"/>
        <v>264169.9242</v>
      </c>
      <c r="X89" s="157">
        <f t="shared" si="35"/>
        <v>377284.0468</v>
      </c>
      <c r="Y89" s="157">
        <f t="shared" si="35"/>
        <v>322755.5858</v>
      </c>
      <c r="Z89" s="157">
        <f t="shared" si="35"/>
        <v>504839.6749</v>
      </c>
      <c r="AA89" s="157">
        <f t="shared" si="35"/>
        <v>418971.3365</v>
      </c>
      <c r="AB89" s="157">
        <f t="shared" si="35"/>
        <v>643143.5121</v>
      </c>
      <c r="AC89" s="157">
        <f t="shared" si="35"/>
        <v>507584.3779</v>
      </c>
      <c r="AD89" s="157">
        <f t="shared" si="35"/>
        <v>667981.6529</v>
      </c>
      <c r="AE89" s="157">
        <f t="shared" si="35"/>
        <v>516633.4253</v>
      </c>
      <c r="AF89" s="157">
        <f t="shared" si="35"/>
        <v>673389.5438</v>
      </c>
      <c r="AG89" s="157">
        <f t="shared" si="35"/>
        <v>518123.0111</v>
      </c>
      <c r="AH89" s="157">
        <f t="shared" si="35"/>
        <v>673566.518</v>
      </c>
      <c r="AI89" s="156"/>
      <c r="AJ89" s="156"/>
      <c r="AK89" s="156"/>
      <c r="AL89" s="156"/>
      <c r="AM89" s="156"/>
      <c r="AN89" s="156"/>
      <c r="AO89" s="156"/>
    </row>
    <row r="90" ht="15.75" customHeight="1">
      <c r="A90" s="129" t="s">
        <v>135</v>
      </c>
      <c r="B90" s="130"/>
      <c r="C90" s="154"/>
      <c r="D90" s="154"/>
      <c r="E90" s="154"/>
      <c r="F90" s="154"/>
      <c r="G90" s="154"/>
      <c r="H90" s="154"/>
      <c r="I90" s="154"/>
      <c r="J90" s="154"/>
      <c r="K90" s="59"/>
      <c r="L90" s="59"/>
      <c r="M90" s="59"/>
      <c r="N90" s="59"/>
      <c r="O90" s="59"/>
      <c r="P90" s="59"/>
      <c r="Q90" s="59"/>
      <c r="R90" s="155"/>
      <c r="S90" s="157">
        <f t="shared" ref="S90:AH90" si="36">S40*S$63/S72</f>
        <v>62044.79796</v>
      </c>
      <c r="T90" s="157">
        <f t="shared" si="36"/>
        <v>427323.9776</v>
      </c>
      <c r="U90" s="157" t="str">
        <f t="shared" si="36"/>
        <v>#REF!</v>
      </c>
      <c r="V90" s="157" t="str">
        <f t="shared" si="36"/>
        <v>#REF!</v>
      </c>
      <c r="W90" s="157" t="str">
        <f t="shared" si="36"/>
        <v>#REF!</v>
      </c>
      <c r="X90" s="157" t="str">
        <f t="shared" si="36"/>
        <v>#REF!</v>
      </c>
      <c r="Y90" s="157" t="str">
        <f t="shared" si="36"/>
        <v>#REF!</v>
      </c>
      <c r="Z90" s="157" t="str">
        <f t="shared" si="36"/>
        <v>#REF!</v>
      </c>
      <c r="AA90" s="157" t="str">
        <f t="shared" si="36"/>
        <v>#REF!</v>
      </c>
      <c r="AB90" s="157" t="str">
        <f t="shared" si="36"/>
        <v>#REF!</v>
      </c>
      <c r="AC90" s="157" t="str">
        <f t="shared" si="36"/>
        <v>#REF!</v>
      </c>
      <c r="AD90" s="157" t="str">
        <f t="shared" si="36"/>
        <v>#REF!</v>
      </c>
      <c r="AE90" s="157" t="str">
        <f t="shared" si="36"/>
        <v>#REF!</v>
      </c>
      <c r="AF90" s="157" t="str">
        <f t="shared" si="36"/>
        <v>#REF!</v>
      </c>
      <c r="AG90" s="157" t="str">
        <f t="shared" si="36"/>
        <v>#REF!</v>
      </c>
      <c r="AH90" s="157" t="str">
        <f t="shared" si="36"/>
        <v>#REF!</v>
      </c>
      <c r="AI90" s="156"/>
      <c r="AJ90" s="156"/>
      <c r="AK90" s="156"/>
      <c r="AL90" s="156"/>
      <c r="AM90" s="156"/>
      <c r="AN90" s="156"/>
      <c r="AO90" s="156"/>
    </row>
    <row r="91" ht="15.75" customHeight="1">
      <c r="A91" s="129" t="s">
        <v>136</v>
      </c>
      <c r="B91" s="130"/>
      <c r="C91" s="154"/>
      <c r="D91" s="154"/>
      <c r="E91" s="154"/>
      <c r="F91" s="154"/>
      <c r="G91" s="154"/>
      <c r="H91" s="154"/>
      <c r="I91" s="154"/>
      <c r="J91" s="154"/>
      <c r="K91" s="59"/>
      <c r="L91" s="59"/>
      <c r="M91" s="59"/>
      <c r="N91" s="59"/>
      <c r="O91" s="59"/>
      <c r="P91" s="59"/>
      <c r="Q91" s="59"/>
      <c r="R91" s="155"/>
      <c r="S91" s="157">
        <f t="shared" ref="S91:AH91" si="37">S41*S$63/S73</f>
        <v>8704.788759</v>
      </c>
      <c r="T91" s="157">
        <f t="shared" si="37"/>
        <v>35657.34809</v>
      </c>
      <c r="U91" s="157">
        <f t="shared" si="37"/>
        <v>40440.21</v>
      </c>
      <c r="V91" s="157">
        <f t="shared" si="37"/>
        <v>43974.735</v>
      </c>
      <c r="W91" s="157">
        <f t="shared" si="37"/>
        <v>39965.40882</v>
      </c>
      <c r="X91" s="157">
        <f t="shared" si="37"/>
        <v>50336.81912</v>
      </c>
      <c r="Y91" s="157">
        <f t="shared" si="37"/>
        <v>38991.68145</v>
      </c>
      <c r="Z91" s="157">
        <f t="shared" si="37"/>
        <v>57040.99216</v>
      </c>
      <c r="AA91" s="157">
        <f t="shared" si="37"/>
        <v>44200.58824</v>
      </c>
      <c r="AB91" s="157">
        <f t="shared" si="37"/>
        <v>64695.61765</v>
      </c>
      <c r="AC91" s="157">
        <f t="shared" si="37"/>
        <v>49769.37217</v>
      </c>
      <c r="AD91" s="157">
        <f t="shared" si="37"/>
        <v>64698.40809</v>
      </c>
      <c r="AE91" s="157">
        <f t="shared" si="37"/>
        <v>49764.78648</v>
      </c>
      <c r="AF91" s="157">
        <f t="shared" si="37"/>
        <v>64691.05147</v>
      </c>
      <c r="AG91" s="157">
        <f t="shared" si="37"/>
        <v>49760.88377</v>
      </c>
      <c r="AH91" s="157">
        <f t="shared" si="37"/>
        <v>64688.26103</v>
      </c>
      <c r="AI91" s="156"/>
      <c r="AJ91" s="156"/>
      <c r="AK91" s="156"/>
      <c r="AL91" s="156"/>
      <c r="AM91" s="156"/>
      <c r="AN91" s="156"/>
      <c r="AO91" s="156"/>
    </row>
    <row r="92" ht="15.75" customHeight="1">
      <c r="A92" s="135" t="s">
        <v>137</v>
      </c>
      <c r="B92" s="50"/>
      <c r="C92" s="154"/>
      <c r="D92" s="154"/>
      <c r="E92" s="154"/>
      <c r="F92" s="154"/>
      <c r="G92" s="154"/>
      <c r="H92" s="154"/>
      <c r="I92" s="154"/>
      <c r="J92" s="154"/>
      <c r="K92" s="59"/>
      <c r="L92" s="59"/>
      <c r="M92" s="59"/>
      <c r="N92" s="59"/>
      <c r="O92" s="59"/>
      <c r="P92" s="59"/>
      <c r="Q92" s="59"/>
      <c r="R92" s="155"/>
      <c r="S92" s="157">
        <f t="shared" ref="S92:AH92" si="38">S42*S$63/S74</f>
        <v>3075.387</v>
      </c>
      <c r="T92" s="157">
        <f t="shared" si="38"/>
        <v>133955.96</v>
      </c>
      <c r="U92" s="157">
        <f t="shared" si="38"/>
        <v>22131.75</v>
      </c>
      <c r="V92" s="157">
        <f t="shared" si="38"/>
        <v>34301.625</v>
      </c>
      <c r="W92" s="157">
        <f t="shared" si="38"/>
        <v>44318.7</v>
      </c>
      <c r="X92" s="157">
        <f t="shared" si="38"/>
        <v>73618.9175</v>
      </c>
      <c r="Y92" s="157">
        <f t="shared" si="38"/>
        <v>67128.35421</v>
      </c>
      <c r="Z92" s="157">
        <f t="shared" si="38"/>
        <v>107854.0883</v>
      </c>
      <c r="AA92" s="157">
        <f t="shared" si="38"/>
        <v>90595.60002</v>
      </c>
      <c r="AB92" s="157">
        <f t="shared" si="38"/>
        <v>143104.1427</v>
      </c>
      <c r="AC92" s="157">
        <f t="shared" si="38"/>
        <v>117785.7175</v>
      </c>
      <c r="AD92" s="157">
        <f t="shared" si="38"/>
        <v>163839.933</v>
      </c>
      <c r="AE92" s="157">
        <f t="shared" si="38"/>
        <v>134852.8679</v>
      </c>
      <c r="AF92" s="157">
        <f t="shared" si="38"/>
        <v>187580.3393</v>
      </c>
      <c r="AG92" s="157">
        <f t="shared" si="38"/>
        <v>154393.0485</v>
      </c>
      <c r="AH92" s="157">
        <f t="shared" si="38"/>
        <v>214760.7304</v>
      </c>
      <c r="AI92" s="156"/>
      <c r="AJ92" s="156"/>
      <c r="AK92" s="156"/>
      <c r="AL92" s="156"/>
      <c r="AM92" s="156"/>
      <c r="AN92" s="156"/>
      <c r="AO92" s="156"/>
    </row>
    <row r="93" ht="15.75" customHeight="1">
      <c r="A93" s="158" t="s">
        <v>138</v>
      </c>
      <c r="B93" s="113"/>
      <c r="C93" s="159"/>
      <c r="D93" s="159"/>
      <c r="E93" s="159"/>
      <c r="F93" s="159"/>
      <c r="G93" s="159"/>
      <c r="H93" s="159"/>
      <c r="I93" s="159"/>
      <c r="J93" s="159"/>
      <c r="K93" s="52"/>
      <c r="L93" s="52"/>
      <c r="M93" s="52"/>
      <c r="N93" s="52"/>
      <c r="O93" s="52"/>
      <c r="P93" s="52"/>
      <c r="Q93" s="52"/>
      <c r="R93" s="157">
        <f>R45*R66/R70</f>
        <v>9927.605042</v>
      </c>
      <c r="S93" s="157">
        <f t="shared" ref="S93:AH93" si="39">S45*S66/S85</f>
        <v>58338.47619</v>
      </c>
      <c r="T93" s="157">
        <f t="shared" si="39"/>
        <v>70006.17143</v>
      </c>
      <c r="U93" s="157" t="str">
        <f t="shared" si="39"/>
        <v>#REF!</v>
      </c>
      <c r="V93" s="157" t="str">
        <f t="shared" si="39"/>
        <v>#REF!</v>
      </c>
      <c r="W93" s="157" t="str">
        <f t="shared" si="39"/>
        <v>#REF!</v>
      </c>
      <c r="X93" s="157" t="str">
        <f t="shared" si="39"/>
        <v>#REF!</v>
      </c>
      <c r="Y93" s="157" t="str">
        <f t="shared" si="39"/>
        <v>#REF!</v>
      </c>
      <c r="Z93" s="157" t="str">
        <f t="shared" si="39"/>
        <v>#REF!</v>
      </c>
      <c r="AA93" s="157" t="str">
        <f t="shared" si="39"/>
        <v>#REF!</v>
      </c>
      <c r="AB93" s="157" t="str">
        <f t="shared" si="39"/>
        <v>#REF!</v>
      </c>
      <c r="AC93" s="157" t="str">
        <f t="shared" si="39"/>
        <v>#REF!</v>
      </c>
      <c r="AD93" s="157" t="str">
        <f t="shared" si="39"/>
        <v>#REF!</v>
      </c>
      <c r="AE93" s="157" t="str">
        <f t="shared" si="39"/>
        <v>#REF!</v>
      </c>
      <c r="AF93" s="157" t="str">
        <f t="shared" si="39"/>
        <v>#REF!</v>
      </c>
      <c r="AG93" s="157" t="str">
        <f t="shared" si="39"/>
        <v>#REF!</v>
      </c>
      <c r="AH93" s="157" t="str">
        <f t="shared" si="39"/>
        <v>#REF!</v>
      </c>
      <c r="AI93" s="156"/>
      <c r="AJ93" s="156"/>
      <c r="AK93" s="156"/>
      <c r="AL93" s="156"/>
      <c r="AM93" s="156"/>
      <c r="AN93" s="156"/>
      <c r="AO93" s="156"/>
    </row>
    <row r="94" ht="15.75" customHeight="1">
      <c r="A94" s="160" t="s">
        <v>139</v>
      </c>
      <c r="B94" s="121"/>
      <c r="C94" s="161"/>
      <c r="D94" s="161"/>
      <c r="E94" s="161"/>
      <c r="F94" s="161"/>
      <c r="G94" s="161"/>
      <c r="H94" s="161"/>
      <c r="I94" s="161"/>
      <c r="J94" s="161"/>
      <c r="K94" s="56"/>
      <c r="L94" s="56"/>
      <c r="M94" s="56"/>
      <c r="N94" s="56"/>
      <c r="O94" s="56"/>
      <c r="P94" s="56"/>
      <c r="Q94" s="56"/>
      <c r="R94" s="162">
        <f t="shared" ref="R94:AH94" si="40">sum(R88:R93)</f>
        <v>538577.2686</v>
      </c>
      <c r="S94" s="162">
        <f t="shared" si="40"/>
        <v>266775.9452</v>
      </c>
      <c r="T94" s="162">
        <f t="shared" si="40"/>
        <v>1039799.694</v>
      </c>
      <c r="U94" s="162" t="str">
        <f t="shared" si="40"/>
        <v>#REF!</v>
      </c>
      <c r="V94" s="162" t="str">
        <f t="shared" si="40"/>
        <v>#REF!</v>
      </c>
      <c r="W94" s="162" t="str">
        <f t="shared" si="40"/>
        <v>#REF!</v>
      </c>
      <c r="X94" s="162" t="str">
        <f t="shared" si="40"/>
        <v>#REF!</v>
      </c>
      <c r="Y94" s="162" t="str">
        <f t="shared" si="40"/>
        <v>#REF!</v>
      </c>
      <c r="Z94" s="162" t="str">
        <f t="shared" si="40"/>
        <v>#REF!</v>
      </c>
      <c r="AA94" s="162" t="str">
        <f t="shared" si="40"/>
        <v>#REF!</v>
      </c>
      <c r="AB94" s="162" t="str">
        <f t="shared" si="40"/>
        <v>#REF!</v>
      </c>
      <c r="AC94" s="162" t="str">
        <f t="shared" si="40"/>
        <v>#REF!</v>
      </c>
      <c r="AD94" s="162" t="str">
        <f t="shared" si="40"/>
        <v>#REF!</v>
      </c>
      <c r="AE94" s="162" t="str">
        <f t="shared" si="40"/>
        <v>#REF!</v>
      </c>
      <c r="AF94" s="162" t="str">
        <f t="shared" si="40"/>
        <v>#REF!</v>
      </c>
      <c r="AG94" s="162" t="str">
        <f t="shared" si="40"/>
        <v>#REF!</v>
      </c>
      <c r="AH94" s="162" t="str">
        <f t="shared" si="40"/>
        <v>#REF!</v>
      </c>
      <c r="AI94" s="156"/>
      <c r="AJ94" s="156"/>
      <c r="AK94" s="156"/>
      <c r="AL94" s="156"/>
      <c r="AM94" s="156"/>
      <c r="AN94" s="156"/>
      <c r="AO94" s="156"/>
    </row>
    <row r="95" ht="15.75" customHeight="1">
      <c r="A95" s="129" t="s">
        <v>140</v>
      </c>
      <c r="B95" s="130"/>
      <c r="C95" s="154"/>
      <c r="D95" s="154"/>
      <c r="E95" s="154"/>
      <c r="F95" s="154"/>
      <c r="G95" s="154"/>
      <c r="H95" s="154"/>
      <c r="I95" s="154"/>
      <c r="J95" s="154"/>
      <c r="K95" s="59"/>
      <c r="L95" s="59"/>
      <c r="M95" s="59"/>
      <c r="N95" s="59"/>
      <c r="O95" s="59"/>
      <c r="P95" s="59"/>
      <c r="Q95" s="59"/>
      <c r="R95" s="155">
        <f>R51*R64/R70</f>
        <v>471650.7518</v>
      </c>
      <c r="S95" s="163">
        <f t="shared" ref="S95:AH95" si="41">S46*S$64/S75</f>
        <v>39524.18786</v>
      </c>
      <c r="T95" s="163">
        <f t="shared" si="41"/>
        <v>8636.056291</v>
      </c>
      <c r="U95" s="163">
        <f t="shared" si="41"/>
        <v>14622.81176</v>
      </c>
      <c r="V95" s="163">
        <f t="shared" si="41"/>
        <v>9913.821176</v>
      </c>
      <c r="W95" s="163">
        <f t="shared" si="41"/>
        <v>4401.639216</v>
      </c>
      <c r="X95" s="163">
        <f t="shared" si="41"/>
        <v>2636.88</v>
      </c>
      <c r="Y95" s="163">
        <f t="shared" si="41"/>
        <v>938.4</v>
      </c>
      <c r="Z95" s="163">
        <f t="shared" si="41"/>
        <v>380.5333333</v>
      </c>
      <c r="AA95" s="163">
        <f t="shared" si="41"/>
        <v>29.53846154</v>
      </c>
      <c r="AB95" s="163">
        <f t="shared" si="41"/>
        <v>3</v>
      </c>
      <c r="AC95" s="163">
        <f t="shared" si="41"/>
        <v>0</v>
      </c>
      <c r="AD95" s="163">
        <f t="shared" si="41"/>
        <v>0</v>
      </c>
      <c r="AE95" s="163">
        <f t="shared" si="41"/>
        <v>0</v>
      </c>
      <c r="AF95" s="163">
        <f t="shared" si="41"/>
        <v>0</v>
      </c>
      <c r="AG95" s="163">
        <f t="shared" si="41"/>
        <v>0</v>
      </c>
      <c r="AH95" s="163">
        <f t="shared" si="41"/>
        <v>0</v>
      </c>
      <c r="AI95" s="156"/>
      <c r="AJ95" s="156"/>
      <c r="AK95" s="156"/>
      <c r="AL95" s="156"/>
      <c r="AM95" s="156"/>
      <c r="AN95" s="156"/>
      <c r="AO95" s="156"/>
    </row>
    <row r="96" ht="15.75" customHeight="1">
      <c r="A96" s="129" t="s">
        <v>141</v>
      </c>
      <c r="B96" s="130"/>
      <c r="C96" s="164"/>
      <c r="D96" s="164"/>
      <c r="E96" s="164"/>
      <c r="F96" s="164"/>
      <c r="G96" s="164"/>
      <c r="H96" s="164"/>
      <c r="I96" s="164"/>
      <c r="J96" s="164"/>
      <c r="K96" s="63"/>
      <c r="L96" s="63"/>
      <c r="M96" s="63"/>
      <c r="N96" s="63"/>
      <c r="O96" s="63"/>
      <c r="P96" s="63"/>
      <c r="Q96" s="63"/>
      <c r="R96" s="165"/>
      <c r="S96" s="157">
        <f t="shared" ref="S96:AH96" si="42">S47*S$64/S76</f>
        <v>165912.403</v>
      </c>
      <c r="T96" s="157">
        <f t="shared" si="42"/>
        <v>190415.4294</v>
      </c>
      <c r="U96" s="157">
        <f t="shared" si="42"/>
        <v>250341.4136</v>
      </c>
      <c r="V96" s="157">
        <f t="shared" si="42"/>
        <v>292885.1251</v>
      </c>
      <c r="W96" s="157">
        <f t="shared" si="42"/>
        <v>258030.3315</v>
      </c>
      <c r="X96" s="157">
        <f t="shared" si="42"/>
        <v>350484.5009</v>
      </c>
      <c r="Y96" s="157">
        <f t="shared" si="42"/>
        <v>293805.0122</v>
      </c>
      <c r="Z96" s="157">
        <f t="shared" si="42"/>
        <v>456005.9794</v>
      </c>
      <c r="AA96" s="157">
        <f t="shared" si="42"/>
        <v>375580.7534</v>
      </c>
      <c r="AB96" s="157">
        <f t="shared" si="42"/>
        <v>575359.3059</v>
      </c>
      <c r="AC96" s="157">
        <f t="shared" si="42"/>
        <v>453994.5696</v>
      </c>
      <c r="AD96" s="157">
        <f t="shared" si="42"/>
        <v>597449.4287</v>
      </c>
      <c r="AE96" s="157">
        <f t="shared" si="42"/>
        <v>462082.0699</v>
      </c>
      <c r="AF96" s="157">
        <f t="shared" si="42"/>
        <v>602286.3</v>
      </c>
      <c r="AG96" s="157">
        <f t="shared" si="42"/>
        <v>463414.3702</v>
      </c>
      <c r="AH96" s="157">
        <f t="shared" si="42"/>
        <v>602444.5875</v>
      </c>
      <c r="AI96" s="156"/>
      <c r="AJ96" s="156"/>
      <c r="AK96" s="156"/>
      <c r="AL96" s="156"/>
      <c r="AM96" s="156"/>
      <c r="AN96" s="156"/>
      <c r="AO96" s="156"/>
    </row>
    <row r="97" ht="15.75" customHeight="1">
      <c r="A97" s="129" t="s">
        <v>142</v>
      </c>
      <c r="B97" s="130"/>
      <c r="C97" s="164"/>
      <c r="D97" s="164"/>
      <c r="E97" s="164"/>
      <c r="F97" s="164"/>
      <c r="G97" s="164"/>
      <c r="H97" s="164"/>
      <c r="I97" s="164"/>
      <c r="J97" s="164"/>
      <c r="K97" s="63"/>
      <c r="L97" s="63"/>
      <c r="M97" s="63"/>
      <c r="N97" s="63"/>
      <c r="O97" s="63"/>
      <c r="P97" s="63"/>
      <c r="Q97" s="63"/>
      <c r="R97" s="165"/>
      <c r="S97" s="157">
        <f t="shared" ref="S97:AH97" si="43">S48*S$64/S77</f>
        <v>128092.2194</v>
      </c>
      <c r="T97" s="157">
        <f t="shared" si="43"/>
        <v>231443.4122</v>
      </c>
      <c r="U97" s="157" t="str">
        <f t="shared" si="43"/>
        <v>#REF!</v>
      </c>
      <c r="V97" s="157" t="str">
        <f t="shared" si="43"/>
        <v>#REF!</v>
      </c>
      <c r="W97" s="157" t="str">
        <f t="shared" si="43"/>
        <v>#REF!</v>
      </c>
      <c r="X97" s="157" t="str">
        <f t="shared" si="43"/>
        <v>#REF!</v>
      </c>
      <c r="Y97" s="157" t="str">
        <f t="shared" si="43"/>
        <v>#REF!</v>
      </c>
      <c r="Z97" s="157" t="str">
        <f t="shared" si="43"/>
        <v>#REF!</v>
      </c>
      <c r="AA97" s="157" t="str">
        <f t="shared" si="43"/>
        <v>#REF!</v>
      </c>
      <c r="AB97" s="157" t="str">
        <f t="shared" si="43"/>
        <v>#REF!</v>
      </c>
      <c r="AC97" s="157" t="str">
        <f t="shared" si="43"/>
        <v>#REF!</v>
      </c>
      <c r="AD97" s="157" t="str">
        <f t="shared" si="43"/>
        <v>#REF!</v>
      </c>
      <c r="AE97" s="157" t="str">
        <f t="shared" si="43"/>
        <v>#REF!</v>
      </c>
      <c r="AF97" s="157" t="str">
        <f t="shared" si="43"/>
        <v>#REF!</v>
      </c>
      <c r="AG97" s="157" t="str">
        <f t="shared" si="43"/>
        <v>#REF!</v>
      </c>
      <c r="AH97" s="157" t="str">
        <f t="shared" si="43"/>
        <v>#REF!</v>
      </c>
      <c r="AI97" s="156"/>
      <c r="AJ97" s="156"/>
      <c r="AK97" s="156"/>
      <c r="AL97" s="156"/>
      <c r="AM97" s="156"/>
      <c r="AN97" s="156"/>
      <c r="AO97" s="156"/>
    </row>
    <row r="98" ht="15.75" customHeight="1">
      <c r="A98" s="129" t="s">
        <v>143</v>
      </c>
      <c r="B98" s="130"/>
      <c r="C98" s="164"/>
      <c r="D98" s="164"/>
      <c r="E98" s="164"/>
      <c r="F98" s="164"/>
      <c r="G98" s="164"/>
      <c r="H98" s="164"/>
      <c r="I98" s="164"/>
      <c r="J98" s="164"/>
      <c r="K98" s="63"/>
      <c r="L98" s="63"/>
      <c r="M98" s="63"/>
      <c r="N98" s="63"/>
      <c r="O98" s="63"/>
      <c r="P98" s="63"/>
      <c r="Q98" s="63"/>
      <c r="R98" s="165"/>
      <c r="S98" s="157">
        <f t="shared" ref="S98:AH98" si="44">S49*S$64/S78</f>
        <v>11265.16057</v>
      </c>
      <c r="T98" s="157">
        <f t="shared" si="44"/>
        <v>12391.453</v>
      </c>
      <c r="U98" s="157">
        <f t="shared" si="44"/>
        <v>26374.05</v>
      </c>
      <c r="V98" s="157">
        <f t="shared" si="44"/>
        <v>30591.12</v>
      </c>
      <c r="W98" s="157">
        <f t="shared" si="44"/>
        <v>27802.02353</v>
      </c>
      <c r="X98" s="157">
        <f t="shared" si="44"/>
        <v>35016.91765</v>
      </c>
      <c r="Y98" s="157">
        <f t="shared" si="44"/>
        <v>27124.64796</v>
      </c>
      <c r="Z98" s="157">
        <f t="shared" si="44"/>
        <v>39680.6902</v>
      </c>
      <c r="AA98" s="157">
        <f t="shared" si="44"/>
        <v>30748.23529</v>
      </c>
      <c r="AB98" s="157">
        <f t="shared" si="44"/>
        <v>45005.64706</v>
      </c>
      <c r="AC98" s="157">
        <f t="shared" si="44"/>
        <v>34622.17195</v>
      </c>
      <c r="AD98" s="157">
        <f t="shared" si="44"/>
        <v>45007.58824</v>
      </c>
      <c r="AE98" s="157">
        <f t="shared" si="44"/>
        <v>34618.9819</v>
      </c>
      <c r="AF98" s="157">
        <f t="shared" si="44"/>
        <v>45002.47059</v>
      </c>
      <c r="AG98" s="157">
        <f t="shared" si="44"/>
        <v>34616.26697</v>
      </c>
      <c r="AH98" s="157">
        <f t="shared" si="44"/>
        <v>45000.52941</v>
      </c>
      <c r="AI98" s="156"/>
      <c r="AJ98" s="156"/>
      <c r="AK98" s="156"/>
      <c r="AL98" s="156"/>
      <c r="AM98" s="156"/>
      <c r="AN98" s="156"/>
      <c r="AO98" s="156"/>
    </row>
    <row r="99" ht="15.75" customHeight="1">
      <c r="A99" s="135" t="s">
        <v>144</v>
      </c>
      <c r="B99" s="50"/>
      <c r="C99" s="164"/>
      <c r="D99" s="164"/>
      <c r="E99" s="164"/>
      <c r="F99" s="164"/>
      <c r="G99" s="164"/>
      <c r="H99" s="164"/>
      <c r="I99" s="164"/>
      <c r="J99" s="164"/>
      <c r="K99" s="63"/>
      <c r="L99" s="63"/>
      <c r="M99" s="63"/>
      <c r="N99" s="63"/>
      <c r="O99" s="63"/>
      <c r="P99" s="63"/>
      <c r="Q99" s="63"/>
      <c r="R99" s="165"/>
      <c r="S99" s="157">
        <f t="shared" ref="S99:AH99" si="45">S50*S$64/S79</f>
        <v>48463.48269</v>
      </c>
      <c r="T99" s="157">
        <f t="shared" si="45"/>
        <v>32786.38889</v>
      </c>
      <c r="U99" s="157">
        <f t="shared" si="45"/>
        <v>23312.5</v>
      </c>
      <c r="V99" s="157">
        <f t="shared" si="45"/>
        <v>30948.66667</v>
      </c>
      <c r="W99" s="157">
        <f t="shared" si="45"/>
        <v>29958.72533</v>
      </c>
      <c r="X99" s="157">
        <f t="shared" si="45"/>
        <v>42772.4618</v>
      </c>
      <c r="Y99" s="157">
        <f t="shared" si="45"/>
        <v>36450.66728</v>
      </c>
      <c r="Z99" s="157">
        <f t="shared" si="45"/>
        <v>57145.4202</v>
      </c>
      <c r="AA99" s="157">
        <f t="shared" si="45"/>
        <v>47350.74614</v>
      </c>
      <c r="AB99" s="157">
        <f t="shared" si="45"/>
        <v>74054.66554</v>
      </c>
      <c r="AC99" s="157">
        <f t="shared" si="45"/>
        <v>60952.68625</v>
      </c>
      <c r="AD99" s="157">
        <f t="shared" si="45"/>
        <v>84785.18657</v>
      </c>
      <c r="AE99" s="157">
        <f t="shared" si="45"/>
        <v>69784.73049</v>
      </c>
      <c r="AF99" s="157">
        <f t="shared" si="45"/>
        <v>97070.56011</v>
      </c>
      <c r="AG99" s="157">
        <f t="shared" si="45"/>
        <v>79896.53794</v>
      </c>
      <c r="AH99" s="157">
        <f t="shared" si="45"/>
        <v>111136.0843</v>
      </c>
      <c r="AI99" s="156"/>
      <c r="AJ99" s="156"/>
      <c r="AK99" s="156"/>
      <c r="AL99" s="156"/>
      <c r="AM99" s="156"/>
      <c r="AN99" s="156"/>
      <c r="AO99" s="156"/>
    </row>
    <row r="100" ht="15.75" customHeight="1">
      <c r="A100" s="158" t="s">
        <v>145</v>
      </c>
      <c r="B100" s="113"/>
      <c r="C100" s="166"/>
      <c r="D100" s="166"/>
      <c r="E100" s="166"/>
      <c r="F100" s="166"/>
      <c r="G100" s="166"/>
      <c r="H100" s="166"/>
      <c r="I100" s="166"/>
      <c r="J100" s="166"/>
      <c r="K100" s="47"/>
      <c r="L100" s="47"/>
      <c r="M100" s="47"/>
      <c r="N100" s="47"/>
      <c r="O100" s="47"/>
      <c r="P100" s="47"/>
      <c r="Q100" s="47"/>
      <c r="R100" s="167">
        <f>R53*R67/R70</f>
        <v>44828.57143</v>
      </c>
      <c r="S100" s="168">
        <f t="shared" ref="S100:AH100" si="46">S53*S67/S86</f>
        <v>118009.5238</v>
      </c>
      <c r="T100" s="167">
        <f t="shared" si="46"/>
        <v>188815.2381</v>
      </c>
      <c r="U100" s="167" t="str">
        <f t="shared" si="46"/>
        <v>#REF!</v>
      </c>
      <c r="V100" s="167" t="str">
        <f t="shared" si="46"/>
        <v>#REF!</v>
      </c>
      <c r="W100" s="167" t="str">
        <f t="shared" si="46"/>
        <v>#REF!</v>
      </c>
      <c r="X100" s="167" t="str">
        <f t="shared" si="46"/>
        <v>#REF!</v>
      </c>
      <c r="Y100" s="167" t="str">
        <f t="shared" si="46"/>
        <v>#REF!</v>
      </c>
      <c r="Z100" s="167" t="str">
        <f t="shared" si="46"/>
        <v>#REF!</v>
      </c>
      <c r="AA100" s="167" t="str">
        <f t="shared" si="46"/>
        <v>#REF!</v>
      </c>
      <c r="AB100" s="167" t="str">
        <f t="shared" si="46"/>
        <v>#REF!</v>
      </c>
      <c r="AC100" s="167" t="str">
        <f t="shared" si="46"/>
        <v>#REF!</v>
      </c>
      <c r="AD100" s="167" t="str">
        <f t="shared" si="46"/>
        <v>#REF!</v>
      </c>
      <c r="AE100" s="167" t="str">
        <f t="shared" si="46"/>
        <v>#REF!</v>
      </c>
      <c r="AF100" s="167" t="str">
        <f t="shared" si="46"/>
        <v>#REF!</v>
      </c>
      <c r="AG100" s="167" t="str">
        <f t="shared" si="46"/>
        <v>#REF!</v>
      </c>
      <c r="AH100" s="167" t="str">
        <f t="shared" si="46"/>
        <v>#REF!</v>
      </c>
      <c r="AI100" s="156"/>
      <c r="AJ100" s="156"/>
      <c r="AK100" s="156"/>
      <c r="AL100" s="156"/>
      <c r="AM100" s="156"/>
      <c r="AN100" s="156"/>
      <c r="AO100" s="156"/>
    </row>
    <row r="101" ht="15.75" customHeight="1">
      <c r="A101" s="160" t="s">
        <v>146</v>
      </c>
      <c r="B101" s="121"/>
      <c r="C101" s="161"/>
      <c r="D101" s="161"/>
      <c r="E101" s="161"/>
      <c r="F101" s="161"/>
      <c r="G101" s="161"/>
      <c r="H101" s="161"/>
      <c r="I101" s="161"/>
      <c r="J101" s="161"/>
      <c r="K101" s="56"/>
      <c r="L101" s="56"/>
      <c r="M101" s="56"/>
      <c r="N101" s="56"/>
      <c r="O101" s="56"/>
      <c r="P101" s="56"/>
      <c r="Q101" s="56"/>
      <c r="R101" s="162">
        <f t="shared" ref="R101:AH101" si="47">sum(R95:R100)</f>
        <v>516479.3233</v>
      </c>
      <c r="S101" s="162">
        <f t="shared" si="47"/>
        <v>511266.9772</v>
      </c>
      <c r="T101" s="162">
        <f t="shared" si="47"/>
        <v>664487.9778</v>
      </c>
      <c r="U101" s="162" t="str">
        <f t="shared" si="47"/>
        <v>#REF!</v>
      </c>
      <c r="V101" s="162" t="str">
        <f t="shared" si="47"/>
        <v>#REF!</v>
      </c>
      <c r="W101" s="162" t="str">
        <f t="shared" si="47"/>
        <v>#REF!</v>
      </c>
      <c r="X101" s="162" t="str">
        <f t="shared" si="47"/>
        <v>#REF!</v>
      </c>
      <c r="Y101" s="162" t="str">
        <f t="shared" si="47"/>
        <v>#REF!</v>
      </c>
      <c r="Z101" s="162" t="str">
        <f t="shared" si="47"/>
        <v>#REF!</v>
      </c>
      <c r="AA101" s="162" t="str">
        <f t="shared" si="47"/>
        <v>#REF!</v>
      </c>
      <c r="AB101" s="162" t="str">
        <f t="shared" si="47"/>
        <v>#REF!</v>
      </c>
      <c r="AC101" s="162" t="str">
        <f t="shared" si="47"/>
        <v>#REF!</v>
      </c>
      <c r="AD101" s="162" t="str">
        <f t="shared" si="47"/>
        <v>#REF!</v>
      </c>
      <c r="AE101" s="162" t="str">
        <f t="shared" si="47"/>
        <v>#REF!</v>
      </c>
      <c r="AF101" s="162" t="str">
        <f t="shared" si="47"/>
        <v>#REF!</v>
      </c>
      <c r="AG101" s="162" t="str">
        <f t="shared" si="47"/>
        <v>#REF!</v>
      </c>
      <c r="AH101" s="162" t="str">
        <f t="shared" si="47"/>
        <v>#REF!</v>
      </c>
      <c r="AI101" s="156"/>
      <c r="AJ101" s="156"/>
      <c r="AK101" s="156"/>
      <c r="AL101" s="156"/>
      <c r="AM101" s="156"/>
      <c r="AN101" s="156"/>
      <c r="AO101" s="156"/>
    </row>
    <row r="102" ht="15.75" customHeight="1">
      <c r="A102" s="129" t="s">
        <v>147</v>
      </c>
      <c r="B102" s="130"/>
      <c r="C102" s="154"/>
      <c r="D102" s="154"/>
      <c r="E102" s="154"/>
      <c r="F102" s="154"/>
      <c r="G102" s="154"/>
      <c r="H102" s="154"/>
      <c r="I102" s="154"/>
      <c r="J102" s="154"/>
      <c r="K102" s="59"/>
      <c r="L102" s="59"/>
      <c r="M102" s="59"/>
      <c r="N102" s="59"/>
      <c r="O102" s="59"/>
      <c r="P102" s="59"/>
      <c r="Q102" s="59"/>
      <c r="R102" s="155" t="str">
        <f>R55*R70/R86</f>
        <v>#DIV/0!</v>
      </c>
      <c r="S102" s="163">
        <f t="shared" ref="S102:AH102" si="48">S54*S$65/S80</f>
        <v>3286.724211</v>
      </c>
      <c r="T102" s="163">
        <f t="shared" si="48"/>
        <v>3747.621907</v>
      </c>
      <c r="U102" s="163">
        <f t="shared" si="48"/>
        <v>6899.854412</v>
      </c>
      <c r="V102" s="163">
        <f t="shared" si="48"/>
        <v>6552.352941</v>
      </c>
      <c r="W102" s="163">
        <f t="shared" si="48"/>
        <v>3570.831373</v>
      </c>
      <c r="X102" s="163">
        <f t="shared" si="48"/>
        <v>2409.12</v>
      </c>
      <c r="Y102" s="163">
        <f t="shared" si="48"/>
        <v>856.0615385</v>
      </c>
      <c r="Z102" s="163">
        <f t="shared" si="48"/>
        <v>558.1333333</v>
      </c>
      <c r="AA102" s="163">
        <f t="shared" si="48"/>
        <v>191.1794872</v>
      </c>
      <c r="AB102" s="163">
        <f t="shared" si="48"/>
        <v>29.4</v>
      </c>
      <c r="AC102" s="163">
        <f t="shared" si="48"/>
        <v>1.846153846</v>
      </c>
      <c r="AD102" s="163">
        <f t="shared" si="48"/>
        <v>0</v>
      </c>
      <c r="AE102" s="163">
        <f t="shared" si="48"/>
        <v>0</v>
      </c>
      <c r="AF102" s="163">
        <f t="shared" si="48"/>
        <v>0</v>
      </c>
      <c r="AG102" s="163">
        <f t="shared" si="48"/>
        <v>0</v>
      </c>
      <c r="AH102" s="163">
        <f t="shared" si="48"/>
        <v>0</v>
      </c>
      <c r="AI102" s="156"/>
      <c r="AJ102" s="156"/>
      <c r="AK102" s="156"/>
      <c r="AL102" s="156"/>
      <c r="AM102" s="156"/>
      <c r="AN102" s="156"/>
      <c r="AO102" s="156"/>
    </row>
    <row r="103" ht="15.75" customHeight="1">
      <c r="A103" s="129" t="s">
        <v>148</v>
      </c>
      <c r="B103" s="130"/>
      <c r="C103" s="164"/>
      <c r="D103" s="164"/>
      <c r="E103" s="164"/>
      <c r="F103" s="164"/>
      <c r="G103" s="164"/>
      <c r="H103" s="164"/>
      <c r="I103" s="164"/>
      <c r="J103" s="164"/>
      <c r="K103" s="63"/>
      <c r="L103" s="63"/>
      <c r="M103" s="63"/>
      <c r="N103" s="63"/>
      <c r="O103" s="63"/>
      <c r="P103" s="63"/>
      <c r="Q103" s="63"/>
      <c r="R103" s="168"/>
      <c r="S103" s="157">
        <f t="shared" ref="S103:AH103" si="49">S55*S$65/S81</f>
        <v>246982.2329</v>
      </c>
      <c r="T103" s="157">
        <f t="shared" si="49"/>
        <v>232851.821</v>
      </c>
      <c r="U103" s="157">
        <f t="shared" si="49"/>
        <v>304043.249</v>
      </c>
      <c r="V103" s="157">
        <f t="shared" si="49"/>
        <v>344665.6197</v>
      </c>
      <c r="W103" s="157">
        <f t="shared" si="49"/>
        <v>258244.437</v>
      </c>
      <c r="X103" s="157">
        <f t="shared" si="49"/>
        <v>295750.8706</v>
      </c>
      <c r="Y103" s="157">
        <f t="shared" si="49"/>
        <v>247922.2081</v>
      </c>
      <c r="Z103" s="157">
        <f t="shared" si="49"/>
        <v>384866.7974</v>
      </c>
      <c r="AA103" s="157">
        <f t="shared" si="49"/>
        <v>317852.7501</v>
      </c>
      <c r="AB103" s="157">
        <f t="shared" si="49"/>
        <v>487063.4706</v>
      </c>
      <c r="AC103" s="157">
        <f t="shared" si="49"/>
        <v>384334.0271</v>
      </c>
      <c r="AD103" s="157">
        <f t="shared" si="49"/>
        <v>505777.2941</v>
      </c>
      <c r="AE103" s="157">
        <f t="shared" si="49"/>
        <v>391180.5882</v>
      </c>
      <c r="AF103" s="157">
        <f t="shared" si="49"/>
        <v>509872</v>
      </c>
      <c r="AG103" s="157">
        <f t="shared" si="49"/>
        <v>392308.4615</v>
      </c>
      <c r="AH103" s="157">
        <f t="shared" si="49"/>
        <v>510006</v>
      </c>
      <c r="AI103" s="156"/>
      <c r="AJ103" s="156"/>
      <c r="AK103" s="156"/>
      <c r="AL103" s="156"/>
      <c r="AM103" s="156"/>
      <c r="AN103" s="156"/>
      <c r="AO103" s="156"/>
    </row>
    <row r="104" ht="15.75" customHeight="1">
      <c r="A104" s="129" t="s">
        <v>149</v>
      </c>
      <c r="B104" s="130"/>
      <c r="C104" s="164"/>
      <c r="D104" s="164"/>
      <c r="E104" s="164"/>
      <c r="F104" s="164"/>
      <c r="G104" s="164"/>
      <c r="H104" s="164"/>
      <c r="I104" s="164"/>
      <c r="J104" s="164"/>
      <c r="K104" s="63"/>
      <c r="L104" s="63"/>
      <c r="M104" s="63"/>
      <c r="N104" s="63"/>
      <c r="O104" s="63"/>
      <c r="P104" s="63"/>
      <c r="Q104" s="63"/>
      <c r="R104" s="168"/>
      <c r="S104" s="157">
        <f t="shared" ref="S104:AH104" si="50">S56*S$65/S82</f>
        <v>335425.2183</v>
      </c>
      <c r="T104" s="157">
        <f t="shared" si="50"/>
        <v>146294.4405</v>
      </c>
      <c r="U104" s="157" t="str">
        <f t="shared" si="50"/>
        <v>#REF!</v>
      </c>
      <c r="V104" s="157" t="str">
        <f t="shared" si="50"/>
        <v>#REF!</v>
      </c>
      <c r="W104" s="157" t="str">
        <f t="shared" si="50"/>
        <v>#REF!</v>
      </c>
      <c r="X104" s="157" t="str">
        <f t="shared" si="50"/>
        <v>#REF!</v>
      </c>
      <c r="Y104" s="157" t="str">
        <f t="shared" si="50"/>
        <v>#REF!</v>
      </c>
      <c r="Z104" s="157" t="str">
        <f t="shared" si="50"/>
        <v>#REF!</v>
      </c>
      <c r="AA104" s="157" t="str">
        <f t="shared" si="50"/>
        <v>#REF!</v>
      </c>
      <c r="AB104" s="157" t="str">
        <f t="shared" si="50"/>
        <v>#REF!</v>
      </c>
      <c r="AC104" s="157" t="str">
        <f t="shared" si="50"/>
        <v>#REF!</v>
      </c>
      <c r="AD104" s="157" t="str">
        <f t="shared" si="50"/>
        <v>#REF!</v>
      </c>
      <c r="AE104" s="157" t="str">
        <f t="shared" si="50"/>
        <v>#REF!</v>
      </c>
      <c r="AF104" s="157" t="str">
        <f t="shared" si="50"/>
        <v>#REF!</v>
      </c>
      <c r="AG104" s="157" t="str">
        <f t="shared" si="50"/>
        <v>#REF!</v>
      </c>
      <c r="AH104" s="157" t="str">
        <f t="shared" si="50"/>
        <v>#REF!</v>
      </c>
      <c r="AI104" s="156"/>
      <c r="AJ104" s="156"/>
      <c r="AK104" s="156"/>
      <c r="AL104" s="156"/>
      <c r="AM104" s="156"/>
      <c r="AN104" s="156"/>
      <c r="AO104" s="156"/>
    </row>
    <row r="105" ht="15.75" customHeight="1">
      <c r="A105" s="129" t="s">
        <v>150</v>
      </c>
      <c r="B105" s="130"/>
      <c r="C105" s="164"/>
      <c r="D105" s="164"/>
      <c r="E105" s="164"/>
      <c r="F105" s="164"/>
      <c r="G105" s="164"/>
      <c r="H105" s="164"/>
      <c r="I105" s="164"/>
      <c r="J105" s="164"/>
      <c r="K105" s="63"/>
      <c r="L105" s="63"/>
      <c r="M105" s="63"/>
      <c r="N105" s="63"/>
      <c r="O105" s="63"/>
      <c r="P105" s="63"/>
      <c r="Q105" s="63"/>
      <c r="R105" s="168"/>
      <c r="S105" s="157">
        <f t="shared" ref="S105:AH105" si="51">S57*S$65/S83</f>
        <v>0</v>
      </c>
      <c r="T105" s="157">
        <f t="shared" si="51"/>
        <v>0</v>
      </c>
      <c r="U105" s="157">
        <f t="shared" si="51"/>
        <v>0</v>
      </c>
      <c r="V105" s="157">
        <f t="shared" si="51"/>
        <v>0</v>
      </c>
      <c r="W105" s="157">
        <f t="shared" si="51"/>
        <v>0</v>
      </c>
      <c r="X105" s="157">
        <f t="shared" si="51"/>
        <v>0</v>
      </c>
      <c r="Y105" s="157">
        <f t="shared" si="51"/>
        <v>0</v>
      </c>
      <c r="Z105" s="157">
        <f t="shared" si="51"/>
        <v>0</v>
      </c>
      <c r="AA105" s="157">
        <f t="shared" si="51"/>
        <v>0</v>
      </c>
      <c r="AB105" s="157">
        <f t="shared" si="51"/>
        <v>0</v>
      </c>
      <c r="AC105" s="157">
        <f t="shared" si="51"/>
        <v>0</v>
      </c>
      <c r="AD105" s="157">
        <f t="shared" si="51"/>
        <v>0</v>
      </c>
      <c r="AE105" s="157">
        <f t="shared" si="51"/>
        <v>0</v>
      </c>
      <c r="AF105" s="157">
        <f t="shared" si="51"/>
        <v>0</v>
      </c>
      <c r="AG105" s="157">
        <f t="shared" si="51"/>
        <v>0</v>
      </c>
      <c r="AH105" s="157">
        <f t="shared" si="51"/>
        <v>0</v>
      </c>
      <c r="AI105" s="156"/>
      <c r="AJ105" s="156"/>
      <c r="AK105" s="156"/>
      <c r="AL105" s="156"/>
      <c r="AM105" s="156"/>
      <c r="AN105" s="156"/>
      <c r="AO105" s="156"/>
    </row>
    <row r="106" ht="15.75" customHeight="1">
      <c r="A106" s="135" t="s">
        <v>151</v>
      </c>
      <c r="B106" s="50"/>
      <c r="C106" s="164"/>
      <c r="D106" s="164"/>
      <c r="E106" s="164"/>
      <c r="F106" s="164"/>
      <c r="G106" s="164"/>
      <c r="H106" s="164"/>
      <c r="I106" s="164"/>
      <c r="J106" s="164"/>
      <c r="K106" s="63"/>
      <c r="L106" s="63"/>
      <c r="M106" s="63"/>
      <c r="N106" s="63"/>
      <c r="O106" s="63"/>
      <c r="P106" s="63"/>
      <c r="Q106" s="63"/>
      <c r="R106" s="168"/>
      <c r="S106" s="168">
        <f t="shared" ref="S106:AH106" si="52">S58*S$65/S84</f>
        <v>78852.85834</v>
      </c>
      <c r="T106" s="168">
        <f t="shared" si="52"/>
        <v>93294.82617</v>
      </c>
      <c r="U106" s="168">
        <f t="shared" si="52"/>
        <v>74875</v>
      </c>
      <c r="V106" s="168">
        <f t="shared" si="52"/>
        <v>82886.66667</v>
      </c>
      <c r="W106" s="168">
        <f t="shared" si="52"/>
        <v>67414.55</v>
      </c>
      <c r="X106" s="168">
        <f t="shared" si="52"/>
        <v>97895.42467</v>
      </c>
      <c r="Y106" s="168">
        <f t="shared" si="52"/>
        <v>83627.77261</v>
      </c>
      <c r="Z106" s="168">
        <f t="shared" si="52"/>
        <v>132033.5908</v>
      </c>
      <c r="AA106" s="168">
        <f t="shared" si="52"/>
        <v>109270.9526</v>
      </c>
      <c r="AB106" s="168">
        <f t="shared" si="52"/>
        <v>170895.382</v>
      </c>
      <c r="AC106" s="168">
        <f t="shared" si="52"/>
        <v>140660.0452</v>
      </c>
      <c r="AD106" s="168">
        <f t="shared" si="52"/>
        <v>195658.1229</v>
      </c>
      <c r="AE106" s="168">
        <f t="shared" si="52"/>
        <v>161041.6857</v>
      </c>
      <c r="AF106" s="168">
        <f t="shared" si="52"/>
        <v>224008.9849</v>
      </c>
      <c r="AG106" s="168">
        <f t="shared" si="52"/>
        <v>184376.626</v>
      </c>
      <c r="AH106" s="168">
        <f t="shared" si="52"/>
        <v>256467.8868</v>
      </c>
      <c r="AI106" s="156"/>
      <c r="AJ106" s="156"/>
      <c r="AK106" s="156"/>
      <c r="AL106" s="156"/>
      <c r="AM106" s="156"/>
      <c r="AN106" s="156"/>
      <c r="AO106" s="156"/>
    </row>
    <row r="107" ht="15.75" customHeight="1">
      <c r="A107" s="158" t="s">
        <v>152</v>
      </c>
      <c r="B107" s="113"/>
      <c r="C107" s="166"/>
      <c r="D107" s="166"/>
      <c r="E107" s="166"/>
      <c r="F107" s="166"/>
      <c r="G107" s="166"/>
      <c r="H107" s="166"/>
      <c r="I107" s="166"/>
      <c r="J107" s="166"/>
      <c r="K107" s="47"/>
      <c r="L107" s="47"/>
      <c r="M107" s="47"/>
      <c r="N107" s="47"/>
      <c r="O107" s="47"/>
      <c r="P107" s="47"/>
      <c r="Q107" s="47"/>
      <c r="R107" s="167" t="str">
        <f>R56*R71/R86</f>
        <v>#DIV/0!</v>
      </c>
      <c r="S107" s="167">
        <f t="shared" ref="S107:AH107" si="53">S61*S68/S87</f>
        <v>283222.8571</v>
      </c>
      <c r="T107" s="167">
        <f t="shared" si="53"/>
        <v>306824.7619</v>
      </c>
      <c r="U107" s="167" t="str">
        <f t="shared" si="53"/>
        <v>#REF!</v>
      </c>
      <c r="V107" s="167" t="str">
        <f t="shared" si="53"/>
        <v>#REF!</v>
      </c>
      <c r="W107" s="167" t="str">
        <f t="shared" si="53"/>
        <v>#REF!</v>
      </c>
      <c r="X107" s="167" t="str">
        <f t="shared" si="53"/>
        <v>#REF!</v>
      </c>
      <c r="Y107" s="167" t="str">
        <f t="shared" si="53"/>
        <v>#REF!</v>
      </c>
      <c r="Z107" s="167" t="str">
        <f t="shared" si="53"/>
        <v>#REF!</v>
      </c>
      <c r="AA107" s="167" t="str">
        <f t="shared" si="53"/>
        <v>#REF!</v>
      </c>
      <c r="AB107" s="167" t="str">
        <f t="shared" si="53"/>
        <v>#REF!</v>
      </c>
      <c r="AC107" s="167" t="str">
        <f t="shared" si="53"/>
        <v>#REF!</v>
      </c>
      <c r="AD107" s="167" t="str">
        <f t="shared" si="53"/>
        <v>#REF!</v>
      </c>
      <c r="AE107" s="167" t="str">
        <f t="shared" si="53"/>
        <v>#REF!</v>
      </c>
      <c r="AF107" s="167" t="str">
        <f t="shared" si="53"/>
        <v>#REF!</v>
      </c>
      <c r="AG107" s="167" t="str">
        <f t="shared" si="53"/>
        <v>#REF!</v>
      </c>
      <c r="AH107" s="167" t="str">
        <f t="shared" si="53"/>
        <v>#REF!</v>
      </c>
      <c r="AI107" s="156"/>
      <c r="AJ107" s="156"/>
      <c r="AK107" s="156"/>
      <c r="AL107" s="156"/>
      <c r="AM107" s="156"/>
      <c r="AN107" s="156"/>
      <c r="AO107" s="156"/>
    </row>
    <row r="108" ht="15.75" customHeight="1">
      <c r="A108" s="160" t="s">
        <v>153</v>
      </c>
      <c r="B108" s="121"/>
      <c r="C108" s="161"/>
      <c r="D108" s="161"/>
      <c r="E108" s="161"/>
      <c r="F108" s="161"/>
      <c r="G108" s="161"/>
      <c r="H108" s="161"/>
      <c r="I108" s="161"/>
      <c r="J108" s="161"/>
      <c r="K108" s="56"/>
      <c r="L108" s="56"/>
      <c r="M108" s="56"/>
      <c r="N108" s="56"/>
      <c r="O108" s="56"/>
      <c r="P108" s="56"/>
      <c r="Q108" s="56"/>
      <c r="R108" s="162" t="str">
        <f t="shared" ref="R108:AH108" si="54">sum(R102:R107)</f>
        <v>#DIV/0!</v>
      </c>
      <c r="S108" s="162">
        <f t="shared" si="54"/>
        <v>947769.8909</v>
      </c>
      <c r="T108" s="162">
        <f t="shared" si="54"/>
        <v>783013.4714</v>
      </c>
      <c r="U108" s="162" t="str">
        <f t="shared" si="54"/>
        <v>#REF!</v>
      </c>
      <c r="V108" s="162" t="str">
        <f t="shared" si="54"/>
        <v>#REF!</v>
      </c>
      <c r="W108" s="162" t="str">
        <f t="shared" si="54"/>
        <v>#REF!</v>
      </c>
      <c r="X108" s="162" t="str">
        <f t="shared" si="54"/>
        <v>#REF!</v>
      </c>
      <c r="Y108" s="162" t="str">
        <f t="shared" si="54"/>
        <v>#REF!</v>
      </c>
      <c r="Z108" s="162" t="str">
        <f t="shared" si="54"/>
        <v>#REF!</v>
      </c>
      <c r="AA108" s="162" t="str">
        <f t="shared" si="54"/>
        <v>#REF!</v>
      </c>
      <c r="AB108" s="162" t="str">
        <f t="shared" si="54"/>
        <v>#REF!</v>
      </c>
      <c r="AC108" s="162" t="str">
        <f t="shared" si="54"/>
        <v>#REF!</v>
      </c>
      <c r="AD108" s="162" t="str">
        <f t="shared" si="54"/>
        <v>#REF!</v>
      </c>
      <c r="AE108" s="162" t="str">
        <f t="shared" si="54"/>
        <v>#REF!</v>
      </c>
      <c r="AF108" s="162" t="str">
        <f t="shared" si="54"/>
        <v>#REF!</v>
      </c>
      <c r="AG108" s="162" t="str">
        <f t="shared" si="54"/>
        <v>#REF!</v>
      </c>
      <c r="AH108" s="162" t="str">
        <f t="shared" si="54"/>
        <v>#REF!</v>
      </c>
      <c r="AI108" s="156"/>
      <c r="AJ108" s="156"/>
      <c r="AK108" s="156"/>
      <c r="AL108" s="156"/>
      <c r="AM108" s="156"/>
      <c r="AN108" s="156"/>
      <c r="AO108" s="156"/>
    </row>
    <row r="109" ht="15.75" customHeight="1">
      <c r="A109" s="169" t="s">
        <v>61</v>
      </c>
      <c r="B109" s="89"/>
      <c r="C109" s="170"/>
      <c r="D109" s="170"/>
      <c r="E109" s="170"/>
      <c r="F109" s="170"/>
      <c r="G109" s="170"/>
      <c r="H109" s="170"/>
      <c r="I109" s="170"/>
      <c r="J109" s="170"/>
      <c r="K109" s="171" t="str">
        <f t="shared" ref="K109:Q109" si="55">#REF!*#REF!</f>
        <v>#REF!</v>
      </c>
      <c r="L109" s="171" t="str">
        <f t="shared" si="55"/>
        <v>#REF!</v>
      </c>
      <c r="M109" s="171" t="str">
        <f t="shared" si="55"/>
        <v>#REF!</v>
      </c>
      <c r="N109" s="171" t="str">
        <f t="shared" si="55"/>
        <v>#REF!</v>
      </c>
      <c r="O109" s="171" t="str">
        <f t="shared" si="55"/>
        <v>#REF!</v>
      </c>
      <c r="P109" s="171" t="str">
        <f t="shared" si="55"/>
        <v>#REF!</v>
      </c>
      <c r="Q109" s="171" t="str">
        <f t="shared" si="55"/>
        <v>#REF!</v>
      </c>
      <c r="R109" s="172">
        <f>R101+R94</f>
        <v>1055056.592</v>
      </c>
      <c r="S109" s="172">
        <f t="shared" ref="S109:AH109" si="56">S101+S94+S108</f>
        <v>1725812.813</v>
      </c>
      <c r="T109" s="172">
        <f t="shared" si="56"/>
        <v>2487301.143</v>
      </c>
      <c r="U109" s="172" t="str">
        <f t="shared" si="56"/>
        <v>#REF!</v>
      </c>
      <c r="V109" s="172" t="str">
        <f t="shared" si="56"/>
        <v>#REF!</v>
      </c>
      <c r="W109" s="172" t="str">
        <f t="shared" si="56"/>
        <v>#REF!</v>
      </c>
      <c r="X109" s="172" t="str">
        <f t="shared" si="56"/>
        <v>#REF!</v>
      </c>
      <c r="Y109" s="172" t="str">
        <f t="shared" si="56"/>
        <v>#REF!</v>
      </c>
      <c r="Z109" s="172" t="str">
        <f t="shared" si="56"/>
        <v>#REF!</v>
      </c>
      <c r="AA109" s="172" t="str">
        <f t="shared" si="56"/>
        <v>#REF!</v>
      </c>
      <c r="AB109" s="172" t="str">
        <f t="shared" si="56"/>
        <v>#REF!</v>
      </c>
      <c r="AC109" s="172" t="str">
        <f t="shared" si="56"/>
        <v>#REF!</v>
      </c>
      <c r="AD109" s="172" t="str">
        <f t="shared" si="56"/>
        <v>#REF!</v>
      </c>
      <c r="AE109" s="172" t="str">
        <f t="shared" si="56"/>
        <v>#REF!</v>
      </c>
      <c r="AF109" s="172" t="str">
        <f t="shared" si="56"/>
        <v>#REF!</v>
      </c>
      <c r="AG109" s="172" t="str">
        <f t="shared" si="56"/>
        <v>#REF!</v>
      </c>
      <c r="AH109" s="172" t="str">
        <f t="shared" si="56"/>
        <v>#REF!</v>
      </c>
      <c r="AI109" s="156"/>
      <c r="AJ109" s="156"/>
      <c r="AK109" s="156"/>
      <c r="AL109" s="156"/>
      <c r="AM109" s="156"/>
      <c r="AN109" s="156"/>
      <c r="AO109" s="156"/>
    </row>
    <row r="110" ht="15.75" customHeight="1">
      <c r="A110" s="173" t="s">
        <v>154</v>
      </c>
      <c r="B110" s="115"/>
      <c r="C110" s="166"/>
      <c r="D110" s="166"/>
      <c r="E110" s="166"/>
      <c r="F110" s="166"/>
      <c r="G110" s="166"/>
      <c r="H110" s="166"/>
      <c r="I110" s="166"/>
      <c r="J110" s="166"/>
      <c r="K110" s="166" t="s">
        <v>18</v>
      </c>
      <c r="L110" s="166" t="s">
        <v>18</v>
      </c>
      <c r="M110" s="166" t="s">
        <v>18</v>
      </c>
      <c r="N110" s="166" t="s">
        <v>18</v>
      </c>
      <c r="O110" s="167">
        <v>231875.0</v>
      </c>
      <c r="P110" s="167">
        <v>145446.0</v>
      </c>
      <c r="Q110" s="167">
        <v>146025.0</v>
      </c>
      <c r="R110" s="167">
        <v>269968.0</v>
      </c>
      <c r="S110" s="167">
        <v>138036.0</v>
      </c>
      <c r="T110" s="167">
        <v>430797.5</v>
      </c>
      <c r="U110" s="167">
        <v>250000.0</v>
      </c>
      <c r="V110" s="167">
        <v>147790.0</v>
      </c>
      <c r="W110" s="167">
        <f>S110</f>
        <v>138036</v>
      </c>
      <c r="X110" s="167">
        <f t="shared" ref="X110:Y110" si="57">T110*0.6</f>
        <v>258478.5</v>
      </c>
      <c r="Y110" s="167">
        <f t="shared" si="57"/>
        <v>150000</v>
      </c>
      <c r="Z110" s="167">
        <f>V110</f>
        <v>147790</v>
      </c>
      <c r="AA110" s="167">
        <v>230055.0</v>
      </c>
      <c r="AB110" s="167">
        <v>251196.0</v>
      </c>
      <c r="AC110" s="167">
        <v>249464.0</v>
      </c>
      <c r="AD110" s="167">
        <v>286524.0</v>
      </c>
      <c r="AE110" s="167">
        <v>298391.0</v>
      </c>
      <c r="AF110" s="167">
        <v>337407.0</v>
      </c>
      <c r="AG110" s="167">
        <v>310405.0</v>
      </c>
      <c r="AH110" s="167">
        <v>346503.0</v>
      </c>
      <c r="AI110" s="156"/>
      <c r="AJ110" s="156"/>
      <c r="AK110" s="156"/>
      <c r="AL110" s="156"/>
      <c r="AM110" s="156"/>
      <c r="AN110" s="156"/>
      <c r="AO110" s="156"/>
    </row>
    <row r="111" ht="15.75" customHeight="1">
      <c r="A111" s="173" t="s">
        <v>155</v>
      </c>
      <c r="B111" s="115"/>
      <c r="C111" s="166"/>
      <c r="D111" s="166"/>
      <c r="E111" s="166"/>
      <c r="F111" s="166"/>
      <c r="G111" s="166"/>
      <c r="H111" s="166"/>
      <c r="I111" s="166"/>
      <c r="J111" s="166"/>
      <c r="K111" s="174"/>
      <c r="L111" s="174"/>
      <c r="M111" s="174"/>
      <c r="N111" s="174"/>
      <c r="O111" s="174"/>
      <c r="P111" s="174"/>
      <c r="Q111" s="174"/>
      <c r="R111" s="175"/>
      <c r="S111" s="167">
        <v>0.0</v>
      </c>
      <c r="T111" s="167">
        <v>0.0</v>
      </c>
      <c r="U111" s="167" t="str">
        <f>'ACO P&amp;L'!F3+'ACO P&amp;L'!F4</f>
        <v>#REF!</v>
      </c>
      <c r="V111" s="176">
        <v>0.0</v>
      </c>
      <c r="W111" s="176">
        <v>0.0</v>
      </c>
      <c r="X111" s="176">
        <v>0.0</v>
      </c>
      <c r="Y111" s="176">
        <v>0.0</v>
      </c>
      <c r="Z111" s="176">
        <v>0.0</v>
      </c>
      <c r="AA111" s="176">
        <v>0.0</v>
      </c>
      <c r="AB111" s="176">
        <v>0.0</v>
      </c>
      <c r="AC111" s="176">
        <v>0.0</v>
      </c>
      <c r="AD111" s="176">
        <v>0.0</v>
      </c>
      <c r="AE111" s="176">
        <v>0.0</v>
      </c>
      <c r="AF111" s="176">
        <v>0.0</v>
      </c>
      <c r="AG111" s="176">
        <v>0.0</v>
      </c>
      <c r="AH111" s="176">
        <v>0.0</v>
      </c>
      <c r="AI111" s="177"/>
      <c r="AJ111" s="177"/>
      <c r="AK111" s="177"/>
      <c r="AL111" s="177"/>
      <c r="AM111" s="177"/>
      <c r="AN111" s="177"/>
      <c r="AO111" s="177"/>
    </row>
    <row r="112" ht="15.75" customHeight="1">
      <c r="A112" s="173" t="s">
        <v>156</v>
      </c>
      <c r="B112" s="115"/>
      <c r="C112" s="166"/>
      <c r="D112" s="166"/>
      <c r="E112" s="166"/>
      <c r="F112" s="166"/>
      <c r="G112" s="166"/>
      <c r="H112" s="166"/>
      <c r="I112" s="166"/>
      <c r="J112" s="166"/>
      <c r="K112" s="174"/>
      <c r="L112" s="174"/>
      <c r="M112" s="174"/>
      <c r="N112" s="174"/>
      <c r="O112" s="174"/>
      <c r="P112" s="174"/>
      <c r="Q112" s="174"/>
      <c r="R112" s="175"/>
      <c r="S112" s="167">
        <v>-124074.0</v>
      </c>
      <c r="T112" s="167">
        <f>60000+152787.5</f>
        <v>212787.5</v>
      </c>
      <c r="U112" s="167"/>
      <c r="V112" s="176">
        <v>-365452.0</v>
      </c>
      <c r="W112" s="176">
        <v>-435568.0</v>
      </c>
      <c r="X112" s="176">
        <v>-351574.0</v>
      </c>
      <c r="Y112" s="176">
        <v>-216056.0</v>
      </c>
      <c r="Z112" s="176">
        <v>-36400.0</v>
      </c>
      <c r="AA112" s="176"/>
      <c r="AB112" s="176"/>
      <c r="AC112" s="176"/>
      <c r="AD112" s="176"/>
      <c r="AE112" s="176"/>
      <c r="AF112" s="176"/>
      <c r="AG112" s="176"/>
      <c r="AH112" s="176"/>
      <c r="AI112" s="177"/>
      <c r="AJ112" s="177"/>
      <c r="AK112" s="177"/>
      <c r="AL112" s="177"/>
      <c r="AM112" s="177"/>
      <c r="AN112" s="177"/>
      <c r="AO112" s="177"/>
    </row>
    <row r="113" ht="15.75" customHeight="1">
      <c r="A113" s="173" t="s">
        <v>37</v>
      </c>
      <c r="B113" s="115"/>
      <c r="C113" s="166"/>
      <c r="D113" s="166"/>
      <c r="E113" s="166"/>
      <c r="F113" s="166"/>
      <c r="G113" s="166"/>
      <c r="H113" s="166"/>
      <c r="I113" s="166"/>
      <c r="J113" s="166"/>
      <c r="K113" s="174" t="str">
        <f>#REF!+K109-120000</f>
        <v>#REF!</v>
      </c>
      <c r="L113" s="174" t="str">
        <f t="shared" ref="L113:M113" si="58">K113+L109-120000</f>
        <v>#REF!</v>
      </c>
      <c r="M113" s="174" t="str">
        <f t="shared" si="58"/>
        <v>#REF!</v>
      </c>
      <c r="N113" s="174" t="str">
        <f>M113+N109</f>
        <v>#REF!</v>
      </c>
      <c r="O113" s="174" t="str">
        <f t="shared" ref="O113:Q113" si="59">N113+O109-O110</f>
        <v>#REF!</v>
      </c>
      <c r="P113" s="174" t="str">
        <f t="shared" si="59"/>
        <v>#REF!</v>
      </c>
      <c r="Q113" s="174" t="str">
        <f t="shared" si="59"/>
        <v>#REF!</v>
      </c>
      <c r="R113" s="178">
        <v>1.8095311E7</v>
      </c>
      <c r="S113" s="167">
        <f t="shared" ref="S113:AH113" si="60">R113+S109-S110+S111+S112</f>
        <v>19559013.81</v>
      </c>
      <c r="T113" s="167">
        <f t="shared" si="60"/>
        <v>21828304.96</v>
      </c>
      <c r="U113" s="167" t="str">
        <f t="shared" si="60"/>
        <v>#REF!</v>
      </c>
      <c r="V113" s="167" t="str">
        <f t="shared" si="60"/>
        <v>#REF!</v>
      </c>
      <c r="W113" s="167" t="str">
        <f t="shared" si="60"/>
        <v>#REF!</v>
      </c>
      <c r="X113" s="167" t="str">
        <f t="shared" si="60"/>
        <v>#REF!</v>
      </c>
      <c r="Y113" s="167" t="str">
        <f t="shared" si="60"/>
        <v>#REF!</v>
      </c>
      <c r="Z113" s="167" t="str">
        <f t="shared" si="60"/>
        <v>#REF!</v>
      </c>
      <c r="AA113" s="167" t="str">
        <f t="shared" si="60"/>
        <v>#REF!</v>
      </c>
      <c r="AB113" s="167" t="str">
        <f t="shared" si="60"/>
        <v>#REF!</v>
      </c>
      <c r="AC113" s="167" t="str">
        <f t="shared" si="60"/>
        <v>#REF!</v>
      </c>
      <c r="AD113" s="167" t="str">
        <f t="shared" si="60"/>
        <v>#REF!</v>
      </c>
      <c r="AE113" s="167" t="str">
        <f t="shared" si="60"/>
        <v>#REF!</v>
      </c>
      <c r="AF113" s="167" t="str">
        <f t="shared" si="60"/>
        <v>#REF!</v>
      </c>
      <c r="AG113" s="167" t="str">
        <f t="shared" si="60"/>
        <v>#REF!</v>
      </c>
      <c r="AH113" s="167" t="str">
        <f t="shared" si="60"/>
        <v>#REF!</v>
      </c>
      <c r="AI113" s="177"/>
      <c r="AJ113" s="177"/>
      <c r="AK113" s="177"/>
      <c r="AL113" s="177"/>
      <c r="AM113" s="177"/>
      <c r="AN113" s="177"/>
      <c r="AO113" s="177"/>
    </row>
    <row r="114" ht="15.75" customHeight="1">
      <c r="A114" s="116" t="s">
        <v>157</v>
      </c>
      <c r="B114" s="117"/>
      <c r="C114" s="179"/>
      <c r="D114" s="179"/>
      <c r="E114" s="179"/>
      <c r="F114" s="179"/>
      <c r="G114" s="179"/>
      <c r="H114" s="179"/>
      <c r="I114" s="179"/>
      <c r="J114" s="179"/>
      <c r="K114" s="180">
        <v>11.0</v>
      </c>
      <c r="L114" s="180">
        <v>12.0</v>
      </c>
      <c r="M114" s="180">
        <v>14.0</v>
      </c>
      <c r="N114" s="180">
        <v>16.0</v>
      </c>
      <c r="O114" s="180">
        <v>17.0</v>
      </c>
      <c r="P114" s="180">
        <v>21.0</v>
      </c>
      <c r="Q114" s="180">
        <v>26.0</v>
      </c>
      <c r="R114" s="180">
        <v>28.0</v>
      </c>
      <c r="S114" s="180">
        <f>ROUNDDOWN((S43/S70)+R114-(S110/S63/3),0)</f>
        <v>29</v>
      </c>
      <c r="T114" s="180">
        <f t="shared" ref="T114:U114" si="61">ROUNDDOWN((T43/average(T$70:T$74))+S114-(T110/80000/3),0)</f>
        <v>30</v>
      </c>
      <c r="U114" s="180" t="str">
        <f t="shared" si="61"/>
        <v>#REF!</v>
      </c>
      <c r="V114" s="180" t="str">
        <f>ROUNDDOWN((V43/average(V$70:V$74))+U114-(V110/80000/3),0)+53</f>
        <v>#REF!</v>
      </c>
      <c r="W114" s="180" t="str">
        <f t="shared" ref="W114:AH114" si="62">ROUNDDOWN((W43/average(W$70:W$74))+V114-(W110/80000/3),0)</f>
        <v>#REF!</v>
      </c>
      <c r="X114" s="180" t="str">
        <f t="shared" si="62"/>
        <v>#REF!</v>
      </c>
      <c r="Y114" s="180" t="str">
        <f t="shared" si="62"/>
        <v>#REF!</v>
      </c>
      <c r="Z114" s="180" t="str">
        <f t="shared" si="62"/>
        <v>#REF!</v>
      </c>
      <c r="AA114" s="180" t="str">
        <f t="shared" si="62"/>
        <v>#REF!</v>
      </c>
      <c r="AB114" s="180" t="str">
        <f t="shared" si="62"/>
        <v>#REF!</v>
      </c>
      <c r="AC114" s="180" t="str">
        <f t="shared" si="62"/>
        <v>#REF!</v>
      </c>
      <c r="AD114" s="180" t="str">
        <f t="shared" si="62"/>
        <v>#REF!</v>
      </c>
      <c r="AE114" s="180" t="str">
        <f t="shared" si="62"/>
        <v>#REF!</v>
      </c>
      <c r="AF114" s="180" t="str">
        <f t="shared" si="62"/>
        <v>#REF!</v>
      </c>
      <c r="AG114" s="180" t="str">
        <f t="shared" si="62"/>
        <v>#REF!</v>
      </c>
      <c r="AH114" s="180" t="str">
        <f t="shared" si="62"/>
        <v>#REF!</v>
      </c>
      <c r="AI114" s="181"/>
      <c r="AJ114" s="181"/>
      <c r="AK114" s="181"/>
      <c r="AL114" s="181"/>
      <c r="AM114" s="181"/>
      <c r="AN114" s="181"/>
      <c r="AO114" s="181"/>
    </row>
    <row r="115" ht="15.75" customHeight="1">
      <c r="A115" s="112" t="s">
        <v>158</v>
      </c>
      <c r="B115" s="113"/>
      <c r="C115" s="159"/>
      <c r="D115" s="159"/>
      <c r="E115" s="159"/>
      <c r="F115" s="159"/>
      <c r="G115" s="159"/>
      <c r="H115" s="159"/>
      <c r="I115" s="159"/>
      <c r="J115" s="159"/>
      <c r="K115" s="182">
        <v>128.0</v>
      </c>
      <c r="L115" s="182">
        <v>141.0</v>
      </c>
      <c r="M115" s="182">
        <v>148.0</v>
      </c>
      <c r="N115" s="182">
        <v>155.0</v>
      </c>
      <c r="O115" s="182">
        <v>166.0</v>
      </c>
      <c r="P115" s="182">
        <v>174.0</v>
      </c>
      <c r="Q115" s="182">
        <v>186.0</v>
      </c>
      <c r="R115" s="182">
        <v>49.0</v>
      </c>
      <c r="S115" s="182">
        <f>ROUNDDOWN((S51/S70)+R115-(S110/S64/3),0)</f>
        <v>50</v>
      </c>
      <c r="T115" s="182">
        <f t="shared" ref="T115:U115" si="63">ROUNDDOWN((T51/average(T75:T79))+S115-(T110/80000/3),0)</f>
        <v>52</v>
      </c>
      <c r="U115" s="182" t="str">
        <f t="shared" si="63"/>
        <v>#REF!</v>
      </c>
      <c r="V115" s="182" t="str">
        <f>ROUNDDOWN((V51/average(V75:V79))+U115-(V110/80000/3),0)+27</f>
        <v>#REF!</v>
      </c>
      <c r="W115" s="182" t="str">
        <f t="shared" ref="W115:AH115" si="64">ROUNDDOWN((W51/average(W75:W79))+V115-(W110/80000/3),0)</f>
        <v>#REF!</v>
      </c>
      <c r="X115" s="182" t="str">
        <f t="shared" si="64"/>
        <v>#REF!</v>
      </c>
      <c r="Y115" s="182" t="str">
        <f t="shared" si="64"/>
        <v>#REF!</v>
      </c>
      <c r="Z115" s="182" t="str">
        <f t="shared" si="64"/>
        <v>#REF!</v>
      </c>
      <c r="AA115" s="182" t="str">
        <f t="shared" si="64"/>
        <v>#REF!</v>
      </c>
      <c r="AB115" s="182" t="str">
        <f t="shared" si="64"/>
        <v>#REF!</v>
      </c>
      <c r="AC115" s="182" t="str">
        <f t="shared" si="64"/>
        <v>#REF!</v>
      </c>
      <c r="AD115" s="182" t="str">
        <f t="shared" si="64"/>
        <v>#REF!</v>
      </c>
      <c r="AE115" s="182" t="str">
        <f t="shared" si="64"/>
        <v>#REF!</v>
      </c>
      <c r="AF115" s="182" t="str">
        <f t="shared" si="64"/>
        <v>#REF!</v>
      </c>
      <c r="AG115" s="182" t="str">
        <f t="shared" si="64"/>
        <v>#REF!</v>
      </c>
      <c r="AH115" s="182" t="str">
        <f t="shared" si="64"/>
        <v>#REF!</v>
      </c>
      <c r="AI115" s="181"/>
      <c r="AJ115" s="181"/>
      <c r="AK115" s="181"/>
      <c r="AL115" s="181"/>
      <c r="AM115" s="181"/>
      <c r="AN115" s="181"/>
      <c r="AO115" s="181"/>
    </row>
    <row r="116" ht="15.75" customHeight="1">
      <c r="A116" s="112" t="s">
        <v>159</v>
      </c>
      <c r="B116" s="113"/>
      <c r="C116" s="159"/>
      <c r="D116" s="159"/>
      <c r="E116" s="159"/>
      <c r="F116" s="159"/>
      <c r="G116" s="159"/>
      <c r="H116" s="159"/>
      <c r="I116" s="159"/>
      <c r="J116" s="159"/>
      <c r="K116" s="182">
        <v>128.0</v>
      </c>
      <c r="L116" s="182">
        <v>141.0</v>
      </c>
      <c r="M116" s="182">
        <v>148.0</v>
      </c>
      <c r="N116" s="182">
        <v>155.0</v>
      </c>
      <c r="O116" s="182">
        <v>166.0</v>
      </c>
      <c r="P116" s="182">
        <v>174.0</v>
      </c>
      <c r="Q116" s="182">
        <v>186.0</v>
      </c>
      <c r="R116" s="182">
        <v>124.0</v>
      </c>
      <c r="S116" s="182">
        <f>ROUNDDOWN((S59/S70)+R116-(S110/S64/3),0)</f>
        <v>125</v>
      </c>
      <c r="T116" s="182">
        <f t="shared" ref="T116:U116" si="65">ROUNDDOWN((T59/average(T$80:T$84))+S116-(T110/80000/3),0)</f>
        <v>126</v>
      </c>
      <c r="U116" s="182" t="str">
        <f t="shared" si="65"/>
        <v>#REF!</v>
      </c>
      <c r="V116" s="182" t="str">
        <f>ROUNDDOWN((V59/average(V$80:V$84))+U116-(V110/80000/3),0)+2</f>
        <v>#REF!</v>
      </c>
      <c r="W116" s="182" t="str">
        <f t="shared" ref="W116:AH116" si="66">ROUNDDOWN((W59/average(W$80:W$84))+V116-(W110/80000/3),0)</f>
        <v>#REF!</v>
      </c>
      <c r="X116" s="182" t="str">
        <f t="shared" si="66"/>
        <v>#REF!</v>
      </c>
      <c r="Y116" s="182" t="str">
        <f t="shared" si="66"/>
        <v>#REF!</v>
      </c>
      <c r="Z116" s="182" t="str">
        <f t="shared" si="66"/>
        <v>#REF!</v>
      </c>
      <c r="AA116" s="182" t="str">
        <f t="shared" si="66"/>
        <v>#REF!</v>
      </c>
      <c r="AB116" s="182" t="str">
        <f t="shared" si="66"/>
        <v>#REF!</v>
      </c>
      <c r="AC116" s="182" t="str">
        <f t="shared" si="66"/>
        <v>#REF!</v>
      </c>
      <c r="AD116" s="182" t="str">
        <f t="shared" si="66"/>
        <v>#REF!</v>
      </c>
      <c r="AE116" s="182" t="str">
        <f t="shared" si="66"/>
        <v>#REF!</v>
      </c>
      <c r="AF116" s="182" t="str">
        <f t="shared" si="66"/>
        <v>#REF!</v>
      </c>
      <c r="AG116" s="182" t="str">
        <f t="shared" si="66"/>
        <v>#REF!</v>
      </c>
      <c r="AH116" s="182" t="str">
        <f t="shared" si="66"/>
        <v>#REF!</v>
      </c>
      <c r="AI116" s="181"/>
      <c r="AJ116" s="181"/>
      <c r="AK116" s="181"/>
      <c r="AL116" s="181"/>
      <c r="AM116" s="181"/>
      <c r="AN116" s="181"/>
      <c r="AO116" s="181"/>
    </row>
    <row r="117" ht="15.75" customHeight="1">
      <c r="A117" s="160" t="s">
        <v>160</v>
      </c>
      <c r="B117" s="121"/>
      <c r="C117" s="161"/>
      <c r="D117" s="161"/>
      <c r="E117" s="161"/>
      <c r="F117" s="161"/>
      <c r="G117" s="161"/>
      <c r="H117" s="161"/>
      <c r="I117" s="161"/>
      <c r="J117" s="161"/>
      <c r="K117" s="183"/>
      <c r="L117" s="183"/>
      <c r="M117" s="183"/>
      <c r="N117" s="183"/>
      <c r="O117" s="183"/>
      <c r="P117" s="183"/>
      <c r="Q117" s="183"/>
      <c r="R117" s="161">
        <f t="shared" ref="R117:AH117" si="67">sum(R114:R116)</f>
        <v>201</v>
      </c>
      <c r="S117" s="161">
        <f t="shared" si="67"/>
        <v>204</v>
      </c>
      <c r="T117" s="161">
        <f t="shared" si="67"/>
        <v>208</v>
      </c>
      <c r="U117" s="161" t="str">
        <f t="shared" si="67"/>
        <v>#REF!</v>
      </c>
      <c r="V117" s="161" t="str">
        <f t="shared" si="67"/>
        <v>#REF!</v>
      </c>
      <c r="W117" s="161" t="str">
        <f t="shared" si="67"/>
        <v>#REF!</v>
      </c>
      <c r="X117" s="161" t="str">
        <f t="shared" si="67"/>
        <v>#REF!</v>
      </c>
      <c r="Y117" s="161" t="str">
        <f t="shared" si="67"/>
        <v>#REF!</v>
      </c>
      <c r="Z117" s="161" t="str">
        <f t="shared" si="67"/>
        <v>#REF!</v>
      </c>
      <c r="AA117" s="161" t="str">
        <f t="shared" si="67"/>
        <v>#REF!</v>
      </c>
      <c r="AB117" s="161" t="str">
        <f t="shared" si="67"/>
        <v>#REF!</v>
      </c>
      <c r="AC117" s="161" t="str">
        <f t="shared" si="67"/>
        <v>#REF!</v>
      </c>
      <c r="AD117" s="161" t="str">
        <f t="shared" si="67"/>
        <v>#REF!</v>
      </c>
      <c r="AE117" s="161" t="str">
        <f t="shared" si="67"/>
        <v>#REF!</v>
      </c>
      <c r="AF117" s="161" t="str">
        <f t="shared" si="67"/>
        <v>#REF!</v>
      </c>
      <c r="AG117" s="161" t="str">
        <f t="shared" si="67"/>
        <v>#REF!</v>
      </c>
      <c r="AH117" s="161" t="str">
        <f t="shared" si="67"/>
        <v>#REF!</v>
      </c>
      <c r="AI117" s="184"/>
      <c r="AJ117" s="185"/>
      <c r="AK117" s="185"/>
      <c r="AL117" s="185"/>
      <c r="AM117" s="185"/>
      <c r="AN117" s="185"/>
      <c r="AO117" s="185"/>
    </row>
    <row r="118" ht="15.75" customHeight="1">
      <c r="A118" s="186" t="s">
        <v>161</v>
      </c>
      <c r="B118" s="130"/>
      <c r="C118" s="154"/>
      <c r="D118" s="154"/>
      <c r="E118" s="154"/>
      <c r="F118" s="154"/>
      <c r="G118" s="154"/>
      <c r="H118" s="154"/>
      <c r="I118" s="154"/>
      <c r="J118" s="154"/>
      <c r="K118" s="187"/>
      <c r="L118" s="187"/>
      <c r="M118" s="187"/>
      <c r="N118" s="187"/>
      <c r="O118" s="187"/>
      <c r="P118" s="187"/>
      <c r="Q118" s="187"/>
      <c r="R118" s="154"/>
      <c r="S118" s="188">
        <v>0.4</v>
      </c>
      <c r="T118" s="188">
        <v>0.4</v>
      </c>
      <c r="U118" s="188">
        <v>0.3</v>
      </c>
      <c r="V118" s="188">
        <v>0.3</v>
      </c>
      <c r="W118" s="188">
        <v>0.4</v>
      </c>
      <c r="X118" s="188">
        <v>0.4</v>
      </c>
      <c r="Y118" s="188">
        <v>0.4</v>
      </c>
      <c r="Z118" s="188">
        <v>0.4</v>
      </c>
      <c r="AA118" s="188">
        <v>0.4</v>
      </c>
      <c r="AB118" s="188">
        <v>0.4</v>
      </c>
      <c r="AC118" s="188">
        <v>0.4</v>
      </c>
      <c r="AD118" s="188">
        <v>0.4</v>
      </c>
      <c r="AE118" s="188">
        <v>0.4</v>
      </c>
      <c r="AF118" s="188">
        <v>0.4</v>
      </c>
      <c r="AG118" s="188">
        <v>0.4</v>
      </c>
      <c r="AH118" s="188">
        <v>0.4</v>
      </c>
      <c r="AI118" s="185"/>
      <c r="AJ118" s="185"/>
      <c r="AK118" s="185"/>
      <c r="AL118" s="185"/>
      <c r="AM118" s="185"/>
      <c r="AN118" s="185"/>
      <c r="AO118" s="185"/>
    </row>
    <row r="119" ht="15.75" customHeight="1">
      <c r="A119" s="189" t="s">
        <v>162</v>
      </c>
      <c r="B119" s="113"/>
      <c r="C119" s="159"/>
      <c r="D119" s="159"/>
      <c r="E119" s="159"/>
      <c r="F119" s="159"/>
      <c r="G119" s="159"/>
      <c r="H119" s="159"/>
      <c r="I119" s="159"/>
      <c r="J119" s="159"/>
      <c r="K119" s="190"/>
      <c r="L119" s="190"/>
      <c r="M119" s="190"/>
      <c r="N119" s="190"/>
      <c r="O119" s="190"/>
      <c r="P119" s="190"/>
      <c r="Q119" s="190"/>
      <c r="R119" s="159"/>
      <c r="S119" s="159">
        <f t="shared" ref="S119:T119" si="68">ROUND(S114*(1-S118)/50,0)</f>
        <v>0</v>
      </c>
      <c r="T119" s="159">
        <f t="shared" si="68"/>
        <v>0</v>
      </c>
      <c r="U119" s="159" t="str">
        <f>ROUND(V114*(1-V118)/50,0)</f>
        <v>#REF!</v>
      </c>
      <c r="V119" s="159" t="str">
        <f t="shared" ref="V119:AH119" si="69">ROUND(V114*(1-V118)/50,0)</f>
        <v>#REF!</v>
      </c>
      <c r="W119" s="159" t="str">
        <f t="shared" si="69"/>
        <v>#REF!</v>
      </c>
      <c r="X119" s="159" t="str">
        <f t="shared" si="69"/>
        <v>#REF!</v>
      </c>
      <c r="Y119" s="159" t="str">
        <f t="shared" si="69"/>
        <v>#REF!</v>
      </c>
      <c r="Z119" s="159" t="str">
        <f t="shared" si="69"/>
        <v>#REF!</v>
      </c>
      <c r="AA119" s="159" t="str">
        <f t="shared" si="69"/>
        <v>#REF!</v>
      </c>
      <c r="AB119" s="159" t="str">
        <f t="shared" si="69"/>
        <v>#REF!</v>
      </c>
      <c r="AC119" s="159" t="str">
        <f t="shared" si="69"/>
        <v>#REF!</v>
      </c>
      <c r="AD119" s="159" t="str">
        <f t="shared" si="69"/>
        <v>#REF!</v>
      </c>
      <c r="AE119" s="159" t="str">
        <f t="shared" si="69"/>
        <v>#REF!</v>
      </c>
      <c r="AF119" s="159" t="str">
        <f t="shared" si="69"/>
        <v>#REF!</v>
      </c>
      <c r="AG119" s="159" t="str">
        <f t="shared" si="69"/>
        <v>#REF!</v>
      </c>
      <c r="AH119" s="159" t="str">
        <f t="shared" si="69"/>
        <v>#REF!</v>
      </c>
      <c r="AI119" s="185"/>
      <c r="AJ119" s="185"/>
      <c r="AK119" s="185"/>
      <c r="AL119" s="185"/>
      <c r="AM119" s="185"/>
      <c r="AN119" s="185"/>
      <c r="AO119" s="185"/>
    </row>
    <row r="120" ht="15.75" customHeight="1">
      <c r="A120" s="189" t="s">
        <v>163</v>
      </c>
      <c r="B120" s="113"/>
      <c r="C120" s="159"/>
      <c r="D120" s="159"/>
      <c r="E120" s="159"/>
      <c r="F120" s="159"/>
      <c r="G120" s="159"/>
      <c r="H120" s="159"/>
      <c r="I120" s="159"/>
      <c r="J120" s="159"/>
      <c r="K120" s="190"/>
      <c r="L120" s="190"/>
      <c r="M120" s="190"/>
      <c r="N120" s="190"/>
      <c r="O120" s="190"/>
      <c r="P120" s="190"/>
      <c r="Q120" s="190"/>
      <c r="R120" s="159"/>
      <c r="S120" s="159">
        <f t="shared" ref="S120:T120" si="70">ROUNDUP(S115*(1-S118)/50,0)</f>
        <v>1</v>
      </c>
      <c r="T120" s="159">
        <f t="shared" si="70"/>
        <v>1</v>
      </c>
      <c r="U120" s="159" t="str">
        <f>ROUNDUP(V115*(1-V118)/50,0)</f>
        <v>#REF!</v>
      </c>
      <c r="V120" s="159" t="str">
        <f t="shared" ref="V120:AH120" si="71">ROUNDUP(V115*(1-V118)/50,0)</f>
        <v>#REF!</v>
      </c>
      <c r="W120" s="159" t="str">
        <f t="shared" si="71"/>
        <v>#REF!</v>
      </c>
      <c r="X120" s="159" t="str">
        <f t="shared" si="71"/>
        <v>#REF!</v>
      </c>
      <c r="Y120" s="159" t="str">
        <f t="shared" si="71"/>
        <v>#REF!</v>
      </c>
      <c r="Z120" s="159" t="str">
        <f t="shared" si="71"/>
        <v>#REF!</v>
      </c>
      <c r="AA120" s="159" t="str">
        <f t="shared" si="71"/>
        <v>#REF!</v>
      </c>
      <c r="AB120" s="159" t="str">
        <f t="shared" si="71"/>
        <v>#REF!</v>
      </c>
      <c r="AC120" s="159" t="str">
        <f t="shared" si="71"/>
        <v>#REF!</v>
      </c>
      <c r="AD120" s="159" t="str">
        <f t="shared" si="71"/>
        <v>#REF!</v>
      </c>
      <c r="AE120" s="159" t="str">
        <f t="shared" si="71"/>
        <v>#REF!</v>
      </c>
      <c r="AF120" s="159" t="str">
        <f t="shared" si="71"/>
        <v>#REF!</v>
      </c>
      <c r="AG120" s="159" t="str">
        <f t="shared" si="71"/>
        <v>#REF!</v>
      </c>
      <c r="AH120" s="159" t="str">
        <f t="shared" si="71"/>
        <v>#REF!</v>
      </c>
      <c r="AI120" s="185"/>
      <c r="AJ120" s="185"/>
      <c r="AK120" s="185"/>
      <c r="AL120" s="185"/>
      <c r="AM120" s="185"/>
      <c r="AN120" s="185"/>
      <c r="AO120" s="185"/>
    </row>
    <row r="121" ht="15.75" customHeight="1">
      <c r="A121" s="191" t="s">
        <v>164</v>
      </c>
      <c r="B121" s="115"/>
      <c r="C121" s="166"/>
      <c r="D121" s="166"/>
      <c r="E121" s="166"/>
      <c r="F121" s="166"/>
      <c r="G121" s="166"/>
      <c r="H121" s="166"/>
      <c r="I121" s="166"/>
      <c r="J121" s="166"/>
      <c r="K121" s="192"/>
      <c r="L121" s="192"/>
      <c r="M121" s="192"/>
      <c r="N121" s="192"/>
      <c r="O121" s="192"/>
      <c r="P121" s="192"/>
      <c r="Q121" s="192"/>
      <c r="R121" s="166"/>
      <c r="S121" s="166">
        <f t="shared" ref="S121:T121" si="72">ROUND(S116*(1-S118)/50,0)</f>
        <v>2</v>
      </c>
      <c r="T121" s="166">
        <f t="shared" si="72"/>
        <v>2</v>
      </c>
      <c r="U121" s="166" t="str">
        <f>ROUND(V116*(1-V118)/50,0)</f>
        <v>#REF!</v>
      </c>
      <c r="V121" s="166" t="str">
        <f t="shared" ref="V121:AH121" si="73">ROUND(V116*(1-V118)/50,0)</f>
        <v>#REF!</v>
      </c>
      <c r="W121" s="166" t="str">
        <f t="shared" si="73"/>
        <v>#REF!</v>
      </c>
      <c r="X121" s="166" t="str">
        <f t="shared" si="73"/>
        <v>#REF!</v>
      </c>
      <c r="Y121" s="166" t="str">
        <f t="shared" si="73"/>
        <v>#REF!</v>
      </c>
      <c r="Z121" s="166" t="str">
        <f t="shared" si="73"/>
        <v>#REF!</v>
      </c>
      <c r="AA121" s="166" t="str">
        <f t="shared" si="73"/>
        <v>#REF!</v>
      </c>
      <c r="AB121" s="166" t="str">
        <f t="shared" si="73"/>
        <v>#REF!</v>
      </c>
      <c r="AC121" s="166" t="str">
        <f t="shared" si="73"/>
        <v>#REF!</v>
      </c>
      <c r="AD121" s="166" t="str">
        <f t="shared" si="73"/>
        <v>#REF!</v>
      </c>
      <c r="AE121" s="166" t="str">
        <f t="shared" si="73"/>
        <v>#REF!</v>
      </c>
      <c r="AF121" s="166" t="str">
        <f t="shared" si="73"/>
        <v>#REF!</v>
      </c>
      <c r="AG121" s="166" t="str">
        <f t="shared" si="73"/>
        <v>#REF!</v>
      </c>
      <c r="AH121" s="166" t="str">
        <f t="shared" si="73"/>
        <v>#REF!</v>
      </c>
      <c r="AI121" s="185"/>
      <c r="AJ121" s="185"/>
      <c r="AK121" s="185"/>
      <c r="AL121" s="185"/>
      <c r="AM121" s="185"/>
      <c r="AN121" s="185"/>
      <c r="AO121" s="185"/>
    </row>
    <row r="122" ht="15.75" customHeight="1">
      <c r="A122" s="193" t="s">
        <v>165</v>
      </c>
      <c r="B122" s="117"/>
      <c r="C122" s="179"/>
      <c r="D122" s="179"/>
      <c r="E122" s="179"/>
      <c r="F122" s="179"/>
      <c r="G122" s="179"/>
      <c r="H122" s="179"/>
      <c r="I122" s="179"/>
      <c r="J122" s="179"/>
      <c r="K122" s="194"/>
      <c r="L122" s="194"/>
      <c r="M122" s="194"/>
      <c r="N122" s="194"/>
      <c r="O122" s="194"/>
      <c r="P122" s="194"/>
      <c r="Q122" s="194"/>
      <c r="R122" s="179"/>
      <c r="S122" s="179" t="str">
        <f t="shared" ref="S122:AE122" si="74">ROUNDDOWN(sum(S88:V92)/($B$125*$B$126),0)</f>
        <v>#REF!</v>
      </c>
      <c r="T122" s="179" t="str">
        <f t="shared" si="74"/>
        <v>#REF!</v>
      </c>
      <c r="U122" s="179" t="str">
        <f t="shared" si="74"/>
        <v>#REF!</v>
      </c>
      <c r="V122" s="179" t="str">
        <f t="shared" si="74"/>
        <v>#REF!</v>
      </c>
      <c r="W122" s="179" t="str">
        <f t="shared" si="74"/>
        <v>#REF!</v>
      </c>
      <c r="X122" s="179" t="str">
        <f t="shared" si="74"/>
        <v>#REF!</v>
      </c>
      <c r="Y122" s="179" t="str">
        <f t="shared" si="74"/>
        <v>#REF!</v>
      </c>
      <c r="Z122" s="179" t="str">
        <f t="shared" si="74"/>
        <v>#REF!</v>
      </c>
      <c r="AA122" s="179" t="str">
        <f t="shared" si="74"/>
        <v>#REF!</v>
      </c>
      <c r="AB122" s="179" t="str">
        <f t="shared" si="74"/>
        <v>#REF!</v>
      </c>
      <c r="AC122" s="179" t="str">
        <f t="shared" si="74"/>
        <v>#REF!</v>
      </c>
      <c r="AD122" s="179" t="str">
        <f t="shared" si="74"/>
        <v>#REF!</v>
      </c>
      <c r="AE122" s="179" t="str">
        <f t="shared" si="74"/>
        <v>#REF!</v>
      </c>
      <c r="AF122" s="179" t="str">
        <f t="shared" ref="AF122:AH122" si="75">AE122</f>
        <v>#REF!</v>
      </c>
      <c r="AG122" s="179" t="str">
        <f t="shared" si="75"/>
        <v>#REF!</v>
      </c>
      <c r="AH122" s="179" t="str">
        <f t="shared" si="75"/>
        <v>#REF!</v>
      </c>
      <c r="AI122" s="195"/>
      <c r="AJ122" s="185"/>
      <c r="AK122" s="185"/>
      <c r="AL122" s="185"/>
      <c r="AM122" s="185"/>
      <c r="AN122" s="185"/>
      <c r="AO122" s="185"/>
    </row>
    <row r="123" ht="15.75" customHeight="1">
      <c r="A123" s="189" t="s">
        <v>166</v>
      </c>
      <c r="B123" s="113"/>
      <c r="C123" s="159"/>
      <c r="D123" s="159"/>
      <c r="E123" s="159"/>
      <c r="F123" s="159"/>
      <c r="G123" s="159"/>
      <c r="H123" s="159"/>
      <c r="I123" s="159"/>
      <c r="J123" s="159"/>
      <c r="K123" s="190"/>
      <c r="L123" s="190"/>
      <c r="M123" s="190"/>
      <c r="N123" s="190"/>
      <c r="O123" s="190"/>
      <c r="P123" s="190"/>
      <c r="Q123" s="190"/>
      <c r="R123" s="159"/>
      <c r="S123" s="159" t="str">
        <f t="shared" ref="S123:AE123" si="76">ROUNDDOWN(sum(S95:V99)/($B$125*$B$126),0)</f>
        <v>#REF!</v>
      </c>
      <c r="T123" s="159" t="str">
        <f t="shared" si="76"/>
        <v>#REF!</v>
      </c>
      <c r="U123" s="159" t="str">
        <f t="shared" si="76"/>
        <v>#REF!</v>
      </c>
      <c r="V123" s="159" t="str">
        <f t="shared" si="76"/>
        <v>#REF!</v>
      </c>
      <c r="W123" s="159" t="str">
        <f t="shared" si="76"/>
        <v>#REF!</v>
      </c>
      <c r="X123" s="159" t="str">
        <f t="shared" si="76"/>
        <v>#REF!</v>
      </c>
      <c r="Y123" s="159" t="str">
        <f t="shared" si="76"/>
        <v>#REF!</v>
      </c>
      <c r="Z123" s="159" t="str">
        <f t="shared" si="76"/>
        <v>#REF!</v>
      </c>
      <c r="AA123" s="159" t="str">
        <f t="shared" si="76"/>
        <v>#REF!</v>
      </c>
      <c r="AB123" s="159" t="str">
        <f t="shared" si="76"/>
        <v>#REF!</v>
      </c>
      <c r="AC123" s="159" t="str">
        <f t="shared" si="76"/>
        <v>#REF!</v>
      </c>
      <c r="AD123" s="159" t="str">
        <f t="shared" si="76"/>
        <v>#REF!</v>
      </c>
      <c r="AE123" s="159" t="str">
        <f t="shared" si="76"/>
        <v>#REF!</v>
      </c>
      <c r="AF123" s="159" t="str">
        <f t="shared" ref="AF123:AH123" si="77">AE123</f>
        <v>#REF!</v>
      </c>
      <c r="AG123" s="159" t="str">
        <f t="shared" si="77"/>
        <v>#REF!</v>
      </c>
      <c r="AH123" s="159" t="str">
        <f t="shared" si="77"/>
        <v>#REF!</v>
      </c>
      <c r="AI123" s="185"/>
      <c r="AJ123" s="185"/>
      <c r="AK123" s="185"/>
      <c r="AL123" s="185"/>
      <c r="AM123" s="185"/>
      <c r="AN123" s="185"/>
      <c r="AO123" s="185"/>
    </row>
    <row r="124" ht="15.75" customHeight="1">
      <c r="A124" s="189" t="s">
        <v>167</v>
      </c>
      <c r="B124" s="113"/>
      <c r="C124" s="159"/>
      <c r="D124" s="159"/>
      <c r="E124" s="159"/>
      <c r="F124" s="159"/>
      <c r="G124" s="159"/>
      <c r="H124" s="159"/>
      <c r="I124" s="159"/>
      <c r="J124" s="159"/>
      <c r="K124" s="190"/>
      <c r="L124" s="190"/>
      <c r="M124" s="190"/>
      <c r="N124" s="190"/>
      <c r="O124" s="190"/>
      <c r="P124" s="190"/>
      <c r="Q124" s="190"/>
      <c r="R124" s="159"/>
      <c r="S124" s="159" t="str">
        <f t="shared" ref="S124:AE124" si="78">ROUNDDOWN(sum(S102:V106)/($B$125*$B$126),0)</f>
        <v>#REF!</v>
      </c>
      <c r="T124" s="159" t="str">
        <f t="shared" si="78"/>
        <v>#REF!</v>
      </c>
      <c r="U124" s="159" t="str">
        <f t="shared" si="78"/>
        <v>#REF!</v>
      </c>
      <c r="V124" s="159" t="str">
        <f t="shared" si="78"/>
        <v>#REF!</v>
      </c>
      <c r="W124" s="159" t="str">
        <f t="shared" si="78"/>
        <v>#REF!</v>
      </c>
      <c r="X124" s="159" t="str">
        <f t="shared" si="78"/>
        <v>#REF!</v>
      </c>
      <c r="Y124" s="159" t="str">
        <f t="shared" si="78"/>
        <v>#REF!</v>
      </c>
      <c r="Z124" s="159" t="str">
        <f t="shared" si="78"/>
        <v>#REF!</v>
      </c>
      <c r="AA124" s="159" t="str">
        <f t="shared" si="78"/>
        <v>#REF!</v>
      </c>
      <c r="AB124" s="159" t="str">
        <f t="shared" si="78"/>
        <v>#REF!</v>
      </c>
      <c r="AC124" s="159" t="str">
        <f t="shared" si="78"/>
        <v>#REF!</v>
      </c>
      <c r="AD124" s="159" t="str">
        <f t="shared" si="78"/>
        <v>#REF!</v>
      </c>
      <c r="AE124" s="159" t="str">
        <f t="shared" si="78"/>
        <v>#REF!</v>
      </c>
      <c r="AF124" s="159" t="str">
        <f t="shared" ref="AF124:AH124" si="79">AE124</f>
        <v>#REF!</v>
      </c>
      <c r="AG124" s="159" t="str">
        <f t="shared" si="79"/>
        <v>#REF!</v>
      </c>
      <c r="AH124" s="159" t="str">
        <f t="shared" si="79"/>
        <v>#REF!</v>
      </c>
      <c r="AI124" s="185"/>
      <c r="AJ124" s="185"/>
      <c r="AK124" s="185"/>
      <c r="AL124" s="185"/>
      <c r="AM124" s="185"/>
      <c r="AN124" s="185"/>
      <c r="AO124" s="185"/>
    </row>
    <row r="125" ht="15.75" customHeight="1">
      <c r="A125" s="196" t="s">
        <v>168</v>
      </c>
      <c r="B125" s="197">
        <v>1000000.0</v>
      </c>
      <c r="C125" s="185"/>
      <c r="D125" s="185"/>
      <c r="E125" s="185"/>
      <c r="F125" s="185"/>
      <c r="G125" s="185"/>
      <c r="H125" s="185"/>
      <c r="I125" s="185"/>
      <c r="J125" s="185"/>
      <c r="K125" s="198"/>
      <c r="L125" s="198"/>
      <c r="M125" s="198"/>
      <c r="N125" s="198"/>
      <c r="O125" s="198"/>
      <c r="P125" s="198"/>
      <c r="Q125" s="198"/>
      <c r="R125" s="185"/>
      <c r="S125" s="185"/>
      <c r="T125" s="185"/>
      <c r="U125" s="185"/>
      <c r="V125" s="185"/>
      <c r="W125" s="185"/>
      <c r="X125" s="185"/>
      <c r="Y125" s="33"/>
      <c r="AD125" s="185"/>
      <c r="AE125" s="185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</row>
    <row r="126" ht="15.75" customHeight="1">
      <c r="A126" s="196" t="s">
        <v>169</v>
      </c>
      <c r="B126" s="199">
        <v>0.9</v>
      </c>
      <c r="C126" s="185"/>
      <c r="D126" s="185"/>
      <c r="E126" s="185"/>
      <c r="F126" s="185"/>
      <c r="G126" s="185"/>
      <c r="H126" s="185"/>
      <c r="I126" s="185"/>
      <c r="J126" s="185"/>
      <c r="K126" s="198"/>
      <c r="L126" s="198"/>
      <c r="M126" s="198"/>
      <c r="N126" s="198"/>
      <c r="O126" s="198"/>
      <c r="P126" s="198"/>
      <c r="Q126" s="198"/>
      <c r="R126" s="185"/>
      <c r="S126" s="185"/>
      <c r="T126" s="185"/>
      <c r="U126" s="185"/>
      <c r="V126" s="185"/>
      <c r="W126" s="185"/>
      <c r="X126" s="185"/>
      <c r="Y126" s="185"/>
      <c r="Z126" s="185"/>
      <c r="AD126" s="185"/>
      <c r="AE126" s="185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</row>
    <row r="127" ht="15.75" customHeight="1">
      <c r="A127" s="185"/>
      <c r="B127" s="185" t="str">
        <f>sum(U61:X61)/U121*0.7</f>
        <v>#REF!</v>
      </c>
      <c r="C127" s="185"/>
      <c r="D127" s="185"/>
      <c r="E127" s="185"/>
      <c r="F127" s="185"/>
      <c r="G127" s="185"/>
      <c r="H127" s="185"/>
      <c r="I127" s="185"/>
      <c r="J127" s="185"/>
      <c r="K127" s="198"/>
      <c r="L127" s="198"/>
      <c r="M127" s="198"/>
      <c r="N127" s="198"/>
      <c r="O127" s="198"/>
      <c r="P127" s="198"/>
      <c r="Q127" s="198"/>
      <c r="R127" s="185"/>
      <c r="S127" s="185"/>
      <c r="T127" s="185"/>
      <c r="U127" s="185"/>
      <c r="V127" s="185"/>
      <c r="W127" s="200"/>
      <c r="X127" s="185"/>
      <c r="Y127" s="185"/>
      <c r="AD127" s="185"/>
      <c r="AE127" s="185"/>
      <c r="AF127" s="185"/>
      <c r="AG127" s="185"/>
      <c r="AH127" s="185"/>
      <c r="AI127" s="185"/>
      <c r="AJ127" s="185"/>
      <c r="AK127" s="185"/>
      <c r="AL127" s="185"/>
      <c r="AM127" s="185"/>
      <c r="AN127" s="185"/>
      <c r="AO127" s="185"/>
    </row>
    <row r="128" ht="15.75" customHeight="1">
      <c r="B128" s="185" t="str">
        <f>B127*1.5</f>
        <v>#REF!</v>
      </c>
      <c r="C128" s="185"/>
      <c r="D128" s="185"/>
      <c r="E128" s="185"/>
      <c r="F128" s="185"/>
      <c r="G128" s="185"/>
      <c r="H128" s="185"/>
      <c r="I128" s="185"/>
      <c r="J128" s="185"/>
      <c r="K128" s="198"/>
      <c r="L128" s="198"/>
      <c r="M128" s="198"/>
      <c r="N128" s="198"/>
      <c r="O128" s="198"/>
      <c r="P128" s="198"/>
      <c r="Q128" s="198"/>
      <c r="R128" s="185"/>
      <c r="S128" s="185"/>
      <c r="T128" s="185"/>
      <c r="U128" s="185"/>
      <c r="V128" s="185"/>
      <c r="W128" s="201"/>
      <c r="X128" s="185"/>
      <c r="Y128" s="185"/>
      <c r="AD128" s="185"/>
      <c r="AE128" s="185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</row>
    <row r="129" ht="15.75" customHeight="1">
      <c r="B129" s="202" t="str">
        <f>B128*U67</f>
        <v>#REF!</v>
      </c>
      <c r="C129" s="185"/>
      <c r="D129" s="185"/>
      <c r="E129" s="185"/>
      <c r="F129" s="185"/>
      <c r="G129" s="185"/>
      <c r="H129" s="185"/>
      <c r="I129" s="185"/>
      <c r="J129" s="185"/>
      <c r="K129" s="198"/>
      <c r="L129" s="198"/>
      <c r="M129" s="198"/>
      <c r="N129" s="198"/>
      <c r="O129" s="198"/>
      <c r="P129" s="198"/>
      <c r="Q129" s="198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185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</row>
    <row r="130" ht="15.75" customHeight="1"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202"/>
      <c r="S130" s="202"/>
      <c r="T130" s="202"/>
      <c r="U130" s="202"/>
      <c r="V130" s="202"/>
      <c r="W130" s="185"/>
      <c r="X130" s="185"/>
      <c r="Y130" s="185"/>
      <c r="Z130" s="185"/>
      <c r="AA130" s="185"/>
      <c r="AB130" s="185"/>
      <c r="AC130" s="185"/>
      <c r="AD130" s="185"/>
      <c r="AE130" s="185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202"/>
      <c r="S131" s="202"/>
      <c r="T131" s="202"/>
      <c r="U131" s="202"/>
      <c r="V131" s="202"/>
      <c r="W131" s="185"/>
      <c r="X131" s="185"/>
      <c r="Y131" s="185"/>
      <c r="Z131" s="185"/>
      <c r="AA131" s="185"/>
      <c r="AB131" s="185"/>
      <c r="AC131" s="185"/>
      <c r="AD131" s="185"/>
      <c r="AE131" s="185"/>
      <c r="AF131" s="185"/>
      <c r="AG131" s="185"/>
      <c r="AH131" s="185"/>
      <c r="AI131" s="185"/>
      <c r="AJ131" s="185"/>
      <c r="AK131" s="185"/>
      <c r="AL131" s="185"/>
      <c r="AM131" s="185"/>
      <c r="AN131" s="185"/>
      <c r="AO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201"/>
      <c r="W132" s="185"/>
      <c r="X132" s="185"/>
      <c r="Y132" s="185"/>
      <c r="Z132" s="185"/>
      <c r="AA132" s="185"/>
      <c r="AB132" s="185"/>
      <c r="AC132" s="185"/>
      <c r="AD132" s="185"/>
      <c r="AE132" s="185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185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201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185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185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185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185"/>
      <c r="AF137" s="185"/>
      <c r="AG137" s="185"/>
      <c r="AH137" s="185"/>
      <c r="AI137" s="185"/>
      <c r="AJ137" s="185"/>
      <c r="AK137" s="185"/>
      <c r="AL137" s="185"/>
      <c r="AM137" s="185"/>
      <c r="AN137" s="185"/>
      <c r="AO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185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185"/>
      <c r="AF139" s="185"/>
      <c r="AG139" s="185"/>
      <c r="AH139" s="185"/>
      <c r="AI139" s="185"/>
      <c r="AJ139" s="185"/>
      <c r="AK139" s="185"/>
      <c r="AL139" s="185"/>
      <c r="AM139" s="185"/>
      <c r="AN139" s="185"/>
      <c r="AO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185"/>
      <c r="AF140" s="185"/>
      <c r="AG140" s="185"/>
      <c r="AH140" s="185"/>
      <c r="AI140" s="185"/>
      <c r="AJ140" s="185"/>
      <c r="AK140" s="185"/>
      <c r="AL140" s="185"/>
      <c r="AM140" s="185"/>
      <c r="AN140" s="185"/>
      <c r="AO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185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185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185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185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185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185"/>
      <c r="AF146" s="185"/>
      <c r="AG146" s="185"/>
      <c r="AH146" s="185"/>
      <c r="AI146" s="185"/>
      <c r="AJ146" s="185"/>
      <c r="AK146" s="185"/>
      <c r="AL146" s="185"/>
      <c r="AM146" s="185"/>
      <c r="AN146" s="185"/>
      <c r="AO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185"/>
      <c r="AF147" s="185"/>
      <c r="AG147" s="185"/>
      <c r="AH147" s="185"/>
      <c r="AI147" s="185"/>
      <c r="AJ147" s="185"/>
      <c r="AK147" s="185"/>
      <c r="AL147" s="185"/>
      <c r="AM147" s="185"/>
      <c r="AN147" s="185"/>
      <c r="AO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185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185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185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185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185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185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185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185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185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185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185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185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185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185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185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185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185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185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185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185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185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185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185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185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185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185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185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185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185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185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185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185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185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185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185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185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185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185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185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185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185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185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185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185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185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185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185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185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185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185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185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</row>
    <row r="201" ht="15.7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185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</row>
    <row r="202" ht="15.7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185"/>
      <c r="AF202" s="185"/>
      <c r="AG202" s="185"/>
      <c r="AH202" s="185"/>
      <c r="AI202" s="185"/>
      <c r="AJ202" s="185"/>
      <c r="AK202" s="185"/>
      <c r="AL202" s="185"/>
      <c r="AM202" s="185"/>
      <c r="AN202" s="185"/>
      <c r="AO202" s="185"/>
    </row>
    <row r="203" ht="15.7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185"/>
      <c r="AF203" s="185"/>
      <c r="AG203" s="185"/>
      <c r="AH203" s="185"/>
      <c r="AI203" s="185"/>
      <c r="AJ203" s="185"/>
      <c r="AK203" s="185"/>
      <c r="AL203" s="185"/>
      <c r="AM203" s="185"/>
      <c r="AN203" s="185"/>
      <c r="AO203" s="185"/>
    </row>
    <row r="204" ht="15.7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185"/>
      <c r="AF204" s="185"/>
      <c r="AG204" s="185"/>
      <c r="AH204" s="185"/>
      <c r="AI204" s="185"/>
      <c r="AJ204" s="185"/>
      <c r="AK204" s="185"/>
      <c r="AL204" s="185"/>
      <c r="AM204" s="185"/>
      <c r="AN204" s="185"/>
      <c r="AO204" s="185"/>
    </row>
    <row r="205" ht="15.7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185"/>
      <c r="AF205" s="185"/>
      <c r="AG205" s="185"/>
      <c r="AH205" s="185"/>
      <c r="AI205" s="185"/>
      <c r="AJ205" s="185"/>
      <c r="AK205" s="185"/>
      <c r="AL205" s="185"/>
      <c r="AM205" s="185"/>
      <c r="AN205" s="185"/>
      <c r="AO205" s="185"/>
    </row>
    <row r="206" ht="15.7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185"/>
      <c r="AF206" s="185"/>
      <c r="AG206" s="185"/>
      <c r="AH206" s="185"/>
      <c r="AI206" s="185"/>
      <c r="AJ206" s="185"/>
      <c r="AK206" s="185"/>
      <c r="AL206" s="185"/>
      <c r="AM206" s="185"/>
      <c r="AN206" s="185"/>
      <c r="AO206" s="185"/>
    </row>
    <row r="207" ht="15.7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185"/>
      <c r="AF207" s="185"/>
      <c r="AG207" s="185"/>
      <c r="AH207" s="185"/>
      <c r="AI207" s="185"/>
      <c r="AJ207" s="185"/>
      <c r="AK207" s="185"/>
      <c r="AL207" s="185"/>
      <c r="AM207" s="185"/>
      <c r="AN207" s="185"/>
      <c r="AO207" s="185"/>
    </row>
    <row r="208" ht="15.7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185"/>
      <c r="AF208" s="185"/>
      <c r="AG208" s="185"/>
      <c r="AH208" s="185"/>
      <c r="AI208" s="185"/>
      <c r="AJ208" s="185"/>
      <c r="AK208" s="185"/>
      <c r="AL208" s="185"/>
      <c r="AM208" s="185"/>
      <c r="AN208" s="185"/>
      <c r="AO208" s="185"/>
    </row>
    <row r="209" ht="15.7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185"/>
      <c r="AF209" s="185"/>
      <c r="AG209" s="185"/>
      <c r="AH209" s="185"/>
      <c r="AI209" s="185"/>
      <c r="AJ209" s="185"/>
      <c r="AK209" s="185"/>
      <c r="AL209" s="185"/>
      <c r="AM209" s="185"/>
      <c r="AN209" s="185"/>
      <c r="AO209" s="185"/>
    </row>
    <row r="210" ht="15.7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185"/>
      <c r="AF210" s="185"/>
      <c r="AG210" s="185"/>
      <c r="AH210" s="185"/>
      <c r="AI210" s="185"/>
      <c r="AJ210" s="185"/>
      <c r="AK210" s="185"/>
      <c r="AL210" s="185"/>
      <c r="AM210" s="185"/>
      <c r="AN210" s="185"/>
      <c r="AO210" s="185"/>
    </row>
    <row r="211" ht="15.7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185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</row>
    <row r="212" ht="15.7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185"/>
      <c r="AF212" s="185"/>
      <c r="AG212" s="185"/>
      <c r="AH212" s="185"/>
      <c r="AI212" s="185"/>
      <c r="AJ212" s="185"/>
      <c r="AK212" s="185"/>
      <c r="AL212" s="185"/>
      <c r="AM212" s="185"/>
      <c r="AN212" s="185"/>
      <c r="AO212" s="185"/>
    </row>
    <row r="213" ht="15.7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185"/>
      <c r="AF213" s="185"/>
      <c r="AG213" s="185"/>
      <c r="AH213" s="185"/>
      <c r="AI213" s="185"/>
      <c r="AJ213" s="185"/>
      <c r="AK213" s="185"/>
      <c r="AL213" s="185"/>
      <c r="AM213" s="185"/>
      <c r="AN213" s="185"/>
      <c r="AO213" s="185"/>
    </row>
    <row r="214" ht="15.7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185"/>
      <c r="AF214" s="185"/>
      <c r="AG214" s="185"/>
      <c r="AH214" s="185"/>
      <c r="AI214" s="185"/>
      <c r="AJ214" s="185"/>
      <c r="AK214" s="185"/>
      <c r="AL214" s="185"/>
      <c r="AM214" s="185"/>
      <c r="AN214" s="185"/>
      <c r="AO214" s="185"/>
    </row>
    <row r="215" ht="15.7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185"/>
      <c r="AF215" s="185"/>
      <c r="AG215" s="185"/>
      <c r="AH215" s="185"/>
      <c r="AI215" s="185"/>
      <c r="AJ215" s="185"/>
      <c r="AK215" s="185"/>
      <c r="AL215" s="185"/>
      <c r="AM215" s="185"/>
      <c r="AN215" s="185"/>
      <c r="AO215" s="185"/>
    </row>
    <row r="216" ht="15.7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185"/>
      <c r="AF216" s="185"/>
      <c r="AG216" s="185"/>
      <c r="AH216" s="185"/>
      <c r="AI216" s="185"/>
      <c r="AJ216" s="185"/>
      <c r="AK216" s="185"/>
      <c r="AL216" s="185"/>
      <c r="AM216" s="185"/>
      <c r="AN216" s="185"/>
      <c r="AO216" s="185"/>
    </row>
    <row r="217" ht="15.7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185"/>
      <c r="AF217" s="185"/>
      <c r="AG217" s="185"/>
      <c r="AH217" s="185"/>
      <c r="AI217" s="185"/>
      <c r="AJ217" s="185"/>
      <c r="AK217" s="185"/>
      <c r="AL217" s="185"/>
      <c r="AM217" s="185"/>
      <c r="AN217" s="185"/>
      <c r="AO217" s="185"/>
    </row>
    <row r="218" ht="15.7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185"/>
      <c r="AF218" s="185"/>
      <c r="AG218" s="185"/>
      <c r="AH218" s="185"/>
      <c r="AI218" s="185"/>
      <c r="AJ218" s="185"/>
      <c r="AK218" s="185"/>
      <c r="AL218" s="185"/>
      <c r="AM218" s="185"/>
      <c r="AN218" s="185"/>
      <c r="AO218" s="185"/>
    </row>
    <row r="219" ht="15.7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185"/>
      <c r="AF219" s="185"/>
      <c r="AG219" s="185"/>
      <c r="AH219" s="185"/>
      <c r="AI219" s="185"/>
      <c r="AJ219" s="185"/>
      <c r="AK219" s="185"/>
      <c r="AL219" s="185"/>
      <c r="AM219" s="185"/>
      <c r="AN219" s="185"/>
      <c r="AO219" s="185"/>
    </row>
    <row r="220" ht="15.7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185"/>
      <c r="AF220" s="185"/>
      <c r="AG220" s="185"/>
      <c r="AH220" s="185"/>
      <c r="AI220" s="185"/>
      <c r="AJ220" s="185"/>
      <c r="AK220" s="185"/>
      <c r="AL220" s="185"/>
      <c r="AM220" s="185"/>
      <c r="AN220" s="185"/>
      <c r="AO220" s="185"/>
    </row>
    <row r="221" ht="15.7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185"/>
      <c r="AF221" s="185"/>
      <c r="AG221" s="185"/>
      <c r="AH221" s="185"/>
      <c r="AI221" s="185"/>
      <c r="AJ221" s="185"/>
      <c r="AK221" s="185"/>
      <c r="AL221" s="185"/>
      <c r="AM221" s="185"/>
      <c r="AN221" s="185"/>
      <c r="AO221" s="185"/>
    </row>
    <row r="222" ht="15.7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185"/>
      <c r="AF222" s="185"/>
      <c r="AG222" s="185"/>
      <c r="AH222" s="185"/>
      <c r="AI222" s="185"/>
      <c r="AJ222" s="185"/>
      <c r="AK222" s="185"/>
      <c r="AL222" s="185"/>
      <c r="AM222" s="185"/>
      <c r="AN222" s="185"/>
      <c r="AO222" s="185"/>
    </row>
    <row r="223" ht="15.7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185"/>
      <c r="AF223" s="185"/>
      <c r="AG223" s="185"/>
      <c r="AH223" s="185"/>
      <c r="AI223" s="185"/>
      <c r="AJ223" s="185"/>
      <c r="AK223" s="185"/>
      <c r="AL223" s="185"/>
      <c r="AM223" s="185"/>
      <c r="AN223" s="185"/>
      <c r="AO223" s="185"/>
    </row>
    <row r="224" ht="15.7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185"/>
      <c r="AF224" s="185"/>
      <c r="AG224" s="185"/>
      <c r="AH224" s="185"/>
      <c r="AI224" s="185"/>
      <c r="AJ224" s="185"/>
      <c r="AK224" s="185"/>
      <c r="AL224" s="185"/>
      <c r="AM224" s="185"/>
      <c r="AN224" s="185"/>
      <c r="AO224" s="185"/>
    </row>
    <row r="225" ht="15.7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185"/>
      <c r="AF225" s="185"/>
      <c r="AG225" s="185"/>
      <c r="AH225" s="185"/>
      <c r="AI225" s="185"/>
      <c r="AJ225" s="185"/>
      <c r="AK225" s="185"/>
      <c r="AL225" s="185"/>
      <c r="AM225" s="185"/>
      <c r="AN225" s="185"/>
      <c r="AO225" s="185"/>
    </row>
    <row r="226" ht="15.7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185"/>
      <c r="AF226" s="185"/>
      <c r="AG226" s="185"/>
      <c r="AH226" s="185"/>
      <c r="AI226" s="185"/>
      <c r="AJ226" s="185"/>
      <c r="AK226" s="185"/>
      <c r="AL226" s="185"/>
      <c r="AM226" s="185"/>
      <c r="AN226" s="185"/>
      <c r="AO226" s="185"/>
    </row>
    <row r="227" ht="15.7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185"/>
      <c r="AF227" s="185"/>
      <c r="AG227" s="185"/>
      <c r="AH227" s="185"/>
      <c r="AI227" s="185"/>
      <c r="AJ227" s="185"/>
      <c r="AK227" s="185"/>
      <c r="AL227" s="185"/>
      <c r="AM227" s="185"/>
      <c r="AN227" s="185"/>
      <c r="AO227" s="185"/>
    </row>
    <row r="228" ht="15.7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185"/>
      <c r="AF228" s="185"/>
      <c r="AG228" s="185"/>
      <c r="AH228" s="185"/>
      <c r="AI228" s="185"/>
      <c r="AJ228" s="185"/>
      <c r="AK228" s="185"/>
      <c r="AL228" s="185"/>
      <c r="AM228" s="185"/>
      <c r="AN228" s="185"/>
      <c r="AO228" s="185"/>
    </row>
    <row r="229" ht="15.7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185"/>
      <c r="AF229" s="185"/>
      <c r="AG229" s="185"/>
      <c r="AH229" s="185"/>
      <c r="AI229" s="185"/>
      <c r="AJ229" s="185"/>
      <c r="AK229" s="185"/>
      <c r="AL229" s="185"/>
      <c r="AM229" s="185"/>
      <c r="AN229" s="185"/>
      <c r="AO229" s="185"/>
    </row>
    <row r="230" ht="15.7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185"/>
      <c r="AF230" s="185"/>
      <c r="AG230" s="185"/>
      <c r="AH230" s="185"/>
      <c r="AI230" s="185"/>
      <c r="AJ230" s="185"/>
      <c r="AK230" s="185"/>
      <c r="AL230" s="185"/>
      <c r="AM230" s="185"/>
      <c r="AN230" s="185"/>
      <c r="AO230" s="185"/>
    </row>
    <row r="231" ht="15.7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185"/>
      <c r="AF231" s="185"/>
      <c r="AG231" s="185"/>
      <c r="AH231" s="185"/>
      <c r="AI231" s="185"/>
      <c r="AJ231" s="185"/>
      <c r="AK231" s="185"/>
      <c r="AL231" s="185"/>
      <c r="AM231" s="185"/>
      <c r="AN231" s="185"/>
      <c r="AO231" s="185"/>
    </row>
    <row r="232" ht="15.7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185"/>
      <c r="AF232" s="185"/>
      <c r="AG232" s="185"/>
      <c r="AH232" s="185"/>
      <c r="AI232" s="185"/>
      <c r="AJ232" s="185"/>
      <c r="AK232" s="185"/>
      <c r="AL232" s="185"/>
      <c r="AM232" s="185"/>
      <c r="AN232" s="185"/>
      <c r="AO232" s="185"/>
    </row>
    <row r="233" ht="15.7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185"/>
      <c r="AF233" s="185"/>
      <c r="AG233" s="185"/>
      <c r="AH233" s="185"/>
      <c r="AI233" s="185"/>
      <c r="AJ233" s="185"/>
      <c r="AK233" s="185"/>
      <c r="AL233" s="185"/>
      <c r="AM233" s="185"/>
      <c r="AN233" s="185"/>
      <c r="AO233" s="185"/>
    </row>
    <row r="234" ht="15.7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185"/>
      <c r="AF234" s="185"/>
      <c r="AG234" s="185"/>
      <c r="AH234" s="185"/>
      <c r="AI234" s="185"/>
      <c r="AJ234" s="185"/>
      <c r="AK234" s="185"/>
      <c r="AL234" s="185"/>
      <c r="AM234" s="185"/>
      <c r="AN234" s="185"/>
      <c r="AO234" s="185"/>
    </row>
    <row r="235" ht="15.7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185"/>
      <c r="AF235" s="185"/>
      <c r="AG235" s="185"/>
      <c r="AH235" s="185"/>
      <c r="AI235" s="185"/>
      <c r="AJ235" s="185"/>
      <c r="AK235" s="185"/>
      <c r="AL235" s="185"/>
      <c r="AM235" s="185"/>
      <c r="AN235" s="185"/>
      <c r="AO235" s="185"/>
    </row>
    <row r="236" ht="15.7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185"/>
      <c r="AF236" s="185"/>
      <c r="AG236" s="185"/>
      <c r="AH236" s="185"/>
      <c r="AI236" s="185"/>
      <c r="AJ236" s="185"/>
      <c r="AK236" s="185"/>
      <c r="AL236" s="185"/>
      <c r="AM236" s="185"/>
      <c r="AN236" s="185"/>
      <c r="AO236" s="185"/>
    </row>
    <row r="237" ht="15.7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185"/>
      <c r="AF237" s="185"/>
      <c r="AG237" s="185"/>
      <c r="AH237" s="185"/>
      <c r="AI237" s="185"/>
      <c r="AJ237" s="185"/>
      <c r="AK237" s="185"/>
      <c r="AL237" s="185"/>
      <c r="AM237" s="185"/>
      <c r="AN237" s="185"/>
      <c r="AO237" s="185"/>
    </row>
    <row r="238" ht="15.7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185"/>
      <c r="AF238" s="185"/>
      <c r="AG238" s="185"/>
      <c r="AH238" s="185"/>
      <c r="AI238" s="185"/>
      <c r="AJ238" s="185"/>
      <c r="AK238" s="185"/>
      <c r="AL238" s="185"/>
      <c r="AM238" s="185"/>
      <c r="AN238" s="185"/>
      <c r="AO238" s="185"/>
    </row>
    <row r="239" ht="15.7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185"/>
      <c r="AF239" s="185"/>
      <c r="AG239" s="185"/>
      <c r="AH239" s="185"/>
      <c r="AI239" s="185"/>
      <c r="AJ239" s="185"/>
      <c r="AK239" s="185"/>
      <c r="AL239" s="185"/>
      <c r="AM239" s="185"/>
      <c r="AN239" s="185"/>
      <c r="AO239" s="185"/>
    </row>
    <row r="240" ht="15.7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185"/>
      <c r="AF240" s="185"/>
      <c r="AG240" s="185"/>
      <c r="AH240" s="185"/>
      <c r="AI240" s="185"/>
      <c r="AJ240" s="185"/>
      <c r="AK240" s="185"/>
      <c r="AL240" s="185"/>
      <c r="AM240" s="185"/>
      <c r="AN240" s="185"/>
      <c r="AO240" s="185"/>
    </row>
    <row r="241" ht="15.7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185"/>
      <c r="AF241" s="185"/>
      <c r="AG241" s="185"/>
      <c r="AH241" s="185"/>
      <c r="AI241" s="185"/>
      <c r="AJ241" s="185"/>
      <c r="AK241" s="185"/>
      <c r="AL241" s="185"/>
      <c r="AM241" s="185"/>
      <c r="AN241" s="185"/>
      <c r="AO241" s="185"/>
    </row>
    <row r="242" ht="15.7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185"/>
      <c r="AF242" s="185"/>
      <c r="AG242" s="185"/>
      <c r="AH242" s="185"/>
      <c r="AI242" s="185"/>
      <c r="AJ242" s="185"/>
      <c r="AK242" s="185"/>
      <c r="AL242" s="185"/>
      <c r="AM242" s="185"/>
      <c r="AN242" s="185"/>
      <c r="AO242" s="185"/>
    </row>
    <row r="243" ht="15.7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185"/>
      <c r="AF243" s="185"/>
      <c r="AG243" s="185"/>
      <c r="AH243" s="185"/>
      <c r="AI243" s="185"/>
      <c r="AJ243" s="185"/>
      <c r="AK243" s="185"/>
      <c r="AL243" s="185"/>
      <c r="AM243" s="185"/>
      <c r="AN243" s="185"/>
      <c r="AO243" s="185"/>
    </row>
    <row r="244" ht="15.7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185"/>
      <c r="AF244" s="185"/>
      <c r="AG244" s="185"/>
      <c r="AH244" s="185"/>
      <c r="AI244" s="185"/>
      <c r="AJ244" s="185"/>
      <c r="AK244" s="185"/>
      <c r="AL244" s="185"/>
      <c r="AM244" s="185"/>
      <c r="AN244" s="185"/>
      <c r="AO244" s="185"/>
    </row>
    <row r="245" ht="15.7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185"/>
      <c r="AF245" s="185"/>
      <c r="AG245" s="185"/>
      <c r="AH245" s="185"/>
      <c r="AI245" s="185"/>
      <c r="AJ245" s="185"/>
      <c r="AK245" s="185"/>
      <c r="AL245" s="185"/>
      <c r="AM245" s="185"/>
      <c r="AN245" s="185"/>
      <c r="AO245" s="185"/>
    </row>
    <row r="246" ht="15.7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185"/>
      <c r="AF246" s="185"/>
      <c r="AG246" s="185"/>
      <c r="AH246" s="185"/>
      <c r="AI246" s="185"/>
      <c r="AJ246" s="185"/>
      <c r="AK246" s="185"/>
      <c r="AL246" s="185"/>
      <c r="AM246" s="185"/>
      <c r="AN246" s="185"/>
      <c r="AO246" s="185"/>
    </row>
    <row r="247" ht="15.7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185"/>
      <c r="AF247" s="185"/>
      <c r="AG247" s="185"/>
      <c r="AH247" s="185"/>
      <c r="AI247" s="185"/>
      <c r="AJ247" s="185"/>
      <c r="AK247" s="185"/>
      <c r="AL247" s="185"/>
      <c r="AM247" s="185"/>
      <c r="AN247" s="185"/>
      <c r="AO247" s="185"/>
    </row>
    <row r="248" ht="15.7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185"/>
      <c r="AF248" s="185"/>
      <c r="AG248" s="185"/>
      <c r="AH248" s="185"/>
      <c r="AI248" s="185"/>
      <c r="AJ248" s="185"/>
      <c r="AK248" s="185"/>
      <c r="AL248" s="185"/>
      <c r="AM248" s="185"/>
      <c r="AN248" s="185"/>
      <c r="AO248" s="185"/>
    </row>
    <row r="249" ht="15.7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185"/>
      <c r="AF249" s="185"/>
      <c r="AG249" s="185"/>
      <c r="AH249" s="185"/>
      <c r="AI249" s="185"/>
      <c r="AJ249" s="185"/>
      <c r="AK249" s="185"/>
      <c r="AL249" s="185"/>
      <c r="AM249" s="185"/>
      <c r="AN249" s="185"/>
      <c r="AO249" s="185"/>
    </row>
    <row r="250" ht="15.7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185"/>
      <c r="AF250" s="185"/>
      <c r="AG250" s="185"/>
      <c r="AH250" s="185"/>
      <c r="AI250" s="185"/>
      <c r="AJ250" s="185"/>
      <c r="AK250" s="185"/>
      <c r="AL250" s="185"/>
      <c r="AM250" s="185"/>
      <c r="AN250" s="185"/>
      <c r="AO250" s="185"/>
    </row>
    <row r="251" ht="15.7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185"/>
      <c r="AF251" s="185"/>
      <c r="AG251" s="185"/>
      <c r="AH251" s="185"/>
      <c r="AI251" s="185"/>
      <c r="AJ251" s="185"/>
      <c r="AK251" s="185"/>
      <c r="AL251" s="185"/>
      <c r="AM251" s="185"/>
      <c r="AN251" s="185"/>
      <c r="AO251" s="185"/>
    </row>
    <row r="252" ht="15.7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185"/>
      <c r="AF252" s="185"/>
      <c r="AG252" s="185"/>
      <c r="AH252" s="185"/>
      <c r="AI252" s="185"/>
      <c r="AJ252" s="185"/>
      <c r="AK252" s="185"/>
      <c r="AL252" s="185"/>
      <c r="AM252" s="185"/>
      <c r="AN252" s="185"/>
      <c r="AO252" s="185"/>
    </row>
    <row r="253" ht="15.7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185"/>
      <c r="AF253" s="185"/>
      <c r="AG253" s="185"/>
      <c r="AH253" s="185"/>
      <c r="AI253" s="185"/>
      <c r="AJ253" s="185"/>
      <c r="AK253" s="185"/>
      <c r="AL253" s="185"/>
      <c r="AM253" s="185"/>
      <c r="AN253" s="185"/>
      <c r="AO253" s="185"/>
    </row>
    <row r="254" ht="15.7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185"/>
      <c r="AF254" s="185"/>
      <c r="AG254" s="185"/>
      <c r="AH254" s="185"/>
      <c r="AI254" s="185"/>
      <c r="AJ254" s="185"/>
      <c r="AK254" s="185"/>
      <c r="AL254" s="185"/>
      <c r="AM254" s="185"/>
      <c r="AN254" s="185"/>
      <c r="AO254" s="185"/>
    </row>
    <row r="255" ht="15.7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185"/>
      <c r="AF255" s="185"/>
      <c r="AG255" s="185"/>
      <c r="AH255" s="185"/>
      <c r="AI255" s="185"/>
      <c r="AJ255" s="185"/>
      <c r="AK255" s="185"/>
      <c r="AL255" s="185"/>
      <c r="AM255" s="185"/>
      <c r="AN255" s="185"/>
      <c r="AO255" s="185"/>
    </row>
    <row r="256" ht="15.7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185"/>
      <c r="AF256" s="185"/>
      <c r="AG256" s="185"/>
      <c r="AH256" s="185"/>
      <c r="AI256" s="185"/>
      <c r="AJ256" s="185"/>
      <c r="AK256" s="185"/>
      <c r="AL256" s="185"/>
      <c r="AM256" s="185"/>
      <c r="AN256" s="185"/>
      <c r="AO256" s="185"/>
    </row>
    <row r="257" ht="15.7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185"/>
      <c r="AF257" s="185"/>
      <c r="AG257" s="185"/>
      <c r="AH257" s="185"/>
      <c r="AI257" s="185"/>
      <c r="AJ257" s="185"/>
      <c r="AK257" s="185"/>
      <c r="AL257" s="185"/>
      <c r="AM257" s="185"/>
      <c r="AN257" s="185"/>
      <c r="AO257" s="185"/>
    </row>
    <row r="258" ht="15.7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185"/>
      <c r="AF258" s="185"/>
      <c r="AG258" s="185"/>
      <c r="AH258" s="185"/>
      <c r="AI258" s="185"/>
      <c r="AJ258" s="185"/>
      <c r="AK258" s="185"/>
      <c r="AL258" s="185"/>
      <c r="AM258" s="185"/>
      <c r="AN258" s="185"/>
      <c r="AO258" s="185"/>
    </row>
    <row r="259" ht="15.7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185"/>
      <c r="AF259" s="185"/>
      <c r="AG259" s="185"/>
      <c r="AH259" s="185"/>
      <c r="AI259" s="185"/>
      <c r="AJ259" s="185"/>
      <c r="AK259" s="185"/>
      <c r="AL259" s="185"/>
      <c r="AM259" s="185"/>
      <c r="AN259" s="185"/>
      <c r="AO259" s="185"/>
    </row>
    <row r="260" ht="15.7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185"/>
      <c r="AF260" s="185"/>
      <c r="AG260" s="185"/>
      <c r="AH260" s="185"/>
      <c r="AI260" s="185"/>
      <c r="AJ260" s="185"/>
      <c r="AK260" s="185"/>
      <c r="AL260" s="185"/>
      <c r="AM260" s="185"/>
      <c r="AN260" s="185"/>
      <c r="AO260" s="185"/>
    </row>
    <row r="261" ht="15.7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185"/>
      <c r="AF261" s="185"/>
      <c r="AG261" s="185"/>
      <c r="AH261" s="185"/>
      <c r="AI261" s="185"/>
      <c r="AJ261" s="185"/>
      <c r="AK261" s="185"/>
      <c r="AL261" s="185"/>
      <c r="AM261" s="185"/>
      <c r="AN261" s="185"/>
      <c r="AO261" s="185"/>
    </row>
    <row r="262" ht="15.7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185"/>
      <c r="AF262" s="185"/>
      <c r="AG262" s="185"/>
      <c r="AH262" s="185"/>
      <c r="AI262" s="185"/>
      <c r="AJ262" s="185"/>
      <c r="AK262" s="185"/>
      <c r="AL262" s="185"/>
      <c r="AM262" s="185"/>
      <c r="AN262" s="185"/>
      <c r="AO262" s="185"/>
    </row>
    <row r="263" ht="15.7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185"/>
      <c r="AF263" s="185"/>
      <c r="AG263" s="185"/>
      <c r="AH263" s="185"/>
      <c r="AI263" s="185"/>
      <c r="AJ263" s="185"/>
      <c r="AK263" s="185"/>
      <c r="AL263" s="185"/>
      <c r="AM263" s="185"/>
      <c r="AN263" s="185"/>
      <c r="AO263" s="185"/>
    </row>
    <row r="264" ht="15.7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185"/>
      <c r="AF264" s="185"/>
      <c r="AG264" s="185"/>
      <c r="AH264" s="185"/>
      <c r="AI264" s="185"/>
      <c r="AJ264" s="185"/>
      <c r="AK264" s="185"/>
      <c r="AL264" s="185"/>
      <c r="AM264" s="185"/>
      <c r="AN264" s="185"/>
      <c r="AO264" s="185"/>
    </row>
    <row r="265" ht="15.7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185"/>
      <c r="AF265" s="185"/>
      <c r="AG265" s="185"/>
      <c r="AH265" s="185"/>
      <c r="AI265" s="185"/>
      <c r="AJ265" s="185"/>
      <c r="AK265" s="185"/>
      <c r="AL265" s="185"/>
      <c r="AM265" s="185"/>
      <c r="AN265" s="185"/>
      <c r="AO265" s="185"/>
    </row>
    <row r="266" ht="15.7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185"/>
      <c r="AF266" s="185"/>
      <c r="AG266" s="185"/>
      <c r="AH266" s="185"/>
      <c r="AI266" s="185"/>
      <c r="AJ266" s="185"/>
      <c r="AK266" s="185"/>
      <c r="AL266" s="185"/>
      <c r="AM266" s="185"/>
      <c r="AN266" s="185"/>
      <c r="AO266" s="185"/>
    </row>
    <row r="267" ht="15.7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185"/>
      <c r="AF267" s="185"/>
      <c r="AG267" s="185"/>
      <c r="AH267" s="185"/>
      <c r="AI267" s="185"/>
      <c r="AJ267" s="185"/>
      <c r="AK267" s="185"/>
      <c r="AL267" s="185"/>
      <c r="AM267" s="185"/>
      <c r="AN267" s="185"/>
      <c r="AO267" s="185"/>
    </row>
    <row r="268" ht="15.7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185"/>
      <c r="AF268" s="185"/>
      <c r="AG268" s="185"/>
      <c r="AH268" s="185"/>
      <c r="AI268" s="185"/>
      <c r="AJ268" s="185"/>
      <c r="AK268" s="185"/>
      <c r="AL268" s="185"/>
      <c r="AM268" s="185"/>
      <c r="AN268" s="185"/>
      <c r="AO268" s="185"/>
    </row>
    <row r="269" ht="15.7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185"/>
      <c r="AF269" s="185"/>
      <c r="AG269" s="185"/>
      <c r="AH269" s="185"/>
      <c r="AI269" s="185"/>
      <c r="AJ269" s="185"/>
      <c r="AK269" s="185"/>
      <c r="AL269" s="185"/>
      <c r="AM269" s="185"/>
      <c r="AN269" s="185"/>
      <c r="AO269" s="185"/>
    </row>
    <row r="270" ht="15.75" customHeight="1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  <c r="AA270" s="185"/>
      <c r="AB270" s="185"/>
      <c r="AC270" s="185"/>
      <c r="AD270" s="185"/>
      <c r="AE270" s="185"/>
      <c r="AF270" s="185"/>
      <c r="AG270" s="185"/>
      <c r="AH270" s="185"/>
      <c r="AI270" s="185"/>
      <c r="AJ270" s="185"/>
      <c r="AK270" s="185"/>
      <c r="AL270" s="185"/>
      <c r="AM270" s="185"/>
      <c r="AN270" s="185"/>
      <c r="AO270" s="185"/>
    </row>
    <row r="271" ht="15.75" customHeight="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  <c r="AA271" s="185"/>
      <c r="AB271" s="185"/>
      <c r="AC271" s="185"/>
      <c r="AD271" s="185"/>
      <c r="AE271" s="185"/>
      <c r="AF271" s="185"/>
      <c r="AG271" s="185"/>
      <c r="AH271" s="185"/>
      <c r="AI271" s="185"/>
      <c r="AJ271" s="185"/>
      <c r="AK271" s="185"/>
      <c r="AL271" s="185"/>
      <c r="AM271" s="185"/>
      <c r="AN271" s="185"/>
      <c r="AO271" s="185"/>
    </row>
    <row r="272" ht="15.75" customHeight="1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  <c r="AA272" s="185"/>
      <c r="AB272" s="185"/>
      <c r="AC272" s="185"/>
      <c r="AD272" s="185"/>
      <c r="AE272" s="185"/>
      <c r="AF272" s="185"/>
      <c r="AG272" s="185"/>
      <c r="AH272" s="185"/>
      <c r="AI272" s="185"/>
      <c r="AJ272" s="185"/>
      <c r="AK272" s="185"/>
      <c r="AL272" s="185"/>
      <c r="AM272" s="185"/>
      <c r="AN272" s="185"/>
      <c r="AO272" s="185"/>
    </row>
    <row r="273" ht="15.75" customHeight="1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  <c r="AA273" s="185"/>
      <c r="AB273" s="185"/>
      <c r="AC273" s="185"/>
      <c r="AD273" s="185"/>
      <c r="AE273" s="185"/>
      <c r="AF273" s="185"/>
      <c r="AG273" s="185"/>
      <c r="AH273" s="185"/>
      <c r="AI273" s="185"/>
      <c r="AJ273" s="185"/>
      <c r="AK273" s="185"/>
      <c r="AL273" s="185"/>
      <c r="AM273" s="185"/>
      <c r="AN273" s="185"/>
      <c r="AO273" s="185"/>
    </row>
    <row r="274" ht="15.75" customHeight="1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  <c r="AA274" s="185"/>
      <c r="AB274" s="185"/>
      <c r="AC274" s="185"/>
      <c r="AD274" s="185"/>
      <c r="AE274" s="185"/>
      <c r="AF274" s="185"/>
      <c r="AG274" s="185"/>
      <c r="AH274" s="185"/>
      <c r="AI274" s="185"/>
      <c r="AJ274" s="185"/>
      <c r="AK274" s="185"/>
      <c r="AL274" s="185"/>
      <c r="AM274" s="185"/>
      <c r="AN274" s="185"/>
      <c r="AO274" s="185"/>
    </row>
    <row r="275" ht="15.75" customHeight="1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  <c r="AA275" s="185"/>
      <c r="AB275" s="185"/>
      <c r="AC275" s="185"/>
      <c r="AD275" s="185"/>
      <c r="AE275" s="185"/>
      <c r="AF275" s="185"/>
      <c r="AG275" s="185"/>
      <c r="AH275" s="185"/>
      <c r="AI275" s="185"/>
      <c r="AJ275" s="185"/>
      <c r="AK275" s="185"/>
      <c r="AL275" s="185"/>
      <c r="AM275" s="185"/>
      <c r="AN275" s="185"/>
      <c r="AO275" s="185"/>
    </row>
    <row r="276" ht="15.75" customHeight="1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  <c r="AA276" s="185"/>
      <c r="AB276" s="185"/>
      <c r="AC276" s="185"/>
      <c r="AD276" s="185"/>
      <c r="AE276" s="185"/>
      <c r="AF276" s="185"/>
      <c r="AG276" s="185"/>
      <c r="AH276" s="185"/>
      <c r="AI276" s="185"/>
      <c r="AJ276" s="185"/>
      <c r="AK276" s="185"/>
      <c r="AL276" s="185"/>
      <c r="AM276" s="185"/>
      <c r="AN276" s="185"/>
      <c r="AO276" s="185"/>
    </row>
    <row r="277" ht="15.75" customHeight="1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  <c r="AA277" s="185"/>
      <c r="AB277" s="185"/>
      <c r="AC277" s="185"/>
      <c r="AD277" s="185"/>
      <c r="AE277" s="185"/>
      <c r="AF277" s="185"/>
      <c r="AG277" s="185"/>
      <c r="AH277" s="185"/>
      <c r="AI277" s="185"/>
      <c r="AJ277" s="185"/>
      <c r="AK277" s="185"/>
      <c r="AL277" s="185"/>
      <c r="AM277" s="185"/>
      <c r="AN277" s="185"/>
      <c r="AO277" s="185"/>
    </row>
    <row r="278" ht="15.75" customHeight="1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  <c r="AA278" s="185"/>
      <c r="AB278" s="185"/>
      <c r="AC278" s="185"/>
      <c r="AD278" s="185"/>
      <c r="AE278" s="185"/>
      <c r="AF278" s="185"/>
      <c r="AG278" s="185"/>
      <c r="AH278" s="185"/>
      <c r="AI278" s="185"/>
      <c r="AJ278" s="185"/>
      <c r="AK278" s="185"/>
      <c r="AL278" s="185"/>
      <c r="AM278" s="185"/>
      <c r="AN278" s="185"/>
      <c r="AO278" s="185"/>
    </row>
    <row r="279" ht="15.75" customHeight="1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  <c r="AA279" s="185"/>
      <c r="AB279" s="185"/>
      <c r="AC279" s="185"/>
      <c r="AD279" s="185"/>
      <c r="AE279" s="185"/>
      <c r="AF279" s="185"/>
      <c r="AG279" s="185"/>
      <c r="AH279" s="185"/>
      <c r="AI279" s="185"/>
      <c r="AJ279" s="185"/>
      <c r="AK279" s="185"/>
      <c r="AL279" s="185"/>
      <c r="AM279" s="185"/>
      <c r="AN279" s="185"/>
      <c r="AO279" s="185"/>
    </row>
    <row r="280" ht="15.75" customHeight="1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  <c r="AA280" s="185"/>
      <c r="AB280" s="185"/>
      <c r="AC280" s="185"/>
      <c r="AD280" s="185"/>
      <c r="AE280" s="185"/>
      <c r="AF280" s="185"/>
      <c r="AG280" s="185"/>
      <c r="AH280" s="185"/>
      <c r="AI280" s="185"/>
      <c r="AJ280" s="185"/>
      <c r="AK280" s="185"/>
      <c r="AL280" s="185"/>
      <c r="AM280" s="185"/>
      <c r="AN280" s="185"/>
      <c r="AO280" s="185"/>
    </row>
    <row r="281" ht="15.75" customHeight="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  <c r="AA281" s="185"/>
      <c r="AB281" s="185"/>
      <c r="AC281" s="185"/>
      <c r="AD281" s="185"/>
      <c r="AE281" s="185"/>
      <c r="AF281" s="185"/>
      <c r="AG281" s="185"/>
      <c r="AH281" s="185"/>
      <c r="AI281" s="185"/>
      <c r="AJ281" s="185"/>
      <c r="AK281" s="185"/>
      <c r="AL281" s="185"/>
      <c r="AM281" s="185"/>
      <c r="AN281" s="185"/>
      <c r="AO281" s="185"/>
    </row>
    <row r="282" ht="15.75" customHeight="1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  <c r="AA282" s="185"/>
      <c r="AB282" s="185"/>
      <c r="AC282" s="185"/>
      <c r="AD282" s="185"/>
      <c r="AE282" s="185"/>
      <c r="AF282" s="185"/>
      <c r="AG282" s="185"/>
      <c r="AH282" s="185"/>
      <c r="AI282" s="185"/>
      <c r="AJ282" s="185"/>
      <c r="AK282" s="185"/>
      <c r="AL282" s="185"/>
      <c r="AM282" s="185"/>
      <c r="AN282" s="185"/>
      <c r="AO282" s="185"/>
    </row>
    <row r="283" ht="15.75" customHeight="1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  <c r="AA283" s="185"/>
      <c r="AB283" s="185"/>
      <c r="AC283" s="185"/>
      <c r="AD283" s="185"/>
      <c r="AE283" s="185"/>
      <c r="AF283" s="185"/>
      <c r="AG283" s="185"/>
      <c r="AH283" s="185"/>
      <c r="AI283" s="185"/>
      <c r="AJ283" s="185"/>
      <c r="AK283" s="185"/>
      <c r="AL283" s="185"/>
      <c r="AM283" s="185"/>
      <c r="AN283" s="185"/>
      <c r="AO283" s="185"/>
    </row>
    <row r="284" ht="15.75" customHeight="1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  <c r="AA284" s="185"/>
      <c r="AB284" s="185"/>
      <c r="AC284" s="185"/>
      <c r="AD284" s="185"/>
      <c r="AE284" s="185"/>
      <c r="AF284" s="185"/>
      <c r="AG284" s="185"/>
      <c r="AH284" s="185"/>
      <c r="AI284" s="185"/>
      <c r="AJ284" s="185"/>
      <c r="AK284" s="185"/>
      <c r="AL284" s="185"/>
      <c r="AM284" s="185"/>
      <c r="AN284" s="185"/>
      <c r="AO284" s="185"/>
    </row>
    <row r="285" ht="15.75" customHeight="1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  <c r="AA285" s="185"/>
      <c r="AB285" s="185"/>
      <c r="AC285" s="185"/>
      <c r="AD285" s="185"/>
      <c r="AE285" s="185"/>
      <c r="AF285" s="185"/>
      <c r="AG285" s="185"/>
      <c r="AH285" s="185"/>
      <c r="AI285" s="185"/>
      <c r="AJ285" s="185"/>
      <c r="AK285" s="185"/>
      <c r="AL285" s="185"/>
      <c r="AM285" s="185"/>
      <c r="AN285" s="185"/>
      <c r="AO285" s="185"/>
    </row>
    <row r="286" ht="15.75" customHeight="1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  <c r="AA286" s="185"/>
      <c r="AB286" s="185"/>
      <c r="AC286" s="185"/>
      <c r="AD286" s="185"/>
      <c r="AE286" s="185"/>
      <c r="AF286" s="185"/>
      <c r="AG286" s="185"/>
      <c r="AH286" s="185"/>
      <c r="AI286" s="185"/>
      <c r="AJ286" s="185"/>
      <c r="AK286" s="185"/>
      <c r="AL286" s="185"/>
      <c r="AM286" s="185"/>
      <c r="AN286" s="185"/>
      <c r="AO286" s="185"/>
    </row>
    <row r="287" ht="15.75" customHeight="1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  <c r="AA287" s="185"/>
      <c r="AB287" s="185"/>
      <c r="AC287" s="185"/>
      <c r="AD287" s="185"/>
      <c r="AE287" s="185"/>
      <c r="AF287" s="185"/>
      <c r="AG287" s="185"/>
      <c r="AH287" s="185"/>
      <c r="AI287" s="185"/>
      <c r="AJ287" s="185"/>
      <c r="AK287" s="185"/>
      <c r="AL287" s="185"/>
      <c r="AM287" s="185"/>
      <c r="AN287" s="185"/>
      <c r="AO287" s="185"/>
    </row>
    <row r="288" ht="15.75" customHeight="1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  <c r="AA288" s="185"/>
      <c r="AB288" s="185"/>
      <c r="AC288" s="185"/>
      <c r="AD288" s="185"/>
      <c r="AE288" s="185"/>
      <c r="AF288" s="185"/>
      <c r="AG288" s="185"/>
      <c r="AH288" s="185"/>
      <c r="AI288" s="185"/>
      <c r="AJ288" s="185"/>
      <c r="AK288" s="185"/>
      <c r="AL288" s="185"/>
      <c r="AM288" s="185"/>
      <c r="AN288" s="185"/>
      <c r="AO288" s="185"/>
    </row>
    <row r="289" ht="15.75" customHeight="1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  <c r="AA289" s="185"/>
      <c r="AB289" s="185"/>
      <c r="AC289" s="185"/>
      <c r="AD289" s="185"/>
      <c r="AE289" s="185"/>
      <c r="AF289" s="185"/>
      <c r="AG289" s="185"/>
      <c r="AH289" s="185"/>
      <c r="AI289" s="185"/>
      <c r="AJ289" s="185"/>
      <c r="AK289" s="185"/>
      <c r="AL289" s="185"/>
      <c r="AM289" s="185"/>
      <c r="AN289" s="185"/>
      <c r="AO289" s="185"/>
    </row>
    <row r="290" ht="15.75" customHeight="1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  <c r="AA290" s="185"/>
      <c r="AB290" s="185"/>
      <c r="AC290" s="185"/>
      <c r="AD290" s="185"/>
      <c r="AE290" s="185"/>
      <c r="AF290" s="185"/>
      <c r="AG290" s="185"/>
      <c r="AH290" s="185"/>
      <c r="AI290" s="185"/>
      <c r="AJ290" s="185"/>
      <c r="AK290" s="185"/>
      <c r="AL290" s="185"/>
      <c r="AM290" s="185"/>
      <c r="AN290" s="185"/>
      <c r="AO290" s="185"/>
    </row>
    <row r="291" ht="15.75" customHeight="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  <c r="AA291" s="185"/>
      <c r="AB291" s="185"/>
      <c r="AC291" s="185"/>
      <c r="AD291" s="185"/>
      <c r="AE291" s="185"/>
      <c r="AF291" s="185"/>
      <c r="AG291" s="185"/>
      <c r="AH291" s="185"/>
      <c r="AI291" s="185"/>
      <c r="AJ291" s="185"/>
      <c r="AK291" s="185"/>
      <c r="AL291" s="185"/>
      <c r="AM291" s="185"/>
      <c r="AN291" s="185"/>
      <c r="AO291" s="185"/>
    </row>
    <row r="292" ht="15.75" customHeight="1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  <c r="AA292" s="185"/>
      <c r="AB292" s="185"/>
      <c r="AC292" s="185"/>
      <c r="AD292" s="185"/>
      <c r="AE292" s="185"/>
      <c r="AF292" s="185"/>
      <c r="AG292" s="185"/>
      <c r="AH292" s="185"/>
      <c r="AI292" s="185"/>
      <c r="AJ292" s="185"/>
      <c r="AK292" s="185"/>
      <c r="AL292" s="185"/>
      <c r="AM292" s="185"/>
      <c r="AN292" s="185"/>
      <c r="AO292" s="185"/>
    </row>
    <row r="293" ht="15.75" customHeight="1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  <c r="AA293" s="185"/>
      <c r="AB293" s="185"/>
      <c r="AC293" s="185"/>
      <c r="AD293" s="185"/>
      <c r="AE293" s="185"/>
      <c r="AF293" s="185"/>
      <c r="AG293" s="185"/>
      <c r="AH293" s="185"/>
      <c r="AI293" s="185"/>
      <c r="AJ293" s="185"/>
      <c r="AK293" s="185"/>
      <c r="AL293" s="185"/>
      <c r="AM293" s="185"/>
      <c r="AN293" s="185"/>
      <c r="AO293" s="185"/>
    </row>
    <row r="294" ht="15.75" customHeight="1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  <c r="AA294" s="185"/>
      <c r="AB294" s="185"/>
      <c r="AC294" s="185"/>
      <c r="AD294" s="185"/>
      <c r="AE294" s="185"/>
      <c r="AF294" s="185"/>
      <c r="AG294" s="185"/>
      <c r="AH294" s="185"/>
      <c r="AI294" s="185"/>
      <c r="AJ294" s="185"/>
      <c r="AK294" s="185"/>
      <c r="AL294" s="185"/>
      <c r="AM294" s="185"/>
      <c r="AN294" s="185"/>
      <c r="AO294" s="185"/>
    </row>
    <row r="295" ht="15.75" customHeight="1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  <c r="AA295" s="185"/>
      <c r="AB295" s="185"/>
      <c r="AC295" s="185"/>
      <c r="AD295" s="185"/>
      <c r="AE295" s="185"/>
      <c r="AF295" s="185"/>
      <c r="AG295" s="185"/>
      <c r="AH295" s="185"/>
      <c r="AI295" s="185"/>
      <c r="AJ295" s="185"/>
      <c r="AK295" s="185"/>
      <c r="AL295" s="185"/>
      <c r="AM295" s="185"/>
      <c r="AN295" s="185"/>
      <c r="AO295" s="185"/>
    </row>
    <row r="296" ht="15.75" customHeight="1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  <c r="AA296" s="185"/>
      <c r="AB296" s="185"/>
      <c r="AC296" s="185"/>
      <c r="AD296" s="185"/>
      <c r="AE296" s="185"/>
      <c r="AF296" s="185"/>
      <c r="AG296" s="185"/>
      <c r="AH296" s="185"/>
      <c r="AI296" s="185"/>
      <c r="AJ296" s="185"/>
      <c r="AK296" s="185"/>
      <c r="AL296" s="185"/>
      <c r="AM296" s="185"/>
      <c r="AN296" s="185"/>
      <c r="AO296" s="185"/>
    </row>
    <row r="297" ht="15.75" customHeight="1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  <c r="AA297" s="185"/>
      <c r="AB297" s="185"/>
      <c r="AC297" s="185"/>
      <c r="AD297" s="185"/>
      <c r="AE297" s="185"/>
      <c r="AF297" s="185"/>
      <c r="AG297" s="185"/>
      <c r="AH297" s="185"/>
      <c r="AI297" s="185"/>
      <c r="AJ297" s="185"/>
      <c r="AK297" s="185"/>
      <c r="AL297" s="185"/>
      <c r="AM297" s="185"/>
      <c r="AN297" s="185"/>
      <c r="AO297" s="185"/>
    </row>
    <row r="298" ht="15.75" customHeight="1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  <c r="AA298" s="185"/>
      <c r="AB298" s="185"/>
      <c r="AC298" s="185"/>
      <c r="AD298" s="185"/>
      <c r="AE298" s="185"/>
      <c r="AF298" s="185"/>
      <c r="AG298" s="185"/>
      <c r="AH298" s="185"/>
      <c r="AI298" s="185"/>
      <c r="AJ298" s="185"/>
      <c r="AK298" s="185"/>
      <c r="AL298" s="185"/>
      <c r="AM298" s="185"/>
      <c r="AN298" s="185"/>
      <c r="AO298" s="185"/>
    </row>
    <row r="299" ht="15.75" customHeight="1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  <c r="AA299" s="185"/>
      <c r="AB299" s="185"/>
      <c r="AC299" s="185"/>
      <c r="AD299" s="185"/>
      <c r="AE299" s="185"/>
      <c r="AF299" s="185"/>
      <c r="AG299" s="185"/>
      <c r="AH299" s="185"/>
      <c r="AI299" s="185"/>
      <c r="AJ299" s="185"/>
      <c r="AK299" s="185"/>
      <c r="AL299" s="185"/>
      <c r="AM299" s="185"/>
      <c r="AN299" s="185"/>
      <c r="AO299" s="185"/>
    </row>
    <row r="300" ht="15.75" customHeight="1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  <c r="AA300" s="185"/>
      <c r="AB300" s="185"/>
      <c r="AC300" s="185"/>
      <c r="AD300" s="185"/>
      <c r="AE300" s="185"/>
      <c r="AF300" s="185"/>
      <c r="AG300" s="185"/>
      <c r="AH300" s="185"/>
      <c r="AI300" s="185"/>
      <c r="AJ300" s="185"/>
      <c r="AK300" s="185"/>
      <c r="AL300" s="185"/>
      <c r="AM300" s="185"/>
      <c r="AN300" s="185"/>
      <c r="AO300" s="185"/>
    </row>
    <row r="301" ht="15.75" customHeight="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  <c r="AA301" s="185"/>
      <c r="AB301" s="185"/>
      <c r="AC301" s="185"/>
      <c r="AD301" s="185"/>
      <c r="AE301" s="185"/>
      <c r="AF301" s="185"/>
      <c r="AG301" s="185"/>
      <c r="AH301" s="185"/>
      <c r="AI301" s="185"/>
      <c r="AJ301" s="185"/>
      <c r="AK301" s="185"/>
      <c r="AL301" s="185"/>
      <c r="AM301" s="185"/>
      <c r="AN301" s="185"/>
      <c r="AO301" s="185"/>
    </row>
    <row r="302" ht="15.75" customHeight="1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  <c r="AA302" s="185"/>
      <c r="AB302" s="185"/>
      <c r="AC302" s="185"/>
      <c r="AD302" s="185"/>
      <c r="AE302" s="185"/>
      <c r="AF302" s="185"/>
      <c r="AG302" s="185"/>
      <c r="AH302" s="185"/>
      <c r="AI302" s="185"/>
      <c r="AJ302" s="185"/>
      <c r="AK302" s="185"/>
      <c r="AL302" s="185"/>
      <c r="AM302" s="185"/>
      <c r="AN302" s="185"/>
      <c r="AO302" s="185"/>
    </row>
    <row r="303" ht="15.75" customHeight="1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  <c r="AA303" s="185"/>
      <c r="AB303" s="185"/>
      <c r="AC303" s="185"/>
      <c r="AD303" s="185"/>
      <c r="AE303" s="185"/>
      <c r="AF303" s="185"/>
      <c r="AG303" s="185"/>
      <c r="AH303" s="185"/>
      <c r="AI303" s="185"/>
      <c r="AJ303" s="185"/>
      <c r="AK303" s="185"/>
      <c r="AL303" s="185"/>
      <c r="AM303" s="185"/>
      <c r="AN303" s="185"/>
      <c r="AO303" s="185"/>
    </row>
    <row r="304" ht="15.75" customHeight="1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  <c r="AA304" s="185"/>
      <c r="AB304" s="185"/>
      <c r="AC304" s="185"/>
      <c r="AD304" s="185"/>
      <c r="AE304" s="185"/>
      <c r="AF304" s="185"/>
      <c r="AG304" s="185"/>
      <c r="AH304" s="185"/>
      <c r="AI304" s="185"/>
      <c r="AJ304" s="185"/>
      <c r="AK304" s="185"/>
      <c r="AL304" s="185"/>
      <c r="AM304" s="185"/>
      <c r="AN304" s="185"/>
      <c r="AO304" s="185"/>
    </row>
    <row r="305" ht="15.75" customHeight="1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  <c r="AA305" s="185"/>
      <c r="AB305" s="185"/>
      <c r="AC305" s="185"/>
      <c r="AD305" s="185"/>
      <c r="AE305" s="185"/>
      <c r="AF305" s="185"/>
      <c r="AG305" s="185"/>
      <c r="AH305" s="185"/>
      <c r="AI305" s="185"/>
      <c r="AJ305" s="185"/>
      <c r="AK305" s="185"/>
      <c r="AL305" s="185"/>
      <c r="AM305" s="185"/>
      <c r="AN305" s="185"/>
      <c r="AO305" s="185"/>
    </row>
    <row r="306" ht="15.75" customHeight="1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  <c r="AA306" s="185"/>
      <c r="AB306" s="185"/>
      <c r="AC306" s="185"/>
      <c r="AD306" s="185"/>
      <c r="AE306" s="185"/>
      <c r="AF306" s="185"/>
      <c r="AG306" s="185"/>
      <c r="AH306" s="185"/>
      <c r="AI306" s="185"/>
      <c r="AJ306" s="185"/>
      <c r="AK306" s="185"/>
      <c r="AL306" s="185"/>
      <c r="AM306" s="185"/>
      <c r="AN306" s="185"/>
      <c r="AO306" s="185"/>
    </row>
    <row r="307" ht="15.75" customHeight="1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  <c r="AA307" s="185"/>
      <c r="AB307" s="185"/>
      <c r="AC307" s="185"/>
      <c r="AD307" s="185"/>
      <c r="AE307" s="185"/>
      <c r="AF307" s="185"/>
      <c r="AG307" s="185"/>
      <c r="AH307" s="185"/>
      <c r="AI307" s="185"/>
      <c r="AJ307" s="185"/>
      <c r="AK307" s="185"/>
      <c r="AL307" s="185"/>
      <c r="AM307" s="185"/>
      <c r="AN307" s="185"/>
      <c r="AO307" s="185"/>
    </row>
    <row r="308" ht="15.75" customHeight="1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  <c r="AA308" s="185"/>
      <c r="AB308" s="185"/>
      <c r="AC308" s="185"/>
      <c r="AD308" s="185"/>
      <c r="AE308" s="185"/>
      <c r="AF308" s="185"/>
      <c r="AG308" s="185"/>
      <c r="AH308" s="185"/>
      <c r="AI308" s="185"/>
      <c r="AJ308" s="185"/>
      <c r="AK308" s="185"/>
      <c r="AL308" s="185"/>
      <c r="AM308" s="185"/>
      <c r="AN308" s="185"/>
      <c r="AO308" s="185"/>
    </row>
    <row r="309" ht="15.75" customHeight="1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  <c r="AA309" s="185"/>
      <c r="AB309" s="185"/>
      <c r="AC309" s="185"/>
      <c r="AD309" s="185"/>
      <c r="AE309" s="185"/>
      <c r="AF309" s="185"/>
      <c r="AG309" s="185"/>
      <c r="AH309" s="185"/>
      <c r="AI309" s="185"/>
      <c r="AJ309" s="185"/>
      <c r="AK309" s="185"/>
      <c r="AL309" s="185"/>
      <c r="AM309" s="185"/>
      <c r="AN309" s="185"/>
      <c r="AO309" s="185"/>
    </row>
    <row r="310" ht="15.75" customHeight="1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  <c r="AA310" s="185"/>
      <c r="AB310" s="185"/>
      <c r="AC310" s="185"/>
      <c r="AD310" s="185"/>
      <c r="AE310" s="185"/>
      <c r="AF310" s="185"/>
      <c r="AG310" s="185"/>
      <c r="AH310" s="185"/>
      <c r="AI310" s="185"/>
      <c r="AJ310" s="185"/>
      <c r="AK310" s="185"/>
      <c r="AL310" s="185"/>
      <c r="AM310" s="185"/>
      <c r="AN310" s="185"/>
      <c r="AO310" s="185"/>
    </row>
    <row r="311" ht="15.75" customHeight="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  <c r="AA311" s="185"/>
      <c r="AB311" s="185"/>
      <c r="AC311" s="185"/>
      <c r="AD311" s="185"/>
      <c r="AE311" s="185"/>
      <c r="AF311" s="185"/>
      <c r="AG311" s="185"/>
      <c r="AH311" s="185"/>
      <c r="AI311" s="185"/>
      <c r="AJ311" s="185"/>
      <c r="AK311" s="185"/>
      <c r="AL311" s="185"/>
      <c r="AM311" s="185"/>
      <c r="AN311" s="185"/>
      <c r="AO311" s="185"/>
    </row>
    <row r="312" ht="15.75" customHeight="1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  <c r="AA312" s="185"/>
      <c r="AB312" s="185"/>
      <c r="AC312" s="185"/>
      <c r="AD312" s="185"/>
      <c r="AE312" s="185"/>
      <c r="AF312" s="185"/>
      <c r="AG312" s="185"/>
      <c r="AH312" s="185"/>
      <c r="AI312" s="185"/>
      <c r="AJ312" s="185"/>
      <c r="AK312" s="185"/>
      <c r="AL312" s="185"/>
      <c r="AM312" s="185"/>
      <c r="AN312" s="185"/>
      <c r="AO312" s="185"/>
    </row>
    <row r="313" ht="15.75" customHeight="1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  <c r="AA313" s="185"/>
      <c r="AB313" s="185"/>
      <c r="AC313" s="185"/>
      <c r="AD313" s="185"/>
      <c r="AE313" s="185"/>
      <c r="AF313" s="185"/>
      <c r="AG313" s="185"/>
      <c r="AH313" s="185"/>
      <c r="AI313" s="185"/>
      <c r="AJ313" s="185"/>
      <c r="AK313" s="185"/>
      <c r="AL313" s="185"/>
      <c r="AM313" s="185"/>
      <c r="AN313" s="185"/>
      <c r="AO313" s="185"/>
    </row>
    <row r="314" ht="15.75" customHeight="1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  <c r="AA314" s="185"/>
      <c r="AB314" s="185"/>
      <c r="AC314" s="185"/>
      <c r="AD314" s="185"/>
      <c r="AE314" s="185"/>
      <c r="AF314" s="185"/>
      <c r="AG314" s="185"/>
      <c r="AH314" s="185"/>
      <c r="AI314" s="185"/>
      <c r="AJ314" s="185"/>
      <c r="AK314" s="185"/>
      <c r="AL314" s="185"/>
      <c r="AM314" s="185"/>
      <c r="AN314" s="185"/>
      <c r="AO314" s="185"/>
    </row>
    <row r="315" ht="15.75" customHeight="1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  <c r="AA315" s="185"/>
      <c r="AB315" s="185"/>
      <c r="AC315" s="185"/>
      <c r="AD315" s="185"/>
      <c r="AE315" s="185"/>
      <c r="AF315" s="185"/>
      <c r="AG315" s="185"/>
      <c r="AH315" s="185"/>
      <c r="AI315" s="185"/>
      <c r="AJ315" s="185"/>
      <c r="AK315" s="185"/>
      <c r="AL315" s="185"/>
      <c r="AM315" s="185"/>
      <c r="AN315" s="185"/>
      <c r="AO315" s="185"/>
    </row>
    <row r="316" ht="15.75" customHeight="1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  <c r="AA316" s="185"/>
      <c r="AB316" s="185"/>
      <c r="AC316" s="185"/>
      <c r="AD316" s="185"/>
      <c r="AE316" s="185"/>
      <c r="AF316" s="185"/>
      <c r="AG316" s="185"/>
      <c r="AH316" s="185"/>
      <c r="AI316" s="185"/>
      <c r="AJ316" s="185"/>
      <c r="AK316" s="185"/>
      <c r="AL316" s="185"/>
      <c r="AM316" s="185"/>
      <c r="AN316" s="185"/>
      <c r="AO316" s="185"/>
    </row>
    <row r="317" ht="15.75" customHeight="1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  <c r="AA317" s="185"/>
      <c r="AB317" s="185"/>
      <c r="AC317" s="185"/>
      <c r="AD317" s="185"/>
      <c r="AE317" s="185"/>
      <c r="AF317" s="185"/>
      <c r="AG317" s="185"/>
      <c r="AH317" s="185"/>
      <c r="AI317" s="185"/>
      <c r="AJ317" s="185"/>
      <c r="AK317" s="185"/>
      <c r="AL317" s="185"/>
      <c r="AM317" s="185"/>
      <c r="AN317" s="185"/>
      <c r="AO317" s="185"/>
    </row>
    <row r="318" ht="15.75" customHeight="1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  <c r="AA318" s="185"/>
      <c r="AB318" s="185"/>
      <c r="AC318" s="185"/>
      <c r="AD318" s="185"/>
      <c r="AE318" s="185"/>
      <c r="AF318" s="185"/>
      <c r="AG318" s="185"/>
      <c r="AH318" s="185"/>
      <c r="AI318" s="185"/>
      <c r="AJ318" s="185"/>
      <c r="AK318" s="185"/>
      <c r="AL318" s="185"/>
      <c r="AM318" s="185"/>
      <c r="AN318" s="185"/>
      <c r="AO318" s="185"/>
    </row>
    <row r="319" ht="15.75" customHeight="1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  <c r="AA319" s="185"/>
      <c r="AB319" s="185"/>
      <c r="AC319" s="185"/>
      <c r="AD319" s="185"/>
      <c r="AE319" s="185"/>
      <c r="AF319" s="185"/>
      <c r="AG319" s="185"/>
      <c r="AH319" s="185"/>
      <c r="AI319" s="185"/>
      <c r="AJ319" s="185"/>
      <c r="AK319" s="185"/>
      <c r="AL319" s="185"/>
      <c r="AM319" s="185"/>
      <c r="AN319" s="185"/>
      <c r="AO319" s="185"/>
    </row>
    <row r="320" ht="15.75" customHeight="1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  <c r="AA320" s="185"/>
      <c r="AB320" s="185"/>
      <c r="AC320" s="185"/>
      <c r="AD320" s="185"/>
      <c r="AE320" s="185"/>
      <c r="AF320" s="185"/>
      <c r="AG320" s="185"/>
      <c r="AH320" s="185"/>
      <c r="AI320" s="185"/>
      <c r="AJ320" s="185"/>
      <c r="AK320" s="185"/>
      <c r="AL320" s="185"/>
      <c r="AM320" s="185"/>
      <c r="AN320" s="185"/>
      <c r="AO320" s="185"/>
    </row>
    <row r="321" ht="15.75" customHeight="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  <c r="AA321" s="185"/>
      <c r="AB321" s="185"/>
      <c r="AC321" s="185"/>
      <c r="AD321" s="185"/>
      <c r="AE321" s="185"/>
      <c r="AF321" s="185"/>
      <c r="AG321" s="185"/>
      <c r="AH321" s="185"/>
      <c r="AI321" s="185"/>
      <c r="AJ321" s="185"/>
      <c r="AK321" s="185"/>
      <c r="AL321" s="185"/>
      <c r="AM321" s="185"/>
      <c r="AN321" s="185"/>
      <c r="AO321" s="185"/>
    </row>
    <row r="322" ht="15.75" customHeight="1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  <c r="AA322" s="185"/>
      <c r="AB322" s="185"/>
      <c r="AC322" s="185"/>
      <c r="AD322" s="185"/>
      <c r="AE322" s="185"/>
      <c r="AF322" s="185"/>
      <c r="AG322" s="185"/>
      <c r="AH322" s="185"/>
      <c r="AI322" s="185"/>
      <c r="AJ322" s="185"/>
      <c r="AK322" s="185"/>
      <c r="AL322" s="185"/>
      <c r="AM322" s="185"/>
      <c r="AN322" s="185"/>
      <c r="AO322" s="185"/>
    </row>
    <row r="323" ht="15.75" customHeight="1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  <c r="AA323" s="185"/>
      <c r="AB323" s="185"/>
      <c r="AC323" s="185"/>
      <c r="AD323" s="185"/>
      <c r="AE323" s="185"/>
      <c r="AF323" s="185"/>
      <c r="AG323" s="185"/>
      <c r="AH323" s="185"/>
      <c r="AI323" s="185"/>
      <c r="AJ323" s="185"/>
      <c r="AK323" s="185"/>
      <c r="AL323" s="185"/>
      <c r="AM323" s="185"/>
      <c r="AN323" s="185"/>
      <c r="AO323" s="185"/>
    </row>
    <row r="324" ht="15.75" customHeight="1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  <c r="AA324" s="185"/>
      <c r="AB324" s="185"/>
      <c r="AC324" s="185"/>
      <c r="AD324" s="185"/>
      <c r="AE324" s="185"/>
      <c r="AF324" s="185"/>
      <c r="AG324" s="185"/>
      <c r="AH324" s="185"/>
      <c r="AI324" s="185"/>
      <c r="AJ324" s="185"/>
      <c r="AK324" s="185"/>
      <c r="AL324" s="185"/>
      <c r="AM324" s="185"/>
      <c r="AN324" s="185"/>
      <c r="AO324" s="185"/>
    </row>
    <row r="325" ht="15.75" customHeight="1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  <c r="AA325" s="185"/>
      <c r="AB325" s="185"/>
      <c r="AC325" s="185"/>
      <c r="AD325" s="185"/>
      <c r="AE325" s="185"/>
      <c r="AF325" s="185"/>
      <c r="AG325" s="185"/>
      <c r="AH325" s="185"/>
      <c r="AI325" s="185"/>
      <c r="AJ325" s="185"/>
      <c r="AK325" s="185"/>
      <c r="AL325" s="185"/>
      <c r="AM325" s="185"/>
      <c r="AN325" s="185"/>
      <c r="AO325" s="185"/>
    </row>
    <row r="326" ht="15.75" customHeight="1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  <c r="AA326" s="185"/>
      <c r="AB326" s="185"/>
      <c r="AC326" s="185"/>
      <c r="AD326" s="185"/>
      <c r="AE326" s="185"/>
      <c r="AF326" s="185"/>
      <c r="AG326" s="185"/>
      <c r="AH326" s="185"/>
      <c r="AI326" s="185"/>
      <c r="AJ326" s="185"/>
      <c r="AK326" s="185"/>
      <c r="AL326" s="185"/>
      <c r="AM326" s="185"/>
      <c r="AN326" s="185"/>
      <c r="AO326" s="185"/>
    </row>
    <row r="327" ht="15.75" customHeight="1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  <c r="AA327" s="185"/>
      <c r="AB327" s="185"/>
      <c r="AC327" s="185"/>
      <c r="AD327" s="185"/>
      <c r="AE327" s="185"/>
      <c r="AF327" s="185"/>
      <c r="AG327" s="185"/>
      <c r="AH327" s="185"/>
      <c r="AI327" s="185"/>
      <c r="AJ327" s="185"/>
      <c r="AK327" s="185"/>
      <c r="AL327" s="185"/>
      <c r="AM327" s="185"/>
      <c r="AN327" s="185"/>
      <c r="AO327" s="185"/>
    </row>
    <row r="328" ht="15.75" customHeight="1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  <c r="AA328" s="185"/>
      <c r="AB328" s="185"/>
      <c r="AC328" s="185"/>
      <c r="AD328" s="185"/>
      <c r="AE328" s="185"/>
      <c r="AF328" s="185"/>
      <c r="AG328" s="185"/>
      <c r="AH328" s="185"/>
      <c r="AI328" s="185"/>
      <c r="AJ328" s="185"/>
      <c r="AK328" s="185"/>
      <c r="AL328" s="185"/>
      <c r="AM328" s="185"/>
      <c r="AN328" s="185"/>
      <c r="AO328" s="185"/>
    </row>
    <row r="329" ht="15.75" customHeight="1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  <c r="AA329" s="185"/>
      <c r="AB329" s="185"/>
      <c r="AC329" s="185"/>
      <c r="AD329" s="185"/>
      <c r="AE329" s="185"/>
      <c r="AF329" s="185"/>
      <c r="AG329" s="185"/>
      <c r="AH329" s="185"/>
      <c r="AI329" s="185"/>
      <c r="AJ329" s="185"/>
      <c r="AK329" s="185"/>
      <c r="AL329" s="185"/>
      <c r="AM329" s="185"/>
      <c r="AN329" s="185"/>
      <c r="AO329" s="185"/>
    </row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9"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23:B123"/>
    <mergeCell ref="A124:B124"/>
    <mergeCell ref="A116:B116"/>
    <mergeCell ref="A117:B117"/>
    <mergeCell ref="A118:B118"/>
    <mergeCell ref="A119:B119"/>
    <mergeCell ref="A120:B120"/>
    <mergeCell ref="A121:B121"/>
    <mergeCell ref="A122:B122"/>
    <mergeCell ref="A2:A11"/>
    <mergeCell ref="A12:B12"/>
    <mergeCell ref="A13:A23"/>
    <mergeCell ref="A24:B24"/>
    <mergeCell ref="A25:A35"/>
    <mergeCell ref="A36:B36"/>
    <mergeCell ref="A37:B37"/>
    <mergeCell ref="A38:A42"/>
    <mergeCell ref="A43:B43"/>
    <mergeCell ref="A45:B45"/>
    <mergeCell ref="A46:A50"/>
    <mergeCell ref="A51:B51"/>
    <mergeCell ref="A53:B53"/>
    <mergeCell ref="A54:A58"/>
    <mergeCell ref="A59:B59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 ht="15.75" customHeight="1">
      <c r="A1" s="43" t="s">
        <v>0</v>
      </c>
      <c r="B1" s="203"/>
      <c r="C1" s="203"/>
      <c r="D1" s="43" t="s">
        <v>7</v>
      </c>
      <c r="E1" s="43" t="s">
        <v>8</v>
      </c>
      <c r="F1" s="43" t="s">
        <v>9</v>
      </c>
      <c r="G1" s="43" t="s">
        <v>10</v>
      </c>
      <c r="H1" s="43" t="s">
        <v>11</v>
      </c>
      <c r="I1" s="43" t="s">
        <v>12</v>
      </c>
      <c r="J1" s="43" t="s">
        <v>13</v>
      </c>
      <c r="K1" s="43" t="s">
        <v>63</v>
      </c>
      <c r="L1" s="43" t="s">
        <v>64</v>
      </c>
      <c r="M1" s="43" t="s">
        <v>65</v>
      </c>
      <c r="N1" s="43" t="s">
        <v>66</v>
      </c>
      <c r="O1" s="43" t="s">
        <v>67</v>
      </c>
      <c r="P1" s="43" t="s">
        <v>68</v>
      </c>
      <c r="Q1" s="43" t="s">
        <v>69</v>
      </c>
      <c r="R1" s="43" t="s">
        <v>70</v>
      </c>
      <c r="S1" s="43" t="str">
        <f t="array" ref="S1:AD1">transpose(A22:A33)</f>
        <v>Q1 26</v>
      </c>
      <c r="T1" s="43" t="s">
        <v>72</v>
      </c>
      <c r="U1" s="43" t="s">
        <v>73</v>
      </c>
      <c r="V1" s="43" t="s">
        <v>74</v>
      </c>
      <c r="W1" s="43" t="s">
        <v>75</v>
      </c>
      <c r="X1" s="43" t="s">
        <v>76</v>
      </c>
      <c r="Y1" s="43" t="s">
        <v>77</v>
      </c>
      <c r="Z1" s="43" t="s">
        <v>78</v>
      </c>
      <c r="AA1" s="43" t="s">
        <v>79</v>
      </c>
      <c r="AB1" s="43" t="s">
        <v>80</v>
      </c>
      <c r="AC1" s="43" t="s">
        <v>81</v>
      </c>
      <c r="AD1" s="43" t="s">
        <v>82</v>
      </c>
      <c r="AE1" s="204"/>
      <c r="AF1" s="43" t="s">
        <v>14</v>
      </c>
      <c r="AG1" s="43" t="s">
        <v>2</v>
      </c>
      <c r="AH1" s="43" t="s">
        <v>3</v>
      </c>
      <c r="AI1" s="43" t="s">
        <v>4</v>
      </c>
      <c r="AJ1" s="43" t="s">
        <v>5</v>
      </c>
      <c r="AK1" s="43" t="s">
        <v>6</v>
      </c>
      <c r="AL1" s="43" t="s">
        <v>7</v>
      </c>
      <c r="AM1" s="43" t="s">
        <v>8</v>
      </c>
      <c r="AN1" s="43" t="s">
        <v>9</v>
      </c>
      <c r="AO1" s="43" t="s">
        <v>10</v>
      </c>
      <c r="AP1" s="43" t="s">
        <v>11</v>
      </c>
      <c r="AQ1" s="43" t="s">
        <v>12</v>
      </c>
      <c r="AR1" s="43" t="s">
        <v>13</v>
      </c>
      <c r="AS1" s="43" t="s">
        <v>63</v>
      </c>
      <c r="AT1" s="43" t="s">
        <v>64</v>
      </c>
      <c r="AU1" s="43" t="s">
        <v>65</v>
      </c>
      <c r="AV1" s="43" t="s">
        <v>66</v>
      </c>
      <c r="AW1" s="43" t="s">
        <v>67</v>
      </c>
      <c r="AX1" s="43" t="s">
        <v>68</v>
      </c>
      <c r="AY1" s="43" t="s">
        <v>69</v>
      </c>
      <c r="AZ1" s="43" t="s">
        <v>70</v>
      </c>
      <c r="BA1" s="43" t="str">
        <f t="array" ref="BA1:BL1">transpose(A22:A33)</f>
        <v>Q1 26</v>
      </c>
      <c r="BB1" s="43" t="s">
        <v>72</v>
      </c>
      <c r="BC1" s="43" t="s">
        <v>73</v>
      </c>
      <c r="BD1" s="43" t="s">
        <v>74</v>
      </c>
      <c r="BE1" s="43" t="s">
        <v>75</v>
      </c>
      <c r="BF1" s="43" t="s">
        <v>76</v>
      </c>
      <c r="BG1" s="43" t="s">
        <v>77</v>
      </c>
      <c r="BH1" s="43" t="s">
        <v>78</v>
      </c>
      <c r="BI1" s="43" t="s">
        <v>79</v>
      </c>
      <c r="BJ1" s="43" t="s">
        <v>80</v>
      </c>
      <c r="BK1" s="43" t="s">
        <v>81</v>
      </c>
      <c r="BL1" s="43" t="s">
        <v>82</v>
      </c>
    </row>
    <row r="2" ht="15.75" customHeight="1">
      <c r="A2" s="43" t="s">
        <v>2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4"/>
      <c r="AF2" s="205"/>
      <c r="AG2" s="206">
        <v>0.14</v>
      </c>
      <c r="AH2" s="206">
        <v>0.33</v>
      </c>
      <c r="AI2" s="206">
        <v>0.25</v>
      </c>
      <c r="AJ2" s="206">
        <v>0.15</v>
      </c>
      <c r="AK2" s="206">
        <v>0.07</v>
      </c>
      <c r="AL2" s="206">
        <v>0.04</v>
      </c>
      <c r="AM2" s="206">
        <v>0.02</v>
      </c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</row>
    <row r="3" ht="15.75" customHeight="1">
      <c r="A3" s="43" t="s">
        <v>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4"/>
      <c r="AF3" s="205"/>
      <c r="AG3" s="205"/>
      <c r="AH3" s="206">
        <v>0.14</v>
      </c>
      <c r="AI3" s="206">
        <v>0.33</v>
      </c>
      <c r="AJ3" s="206">
        <v>0.25</v>
      </c>
      <c r="AK3" s="206">
        <v>0.15</v>
      </c>
      <c r="AL3" s="206">
        <v>0.07</v>
      </c>
      <c r="AM3" s="206">
        <v>0.04</v>
      </c>
      <c r="AN3" s="206">
        <v>0.02</v>
      </c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</row>
    <row r="4" ht="15.75" customHeight="1">
      <c r="A4" s="43" t="s">
        <v>4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4"/>
      <c r="AF4" s="205"/>
      <c r="AG4" s="205"/>
      <c r="AH4" s="205"/>
      <c r="AI4" s="206">
        <v>0.14</v>
      </c>
      <c r="AJ4" s="206">
        <v>0.33</v>
      </c>
      <c r="AK4" s="206">
        <v>0.25</v>
      </c>
      <c r="AL4" s="206">
        <v>0.15</v>
      </c>
      <c r="AM4" s="206">
        <v>0.07</v>
      </c>
      <c r="AN4" s="206">
        <v>0.04</v>
      </c>
      <c r="AO4" s="206">
        <v>0.02</v>
      </c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</row>
    <row r="5" ht="15.75" customHeight="1">
      <c r="A5" s="43" t="s">
        <v>5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4"/>
      <c r="AF5" s="205"/>
      <c r="AG5" s="205"/>
      <c r="AH5" s="205"/>
      <c r="AI5" s="205"/>
      <c r="AJ5" s="206">
        <v>0.14</v>
      </c>
      <c r="AK5" s="206">
        <v>0.33</v>
      </c>
      <c r="AL5" s="206">
        <v>0.25</v>
      </c>
      <c r="AM5" s="206">
        <v>0.15</v>
      </c>
      <c r="AN5" s="206">
        <v>0.07</v>
      </c>
      <c r="AO5" s="206">
        <v>0.04</v>
      </c>
      <c r="AP5" s="206">
        <v>0.02</v>
      </c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</row>
    <row r="6" ht="15.75" customHeight="1">
      <c r="A6" s="43" t="s">
        <v>6</v>
      </c>
      <c r="B6" s="205"/>
      <c r="C6" s="205"/>
      <c r="D6" s="206">
        <v>0.1</v>
      </c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8"/>
      <c r="AF6" s="207"/>
      <c r="AG6" s="207"/>
      <c r="AH6" s="207"/>
      <c r="AI6" s="207"/>
      <c r="AJ6" s="207"/>
      <c r="AK6" s="206">
        <v>0.14</v>
      </c>
      <c r="AL6" s="206">
        <v>0.33</v>
      </c>
      <c r="AM6" s="206">
        <v>0.25</v>
      </c>
      <c r="AN6" s="206">
        <v>0.15</v>
      </c>
      <c r="AO6" s="206">
        <v>0.07</v>
      </c>
      <c r="AP6" s="206">
        <v>0.04</v>
      </c>
      <c r="AQ6" s="206">
        <v>0.02</v>
      </c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</row>
    <row r="7" ht="15.75" customHeight="1">
      <c r="A7" s="43" t="s">
        <v>7</v>
      </c>
      <c r="B7" s="205"/>
      <c r="C7" s="205"/>
      <c r="D7" s="206">
        <f>227/255</f>
        <v>0.8901960784</v>
      </c>
      <c r="E7" s="206">
        <v>0.1</v>
      </c>
      <c r="F7" s="206">
        <v>0.01</v>
      </c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8"/>
      <c r="AF7" s="207"/>
      <c r="AG7" s="207"/>
      <c r="AH7" s="207"/>
      <c r="AI7" s="207"/>
      <c r="AJ7" s="207"/>
      <c r="AK7" s="207"/>
      <c r="AL7" s="206">
        <v>0.14</v>
      </c>
      <c r="AM7" s="206">
        <v>0.33</v>
      </c>
      <c r="AN7" s="206">
        <v>0.25</v>
      </c>
      <c r="AO7" s="206">
        <v>0.15</v>
      </c>
      <c r="AP7" s="206">
        <v>0.07</v>
      </c>
      <c r="AQ7" s="206">
        <v>0.04</v>
      </c>
      <c r="AR7" s="206">
        <v>0.02</v>
      </c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</row>
    <row r="8" ht="15.75" customHeight="1">
      <c r="A8" s="43" t="s">
        <v>8</v>
      </c>
      <c r="B8" s="205"/>
      <c r="C8" s="205"/>
      <c r="D8" s="207"/>
      <c r="E8" s="206">
        <f>227/255</f>
        <v>0.8901960784</v>
      </c>
      <c r="F8" s="206">
        <v>0.1</v>
      </c>
      <c r="G8" s="206">
        <v>0.01</v>
      </c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8"/>
      <c r="AF8" s="207"/>
      <c r="AG8" s="207"/>
      <c r="AH8" s="207"/>
      <c r="AI8" s="207"/>
      <c r="AJ8" s="207"/>
      <c r="AK8" s="207"/>
      <c r="AL8" s="207"/>
      <c r="AM8" s="206">
        <v>0.14</v>
      </c>
      <c r="AN8" s="206">
        <v>0.33</v>
      </c>
      <c r="AO8" s="206">
        <v>0.25</v>
      </c>
      <c r="AP8" s="206">
        <v>0.15</v>
      </c>
      <c r="AQ8" s="206">
        <v>0.07</v>
      </c>
      <c r="AR8" s="206">
        <v>0.04</v>
      </c>
      <c r="AS8" s="206">
        <v>0.02</v>
      </c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</row>
    <row r="9" ht="15.75" customHeight="1">
      <c r="A9" s="43" t="s">
        <v>9</v>
      </c>
      <c r="B9" s="205"/>
      <c r="C9" s="205"/>
      <c r="D9" s="207"/>
      <c r="E9" s="207"/>
      <c r="F9" s="206">
        <f>227/255</f>
        <v>0.8901960784</v>
      </c>
      <c r="G9" s="206">
        <v>0.1</v>
      </c>
      <c r="H9" s="206">
        <v>0.01</v>
      </c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8"/>
      <c r="AF9" s="207"/>
      <c r="AG9" s="207"/>
      <c r="AH9" s="207"/>
      <c r="AI9" s="207"/>
      <c r="AJ9" s="207"/>
      <c r="AK9" s="207"/>
      <c r="AL9" s="207"/>
      <c r="AM9" s="207"/>
      <c r="AN9" s="206">
        <v>0.14</v>
      </c>
      <c r="AO9" s="206">
        <v>0.33</v>
      </c>
      <c r="AP9" s="206">
        <v>0.25</v>
      </c>
      <c r="AQ9" s="206">
        <v>0.15</v>
      </c>
      <c r="AR9" s="206">
        <v>0.07</v>
      </c>
      <c r="AS9" s="206">
        <v>0.04</v>
      </c>
      <c r="AT9" s="206">
        <v>0.02</v>
      </c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</row>
    <row r="10" ht="15.75" customHeight="1">
      <c r="A10" s="43" t="s">
        <v>10</v>
      </c>
      <c r="B10" s="205"/>
      <c r="C10" s="205"/>
      <c r="D10" s="207"/>
      <c r="E10" s="207"/>
      <c r="F10" s="207"/>
      <c r="G10" s="206">
        <f>227/255</f>
        <v>0.8901960784</v>
      </c>
      <c r="H10" s="206">
        <v>0.1</v>
      </c>
      <c r="I10" s="206">
        <v>0.01</v>
      </c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8"/>
      <c r="AF10" s="207"/>
      <c r="AG10" s="207"/>
      <c r="AH10" s="207"/>
      <c r="AI10" s="207"/>
      <c r="AJ10" s="207"/>
      <c r="AK10" s="207"/>
      <c r="AL10" s="207"/>
      <c r="AM10" s="207"/>
      <c r="AN10" s="207"/>
      <c r="AO10" s="206">
        <v>0.14</v>
      </c>
      <c r="AP10" s="206">
        <v>0.33</v>
      </c>
      <c r="AQ10" s="206">
        <v>0.25</v>
      </c>
      <c r="AR10" s="206">
        <v>0.15</v>
      </c>
      <c r="AS10" s="206">
        <v>0.07</v>
      </c>
      <c r="AT10" s="206">
        <v>0.04</v>
      </c>
      <c r="AU10" s="206">
        <v>0.02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</row>
    <row r="11" ht="15.75" customHeight="1">
      <c r="A11" s="43" t="s">
        <v>11</v>
      </c>
      <c r="B11" s="205"/>
      <c r="C11" s="205"/>
      <c r="D11" s="207"/>
      <c r="E11" s="207"/>
      <c r="F11" s="207"/>
      <c r="G11" s="207"/>
      <c r="H11" s="206">
        <f>227/255</f>
        <v>0.8901960784</v>
      </c>
      <c r="I11" s="206">
        <v>0.1</v>
      </c>
      <c r="J11" s="206">
        <v>0.01</v>
      </c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8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6">
        <v>0.14</v>
      </c>
      <c r="AQ11" s="206">
        <v>0.33</v>
      </c>
      <c r="AR11" s="206">
        <v>0.25</v>
      </c>
      <c r="AS11" s="206">
        <v>0.15</v>
      </c>
      <c r="AT11" s="206">
        <v>0.07</v>
      </c>
      <c r="AU11" s="206">
        <v>0.04</v>
      </c>
      <c r="AV11" s="206">
        <v>0.02</v>
      </c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</row>
    <row r="12" ht="15.75" customHeight="1">
      <c r="A12" s="43" t="s">
        <v>12</v>
      </c>
      <c r="B12" s="205"/>
      <c r="C12" s="205"/>
      <c r="D12" s="207"/>
      <c r="E12" s="207"/>
      <c r="F12" s="207"/>
      <c r="G12" s="207"/>
      <c r="H12" s="207"/>
      <c r="I12" s="206">
        <f>227/255</f>
        <v>0.8901960784</v>
      </c>
      <c r="J12" s="206">
        <v>0.1</v>
      </c>
      <c r="K12" s="206">
        <v>0.01</v>
      </c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8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>
        <v>0.14</v>
      </c>
      <c r="AR12" s="206">
        <v>0.33</v>
      </c>
      <c r="AS12" s="206">
        <v>0.25</v>
      </c>
      <c r="AT12" s="206">
        <v>0.15</v>
      </c>
      <c r="AU12" s="206">
        <v>0.07</v>
      </c>
      <c r="AV12" s="206">
        <v>0.04</v>
      </c>
      <c r="AW12" s="206">
        <v>0.02</v>
      </c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</row>
    <row r="13" ht="15.75" customHeight="1">
      <c r="A13" s="43" t="s">
        <v>13</v>
      </c>
      <c r="B13" s="205"/>
      <c r="C13" s="205"/>
      <c r="D13" s="207"/>
      <c r="E13" s="207"/>
      <c r="F13" s="207"/>
      <c r="G13" s="207"/>
      <c r="H13" s="207"/>
      <c r="I13" s="207"/>
      <c r="J13" s="206">
        <f>227/255</f>
        <v>0.8901960784</v>
      </c>
      <c r="K13" s="206">
        <v>0.1</v>
      </c>
      <c r="L13" s="206">
        <v>0.01</v>
      </c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8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6">
        <v>0.14</v>
      </c>
      <c r="AS13" s="206">
        <v>0.33</v>
      </c>
      <c r="AT13" s="206">
        <v>0.25</v>
      </c>
      <c r="AU13" s="206">
        <v>0.15</v>
      </c>
      <c r="AV13" s="206">
        <v>0.07</v>
      </c>
      <c r="AW13" s="206">
        <v>0.04</v>
      </c>
      <c r="AX13" s="206">
        <v>0.02</v>
      </c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</row>
    <row r="14" ht="15.75" customHeight="1">
      <c r="A14" s="43" t="s">
        <v>63</v>
      </c>
      <c r="B14" s="205"/>
      <c r="C14" s="205"/>
      <c r="D14" s="207"/>
      <c r="E14" s="207"/>
      <c r="F14" s="207"/>
      <c r="G14" s="207"/>
      <c r="H14" s="207"/>
      <c r="I14" s="207"/>
      <c r="J14" s="207"/>
      <c r="K14" s="206">
        <f>227/255</f>
        <v>0.8901960784</v>
      </c>
      <c r="L14" s="206">
        <v>0.1</v>
      </c>
      <c r="M14" s="206">
        <v>0.01</v>
      </c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8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6">
        <v>0.14</v>
      </c>
      <c r="AT14" s="206">
        <v>0.33</v>
      </c>
      <c r="AU14" s="206">
        <v>0.25</v>
      </c>
      <c r="AV14" s="206">
        <v>0.15</v>
      </c>
      <c r="AW14" s="206">
        <v>0.07</v>
      </c>
      <c r="AX14" s="206">
        <v>0.04</v>
      </c>
      <c r="AY14" s="206">
        <v>0.02</v>
      </c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</row>
    <row r="15" ht="15.75" customHeight="1">
      <c r="A15" s="43" t="s">
        <v>64</v>
      </c>
      <c r="B15" s="205"/>
      <c r="C15" s="205"/>
      <c r="D15" s="207"/>
      <c r="E15" s="207"/>
      <c r="F15" s="207"/>
      <c r="G15" s="207"/>
      <c r="H15" s="207"/>
      <c r="I15" s="207"/>
      <c r="J15" s="207"/>
      <c r="K15" s="207"/>
      <c r="L15" s="206">
        <f>227/255</f>
        <v>0.8901960784</v>
      </c>
      <c r="M15" s="206">
        <v>0.1</v>
      </c>
      <c r="N15" s="206">
        <v>0.01</v>
      </c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8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6">
        <v>0.14</v>
      </c>
      <c r="AU15" s="206">
        <v>0.33</v>
      </c>
      <c r="AV15" s="206">
        <v>0.25</v>
      </c>
      <c r="AW15" s="206">
        <v>0.15</v>
      </c>
      <c r="AX15" s="206">
        <v>0.07</v>
      </c>
      <c r="AY15" s="206">
        <v>0.04</v>
      </c>
      <c r="AZ15" s="206">
        <v>0.02</v>
      </c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</row>
    <row r="16" ht="15.75" customHeight="1">
      <c r="A16" s="43" t="s">
        <v>65</v>
      </c>
      <c r="B16" s="205"/>
      <c r="C16" s="205"/>
      <c r="D16" s="207"/>
      <c r="E16" s="207"/>
      <c r="F16" s="207"/>
      <c r="G16" s="207"/>
      <c r="H16" s="207"/>
      <c r="I16" s="207"/>
      <c r="J16" s="207"/>
      <c r="K16" s="207"/>
      <c r="L16" s="207"/>
      <c r="M16" s="206">
        <f>227/255</f>
        <v>0.8901960784</v>
      </c>
      <c r="N16" s="206">
        <v>0.1</v>
      </c>
      <c r="O16" s="206">
        <v>0.01</v>
      </c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8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6">
        <v>0.14</v>
      </c>
      <c r="AV16" s="206">
        <v>0.33</v>
      </c>
      <c r="AW16" s="206">
        <v>0.25</v>
      </c>
      <c r="AX16" s="206">
        <v>0.15</v>
      </c>
      <c r="AY16" s="206">
        <v>0.07</v>
      </c>
      <c r="AZ16" s="206">
        <v>0.04</v>
      </c>
      <c r="BA16" s="206">
        <v>0.02</v>
      </c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</row>
    <row r="17" ht="15.75" customHeight="1">
      <c r="A17" s="43" t="s">
        <v>66</v>
      </c>
      <c r="B17" s="205"/>
      <c r="C17" s="205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6">
        <v>0.89</v>
      </c>
      <c r="O17" s="206">
        <v>0.1</v>
      </c>
      <c r="P17" s="206">
        <v>0.01</v>
      </c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8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6">
        <v>0.14</v>
      </c>
      <c r="AW17" s="206">
        <v>0.33</v>
      </c>
      <c r="AX17" s="206">
        <v>0.25</v>
      </c>
      <c r="AY17" s="206">
        <v>0.15</v>
      </c>
      <c r="AZ17" s="206">
        <v>0.07</v>
      </c>
      <c r="BA17" s="206">
        <v>0.04</v>
      </c>
      <c r="BB17" s="206">
        <v>0.02</v>
      </c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</row>
    <row r="18" ht="15.75" customHeight="1">
      <c r="A18" s="43" t="s">
        <v>67</v>
      </c>
      <c r="B18" s="205"/>
      <c r="C18" s="205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6">
        <v>0.89</v>
      </c>
      <c r="P18" s="206">
        <v>0.1</v>
      </c>
      <c r="Q18" s="206">
        <v>0.01</v>
      </c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8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6">
        <v>0.14</v>
      </c>
      <c r="AX18" s="206">
        <v>0.33</v>
      </c>
      <c r="AY18" s="206">
        <v>0.25</v>
      </c>
      <c r="AZ18" s="206">
        <v>0.15</v>
      </c>
      <c r="BA18" s="206">
        <v>0.07</v>
      </c>
      <c r="BB18" s="206">
        <v>0.04</v>
      </c>
      <c r="BC18" s="206">
        <v>0.02</v>
      </c>
      <c r="BD18" s="207"/>
      <c r="BE18" s="207"/>
      <c r="BF18" s="207"/>
      <c r="BG18" s="207"/>
      <c r="BH18" s="207"/>
      <c r="BI18" s="207"/>
      <c r="BJ18" s="207"/>
      <c r="BK18" s="207"/>
      <c r="BL18" s="207"/>
    </row>
    <row r="19" ht="15.75" customHeight="1">
      <c r="A19" s="43" t="s">
        <v>68</v>
      </c>
      <c r="B19" s="205"/>
      <c r="C19" s="205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6">
        <v>0.89</v>
      </c>
      <c r="Q19" s="206">
        <v>0.1</v>
      </c>
      <c r="R19" s="206">
        <v>0.01</v>
      </c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8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6">
        <v>0.14</v>
      </c>
      <c r="AY19" s="206">
        <v>0.33</v>
      </c>
      <c r="AZ19" s="206">
        <v>0.25</v>
      </c>
      <c r="BA19" s="206">
        <v>0.15</v>
      </c>
      <c r="BB19" s="206">
        <v>0.07</v>
      </c>
      <c r="BC19" s="206">
        <v>0.04</v>
      </c>
      <c r="BD19" s="206">
        <v>0.02</v>
      </c>
      <c r="BE19" s="207"/>
      <c r="BF19" s="207"/>
      <c r="BG19" s="207"/>
      <c r="BH19" s="207"/>
      <c r="BI19" s="207"/>
      <c r="BJ19" s="207"/>
      <c r="BK19" s="207"/>
      <c r="BL19" s="207"/>
    </row>
    <row r="20" ht="15.75" customHeight="1">
      <c r="A20" s="43" t="s">
        <v>69</v>
      </c>
      <c r="B20" s="205"/>
      <c r="C20" s="205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6">
        <v>0.89</v>
      </c>
      <c r="R20" s="206">
        <v>0.1</v>
      </c>
      <c r="S20" s="206">
        <v>0.01</v>
      </c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8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6">
        <v>0.14</v>
      </c>
      <c r="AZ20" s="206">
        <v>0.33</v>
      </c>
      <c r="BA20" s="206">
        <v>0.25</v>
      </c>
      <c r="BB20" s="206">
        <v>0.15</v>
      </c>
      <c r="BC20" s="206">
        <v>0.07</v>
      </c>
      <c r="BD20" s="206">
        <v>0.04</v>
      </c>
      <c r="BE20" s="206">
        <v>0.02</v>
      </c>
      <c r="BF20" s="207"/>
      <c r="BG20" s="207"/>
      <c r="BH20" s="207"/>
      <c r="BI20" s="207"/>
      <c r="BJ20" s="207"/>
      <c r="BK20" s="207"/>
      <c r="BL20" s="207"/>
    </row>
    <row r="21" ht="15.75" customHeight="1">
      <c r="A21" s="43" t="s">
        <v>70</v>
      </c>
      <c r="B21" s="205"/>
      <c r="C21" s="205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6">
        <v>0.89</v>
      </c>
      <c r="S21" s="206">
        <v>0.1</v>
      </c>
      <c r="T21" s="206">
        <v>0.01</v>
      </c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8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6">
        <v>0.14</v>
      </c>
      <c r="BA21" s="206">
        <v>0.33</v>
      </c>
      <c r="BB21" s="206">
        <v>0.25</v>
      </c>
      <c r="BC21" s="206">
        <v>0.15</v>
      </c>
      <c r="BD21" s="206">
        <v>0.07</v>
      </c>
      <c r="BE21" s="206">
        <v>0.04</v>
      </c>
      <c r="BF21" s="206">
        <v>0.02</v>
      </c>
      <c r="BG21" s="207"/>
      <c r="BH21" s="207"/>
      <c r="BI21" s="207"/>
      <c r="BJ21" s="207"/>
      <c r="BK21" s="207"/>
      <c r="BL21" s="207"/>
    </row>
    <row r="22" ht="15.75" customHeight="1">
      <c r="A22" s="43" t="s">
        <v>71</v>
      </c>
      <c r="B22" s="205"/>
      <c r="C22" s="205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6">
        <f>227/255</f>
        <v>0.8901960784</v>
      </c>
      <c r="T22" s="206">
        <v>0.1</v>
      </c>
      <c r="U22" s="206">
        <v>0.01</v>
      </c>
      <c r="V22" s="207"/>
      <c r="W22" s="207"/>
      <c r="X22" s="207"/>
      <c r="Y22" s="207"/>
      <c r="Z22" s="207"/>
      <c r="AA22" s="207"/>
      <c r="AB22" s="207"/>
      <c r="AC22" s="207"/>
      <c r="AD22" s="207"/>
      <c r="AE22" s="208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6">
        <v>0.14</v>
      </c>
      <c r="BB22" s="206">
        <v>0.33</v>
      </c>
      <c r="BC22" s="206">
        <v>0.25</v>
      </c>
      <c r="BD22" s="206">
        <v>0.15</v>
      </c>
      <c r="BE22" s="206">
        <v>0.07</v>
      </c>
      <c r="BF22" s="206">
        <v>0.04</v>
      </c>
      <c r="BG22" s="206">
        <v>0.02</v>
      </c>
      <c r="BH22" s="207"/>
      <c r="BI22" s="207"/>
      <c r="BJ22" s="207"/>
      <c r="BK22" s="207"/>
      <c r="BL22" s="207"/>
    </row>
    <row r="23" ht="15.75" customHeight="1">
      <c r="A23" s="43" t="s">
        <v>72</v>
      </c>
      <c r="B23" s="205"/>
      <c r="C23" s="205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6">
        <f>227/255</f>
        <v>0.8901960784</v>
      </c>
      <c r="U23" s="206">
        <v>0.1</v>
      </c>
      <c r="V23" s="206">
        <v>0.01</v>
      </c>
      <c r="W23" s="207"/>
      <c r="X23" s="207"/>
      <c r="Y23" s="207"/>
      <c r="Z23" s="207"/>
      <c r="AA23" s="207"/>
      <c r="AB23" s="207"/>
      <c r="AC23" s="207"/>
      <c r="AD23" s="207"/>
      <c r="AE23" s="208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6">
        <v>0.14</v>
      </c>
      <c r="BC23" s="206">
        <v>0.33</v>
      </c>
      <c r="BD23" s="206">
        <v>0.25</v>
      </c>
      <c r="BE23" s="206">
        <v>0.15</v>
      </c>
      <c r="BF23" s="206">
        <v>0.07</v>
      </c>
      <c r="BG23" s="206">
        <v>0.04</v>
      </c>
      <c r="BH23" s="206">
        <v>0.02</v>
      </c>
      <c r="BI23" s="207"/>
      <c r="BJ23" s="207"/>
      <c r="BK23" s="207"/>
      <c r="BL23" s="207"/>
    </row>
    <row r="24" ht="15.75" customHeight="1">
      <c r="A24" s="43" t="s">
        <v>73</v>
      </c>
      <c r="B24" s="205"/>
      <c r="C24" s="205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6">
        <f>227/255</f>
        <v>0.8901960784</v>
      </c>
      <c r="V24" s="206">
        <v>0.1</v>
      </c>
      <c r="W24" s="206">
        <v>0.01</v>
      </c>
      <c r="X24" s="207"/>
      <c r="Y24" s="207"/>
      <c r="Z24" s="207"/>
      <c r="AA24" s="207"/>
      <c r="AB24" s="207"/>
      <c r="AC24" s="207"/>
      <c r="AD24" s="207"/>
      <c r="AE24" s="208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6">
        <v>0.14</v>
      </c>
      <c r="BD24" s="206">
        <v>0.33</v>
      </c>
      <c r="BE24" s="206">
        <v>0.25</v>
      </c>
      <c r="BF24" s="206">
        <v>0.15</v>
      </c>
      <c r="BG24" s="206">
        <v>0.07</v>
      </c>
      <c r="BH24" s="206">
        <v>0.04</v>
      </c>
      <c r="BI24" s="206">
        <v>0.02</v>
      </c>
      <c r="BJ24" s="207"/>
      <c r="BK24" s="207"/>
      <c r="BL24" s="207"/>
    </row>
    <row r="25" ht="15.75" customHeight="1">
      <c r="A25" s="43" t="s">
        <v>74</v>
      </c>
      <c r="B25" s="205"/>
      <c r="C25" s="205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6">
        <f>227/255</f>
        <v>0.8901960784</v>
      </c>
      <c r="W25" s="206">
        <v>0.1</v>
      </c>
      <c r="X25" s="206">
        <v>0.01</v>
      </c>
      <c r="Y25" s="207"/>
      <c r="Z25" s="207"/>
      <c r="AA25" s="207"/>
      <c r="AB25" s="207"/>
      <c r="AC25" s="207"/>
      <c r="AD25" s="207"/>
      <c r="AE25" s="208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6">
        <v>0.14</v>
      </c>
      <c r="BE25" s="206">
        <v>0.33</v>
      </c>
      <c r="BF25" s="206">
        <v>0.25</v>
      </c>
      <c r="BG25" s="206">
        <v>0.15</v>
      </c>
      <c r="BH25" s="206">
        <v>0.07</v>
      </c>
      <c r="BI25" s="206">
        <v>0.04</v>
      </c>
      <c r="BJ25" s="206">
        <v>0.02</v>
      </c>
      <c r="BK25" s="207"/>
      <c r="BL25" s="207"/>
    </row>
    <row r="26" ht="15.75" customHeight="1">
      <c r="A26" s="43" t="s">
        <v>75</v>
      </c>
      <c r="B26" s="205"/>
      <c r="C26" s="205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6">
        <f>227/255</f>
        <v>0.8901960784</v>
      </c>
      <c r="X26" s="206">
        <v>0.1</v>
      </c>
      <c r="Y26" s="206">
        <v>0.01</v>
      </c>
      <c r="Z26" s="207"/>
      <c r="AA26" s="207"/>
      <c r="AB26" s="207"/>
      <c r="AC26" s="207"/>
      <c r="AD26" s="207"/>
      <c r="AE26" s="208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6">
        <v>0.14</v>
      </c>
      <c r="BF26" s="206">
        <v>0.33</v>
      </c>
      <c r="BG26" s="206">
        <v>0.25</v>
      </c>
      <c r="BH26" s="206">
        <v>0.15</v>
      </c>
      <c r="BI26" s="206">
        <v>0.07</v>
      </c>
      <c r="BJ26" s="206">
        <v>0.04</v>
      </c>
      <c r="BK26" s="206">
        <v>0.02</v>
      </c>
      <c r="BL26" s="207"/>
    </row>
    <row r="27" ht="15.75" customHeight="1">
      <c r="A27" s="43" t="s">
        <v>76</v>
      </c>
      <c r="B27" s="205"/>
      <c r="C27" s="205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6">
        <f>227/255</f>
        <v>0.8901960784</v>
      </c>
      <c r="Y27" s="206">
        <v>0.1</v>
      </c>
      <c r="Z27" s="206">
        <v>0.01</v>
      </c>
      <c r="AA27" s="207"/>
      <c r="AB27" s="207"/>
      <c r="AC27" s="207"/>
      <c r="AD27" s="207"/>
      <c r="AE27" s="208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6">
        <v>0.14</v>
      </c>
      <c r="BG27" s="206">
        <v>0.33</v>
      </c>
      <c r="BH27" s="206">
        <v>0.25</v>
      </c>
      <c r="BI27" s="206">
        <v>0.15</v>
      </c>
      <c r="BJ27" s="206">
        <v>0.07</v>
      </c>
      <c r="BK27" s="206">
        <v>0.04</v>
      </c>
      <c r="BL27" s="206">
        <v>0.02</v>
      </c>
    </row>
    <row r="28" ht="15.75" customHeight="1">
      <c r="A28" s="43" t="s">
        <v>77</v>
      </c>
      <c r="B28" s="205"/>
      <c r="C28" s="205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6">
        <f>227/255</f>
        <v>0.8901960784</v>
      </c>
      <c r="Z28" s="206">
        <v>0.1</v>
      </c>
      <c r="AA28" s="206">
        <v>0.01</v>
      </c>
      <c r="AB28" s="207"/>
      <c r="AC28" s="207"/>
      <c r="AD28" s="207"/>
      <c r="AE28" s="208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6">
        <v>0.14</v>
      </c>
      <c r="BH28" s="206">
        <v>0.33</v>
      </c>
      <c r="BI28" s="206">
        <v>0.25</v>
      </c>
      <c r="BJ28" s="206">
        <v>0.15</v>
      </c>
      <c r="BK28" s="206">
        <v>0.07</v>
      </c>
      <c r="BL28" s="206">
        <v>0.04</v>
      </c>
    </row>
    <row r="29" ht="15.75" customHeight="1">
      <c r="A29" s="43" t="s">
        <v>78</v>
      </c>
      <c r="B29" s="205"/>
      <c r="C29" s="205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6">
        <v>0.89</v>
      </c>
      <c r="AA29" s="206">
        <v>0.1</v>
      </c>
      <c r="AB29" s="206">
        <v>0.01</v>
      </c>
      <c r="AC29" s="207"/>
      <c r="AD29" s="207"/>
      <c r="AE29" s="208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6">
        <v>0.14</v>
      </c>
      <c r="BI29" s="206">
        <v>0.33</v>
      </c>
      <c r="BJ29" s="206">
        <v>0.25</v>
      </c>
      <c r="BK29" s="206">
        <v>0.15</v>
      </c>
      <c r="BL29" s="206">
        <v>0.07</v>
      </c>
    </row>
    <row r="30" ht="15.75" customHeight="1">
      <c r="A30" s="43" t="s">
        <v>79</v>
      </c>
      <c r="B30" s="205"/>
      <c r="C30" s="205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6">
        <v>0.89</v>
      </c>
      <c r="AB30" s="206">
        <v>0.1</v>
      </c>
      <c r="AC30" s="206">
        <v>0.01</v>
      </c>
      <c r="AD30" s="207"/>
      <c r="AE30" s="208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6">
        <v>0.14</v>
      </c>
      <c r="BJ30" s="206">
        <v>0.33</v>
      </c>
      <c r="BK30" s="206">
        <v>0.25</v>
      </c>
      <c r="BL30" s="206">
        <v>0.15</v>
      </c>
    </row>
    <row r="31" ht="15.75" customHeight="1">
      <c r="A31" s="43" t="s">
        <v>80</v>
      </c>
      <c r="B31" s="205"/>
      <c r="C31" s="205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6">
        <v>0.89</v>
      </c>
      <c r="AC31" s="206">
        <v>0.1</v>
      </c>
      <c r="AD31" s="206">
        <v>0.01</v>
      </c>
      <c r="AE31" s="208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6">
        <v>0.14</v>
      </c>
      <c r="BK31" s="206">
        <v>0.33</v>
      </c>
      <c r="BL31" s="206">
        <v>0.25</v>
      </c>
    </row>
    <row r="32" ht="15.75" customHeight="1">
      <c r="A32" s="43" t="s">
        <v>81</v>
      </c>
      <c r="B32" s="205"/>
      <c r="C32" s="205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6">
        <v>0.89</v>
      </c>
      <c r="AD32" s="206">
        <v>0.1</v>
      </c>
      <c r="AE32" s="208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6">
        <v>0.14</v>
      </c>
      <c r="BL32" s="206">
        <v>0.33</v>
      </c>
    </row>
    <row r="33" ht="15.75" customHeight="1">
      <c r="A33" s="43" t="s">
        <v>82</v>
      </c>
      <c r="B33" s="205"/>
      <c r="C33" s="205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6">
        <v>0.89</v>
      </c>
      <c r="AE33" s="208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6">
        <v>0.14</v>
      </c>
    </row>
    <row r="34" ht="15.75" customHeight="1">
      <c r="A34" s="205"/>
      <c r="B34" s="209" t="s">
        <v>54</v>
      </c>
      <c r="C34" s="209" t="s">
        <v>170</v>
      </c>
      <c r="D34" s="209" t="s">
        <v>7</v>
      </c>
      <c r="E34" s="209" t="s">
        <v>8</v>
      </c>
      <c r="F34" s="209" t="s">
        <v>9</v>
      </c>
      <c r="G34" s="209" t="s">
        <v>10</v>
      </c>
      <c r="H34" s="209" t="s">
        <v>11</v>
      </c>
      <c r="I34" s="209" t="s">
        <v>12</v>
      </c>
      <c r="J34" s="209" t="s">
        <v>13</v>
      </c>
      <c r="K34" s="209" t="s">
        <v>63</v>
      </c>
      <c r="L34" s="209" t="s">
        <v>64</v>
      </c>
      <c r="M34" s="209" t="s">
        <v>65</v>
      </c>
      <c r="N34" s="209" t="s">
        <v>66</v>
      </c>
      <c r="O34" s="209" t="s">
        <v>67</v>
      </c>
      <c r="P34" s="209" t="s">
        <v>68</v>
      </c>
      <c r="Q34" s="209" t="s">
        <v>69</v>
      </c>
      <c r="R34" s="209" t="s">
        <v>70</v>
      </c>
      <c r="S34" s="209" t="s">
        <v>71</v>
      </c>
      <c r="T34" s="209" t="s">
        <v>72</v>
      </c>
      <c r="U34" s="209" t="s">
        <v>73</v>
      </c>
      <c r="V34" s="209" t="s">
        <v>74</v>
      </c>
      <c r="W34" s="209" t="s">
        <v>75</v>
      </c>
      <c r="X34" s="209" t="s">
        <v>76</v>
      </c>
      <c r="Y34" s="209" t="s">
        <v>77</v>
      </c>
      <c r="Z34" s="209" t="s">
        <v>78</v>
      </c>
      <c r="AA34" s="209" t="s">
        <v>79</v>
      </c>
      <c r="AB34" s="209" t="s">
        <v>80</v>
      </c>
      <c r="AC34" s="209" t="s">
        <v>81</v>
      </c>
      <c r="AD34" s="209" t="s">
        <v>82</v>
      </c>
      <c r="AE34" s="204"/>
      <c r="AF34" s="209" t="s">
        <v>14</v>
      </c>
      <c r="AG34" s="209" t="s">
        <v>2</v>
      </c>
      <c r="AH34" s="209" t="s">
        <v>3</v>
      </c>
      <c r="AI34" s="209" t="s">
        <v>4</v>
      </c>
      <c r="AJ34" s="209" t="s">
        <v>5</v>
      </c>
      <c r="AK34" s="209" t="s">
        <v>6</v>
      </c>
      <c r="AL34" s="209" t="s">
        <v>7</v>
      </c>
      <c r="AM34" s="209" t="s">
        <v>8</v>
      </c>
      <c r="AN34" s="209" t="s">
        <v>9</v>
      </c>
      <c r="AO34" s="209" t="s">
        <v>10</v>
      </c>
      <c r="AP34" s="209" t="s">
        <v>11</v>
      </c>
      <c r="AQ34" s="209" t="s">
        <v>12</v>
      </c>
      <c r="AR34" s="209" t="s">
        <v>13</v>
      </c>
      <c r="AS34" s="209" t="s">
        <v>63</v>
      </c>
      <c r="AT34" s="209" t="s">
        <v>64</v>
      </c>
      <c r="AU34" s="209" t="s">
        <v>65</v>
      </c>
      <c r="AV34" s="209" t="s">
        <v>66</v>
      </c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</row>
    <row r="35" ht="15.75" customHeight="1">
      <c r="A35" s="209" t="s">
        <v>2</v>
      </c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04"/>
      <c r="AF35" s="212">
        <v>0.0</v>
      </c>
      <c r="AG35" s="53">
        <f t="shared" ref="AG35:AM35" si="1">$AF35*AG2</f>
        <v>0</v>
      </c>
      <c r="AH35" s="53">
        <f t="shared" si="1"/>
        <v>0</v>
      </c>
      <c r="AI35" s="53">
        <f t="shared" si="1"/>
        <v>0</v>
      </c>
      <c r="AJ35" s="53">
        <f t="shared" si="1"/>
        <v>0</v>
      </c>
      <c r="AK35" s="53">
        <f t="shared" si="1"/>
        <v>0</v>
      </c>
      <c r="AL35" s="53">
        <f t="shared" si="1"/>
        <v>0</v>
      </c>
      <c r="AM35" s="53">
        <f t="shared" si="1"/>
        <v>0</v>
      </c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</row>
    <row r="36" ht="15.75" customHeight="1">
      <c r="A36" s="209" t="s">
        <v>3</v>
      </c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04"/>
      <c r="AF36" s="212">
        <v>0.0</v>
      </c>
      <c r="AG36" s="211"/>
      <c r="AH36" s="53">
        <f t="shared" ref="AH36:AN36" si="2">$AF36*AH3</f>
        <v>0</v>
      </c>
      <c r="AI36" s="53">
        <f t="shared" si="2"/>
        <v>0</v>
      </c>
      <c r="AJ36" s="53">
        <f t="shared" si="2"/>
        <v>0</v>
      </c>
      <c r="AK36" s="53">
        <f t="shared" si="2"/>
        <v>0</v>
      </c>
      <c r="AL36" s="53">
        <f t="shared" si="2"/>
        <v>0</v>
      </c>
      <c r="AM36" s="53">
        <f t="shared" si="2"/>
        <v>0</v>
      </c>
      <c r="AN36" s="53">
        <f t="shared" si="2"/>
        <v>0</v>
      </c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</row>
    <row r="37" ht="15.75" customHeight="1">
      <c r="A37" s="209" t="s">
        <v>4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04"/>
      <c r="AF37" s="212">
        <v>0.0</v>
      </c>
      <c r="AG37" s="207"/>
      <c r="AH37" s="211"/>
      <c r="AI37" s="53">
        <f t="shared" ref="AI37:AO37" si="3">$AF37*AI4</f>
        <v>0</v>
      </c>
      <c r="AJ37" s="53">
        <f t="shared" si="3"/>
        <v>0</v>
      </c>
      <c r="AK37" s="53">
        <f t="shared" si="3"/>
        <v>0</v>
      </c>
      <c r="AL37" s="53">
        <f t="shared" si="3"/>
        <v>0</v>
      </c>
      <c r="AM37" s="53">
        <f t="shared" si="3"/>
        <v>0</v>
      </c>
      <c r="AN37" s="53">
        <f t="shared" si="3"/>
        <v>0</v>
      </c>
      <c r="AO37" s="53">
        <f t="shared" si="3"/>
        <v>0</v>
      </c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</row>
    <row r="38" ht="15.75" customHeight="1">
      <c r="A38" s="209" t="s">
        <v>5</v>
      </c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04"/>
      <c r="AF38" s="212">
        <v>0.0</v>
      </c>
      <c r="AG38" s="207"/>
      <c r="AH38" s="211"/>
      <c r="AI38" s="211"/>
      <c r="AJ38" s="53">
        <f t="shared" ref="AJ38:AP38" si="4">$AF38*AJ5</f>
        <v>0</v>
      </c>
      <c r="AK38" s="53">
        <f t="shared" si="4"/>
        <v>0</v>
      </c>
      <c r="AL38" s="53">
        <f t="shared" si="4"/>
        <v>0</v>
      </c>
      <c r="AM38" s="53">
        <f t="shared" si="4"/>
        <v>0</v>
      </c>
      <c r="AN38" s="53">
        <f t="shared" si="4"/>
        <v>0</v>
      </c>
      <c r="AO38" s="53">
        <f t="shared" si="4"/>
        <v>0</v>
      </c>
      <c r="AP38" s="53">
        <f t="shared" si="4"/>
        <v>0</v>
      </c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</row>
    <row r="39" ht="15.75" customHeight="1">
      <c r="A39" s="209" t="s">
        <v>6</v>
      </c>
      <c r="B39" s="213">
        <v>18.0</v>
      </c>
      <c r="C39" s="214">
        <v>0.45</v>
      </c>
      <c r="D39" s="53">
        <f>$B39*D6</f>
        <v>1.8</v>
      </c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04"/>
      <c r="AF39" s="212">
        <v>0.0</v>
      </c>
      <c r="AG39" s="207"/>
      <c r="AH39" s="211"/>
      <c r="AI39" s="211"/>
      <c r="AJ39" s="211"/>
      <c r="AK39" s="53">
        <f t="shared" ref="AK39:AQ39" si="5">$AF39*AK6</f>
        <v>0</v>
      </c>
      <c r="AL39" s="53">
        <f t="shared" si="5"/>
        <v>0</v>
      </c>
      <c r="AM39" s="53">
        <f t="shared" si="5"/>
        <v>0</v>
      </c>
      <c r="AN39" s="53">
        <f t="shared" si="5"/>
        <v>0</v>
      </c>
      <c r="AO39" s="53">
        <f t="shared" si="5"/>
        <v>0</v>
      </c>
      <c r="AP39" s="53">
        <f t="shared" si="5"/>
        <v>0</v>
      </c>
      <c r="AQ39" s="53">
        <f t="shared" si="5"/>
        <v>0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</row>
    <row r="40" ht="15.75" customHeight="1">
      <c r="A40" s="209" t="s">
        <v>7</v>
      </c>
      <c r="B40" s="213">
        <v>18.0</v>
      </c>
      <c r="C40" s="214">
        <v>0.46</v>
      </c>
      <c r="D40" s="53">
        <f t="shared" ref="D40:F40" si="6">$B40*D7*$C40</f>
        <v>7.370823529</v>
      </c>
      <c r="E40" s="53">
        <f t="shared" si="6"/>
        <v>0.828</v>
      </c>
      <c r="F40" s="53">
        <f t="shared" si="6"/>
        <v>0.0828</v>
      </c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5"/>
      <c r="AF40" s="216">
        <f t="array" ref="AF40:AF66">transpose(D67:AD67)</f>
        <v>9.170823529</v>
      </c>
      <c r="AG40" s="207"/>
      <c r="AH40" s="211"/>
      <c r="AI40" s="211"/>
      <c r="AJ40" s="211"/>
      <c r="AK40" s="211"/>
      <c r="AL40" s="53">
        <f t="shared" ref="AL40:AR40" si="7">$AF40*AL7</f>
        <v>1.283915294</v>
      </c>
      <c r="AM40" s="53">
        <f t="shared" si="7"/>
        <v>3.026371765</v>
      </c>
      <c r="AN40" s="53">
        <f t="shared" si="7"/>
        <v>2.292705882</v>
      </c>
      <c r="AO40" s="53">
        <f t="shared" si="7"/>
        <v>1.375623529</v>
      </c>
      <c r="AP40" s="53">
        <f t="shared" si="7"/>
        <v>0.6419576471</v>
      </c>
      <c r="AQ40" s="53">
        <f t="shared" si="7"/>
        <v>0.3668329412</v>
      </c>
      <c r="AR40" s="53">
        <f t="shared" si="7"/>
        <v>0.1834164706</v>
      </c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</row>
    <row r="41" ht="15.75" customHeight="1">
      <c r="A41" s="209" t="s">
        <v>8</v>
      </c>
      <c r="B41" s="213">
        <v>18.0</v>
      </c>
      <c r="C41" s="214">
        <v>0.46</v>
      </c>
      <c r="D41" s="211"/>
      <c r="E41" s="53">
        <f t="shared" ref="E41:G41" si="8">$B41*E8*$C41</f>
        <v>7.370823529</v>
      </c>
      <c r="F41" s="53">
        <f t="shared" si="8"/>
        <v>0.828</v>
      </c>
      <c r="G41" s="53">
        <f t="shared" si="8"/>
        <v>0.0828</v>
      </c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7"/>
      <c r="AF41" s="53">
        <v>8.198823529411765</v>
      </c>
      <c r="AG41" s="207"/>
      <c r="AH41" s="211"/>
      <c r="AI41" s="211"/>
      <c r="AJ41" s="211"/>
      <c r="AK41" s="211"/>
      <c r="AL41" s="211"/>
      <c r="AM41" s="53">
        <f t="shared" ref="AM41:AS41" si="9">$AF41*AM8</f>
        <v>1.147835294</v>
      </c>
      <c r="AN41" s="53">
        <f t="shared" si="9"/>
        <v>2.705611765</v>
      </c>
      <c r="AO41" s="53">
        <f t="shared" si="9"/>
        <v>2.049705882</v>
      </c>
      <c r="AP41" s="53">
        <f t="shared" si="9"/>
        <v>1.229823529</v>
      </c>
      <c r="AQ41" s="53">
        <f t="shared" si="9"/>
        <v>0.5739176471</v>
      </c>
      <c r="AR41" s="53">
        <f t="shared" si="9"/>
        <v>0.3279529412</v>
      </c>
      <c r="AS41" s="53">
        <f t="shared" si="9"/>
        <v>0.1639764706</v>
      </c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</row>
    <row r="42" ht="15.75" customHeight="1">
      <c r="A42" s="209" t="s">
        <v>9</v>
      </c>
      <c r="B42" s="213">
        <v>18.0</v>
      </c>
      <c r="C42" s="214">
        <v>0.46</v>
      </c>
      <c r="D42" s="205"/>
      <c r="E42" s="211"/>
      <c r="F42" s="53">
        <f t="shared" ref="F42:H42" si="10">$B42*F9*$C42</f>
        <v>7.370823529</v>
      </c>
      <c r="G42" s="53">
        <f t="shared" si="10"/>
        <v>0.828</v>
      </c>
      <c r="H42" s="53">
        <f t="shared" si="10"/>
        <v>0.0828</v>
      </c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7"/>
      <c r="AF42" s="53">
        <v>8.281623529411764</v>
      </c>
      <c r="AG42" s="207"/>
      <c r="AH42" s="211"/>
      <c r="AI42" s="211"/>
      <c r="AJ42" s="211"/>
      <c r="AK42" s="211"/>
      <c r="AL42" s="211"/>
      <c r="AM42" s="211"/>
      <c r="AN42" s="53">
        <f t="shared" ref="AN42:AT42" si="11">$AF42*AN9</f>
        <v>1.159427294</v>
      </c>
      <c r="AO42" s="53">
        <f t="shared" si="11"/>
        <v>2.732935765</v>
      </c>
      <c r="AP42" s="53">
        <f t="shared" si="11"/>
        <v>2.070405882</v>
      </c>
      <c r="AQ42" s="53">
        <f t="shared" si="11"/>
        <v>1.242243529</v>
      </c>
      <c r="AR42" s="53">
        <f t="shared" si="11"/>
        <v>0.5797136471</v>
      </c>
      <c r="AS42" s="53">
        <f t="shared" si="11"/>
        <v>0.3312649412</v>
      </c>
      <c r="AT42" s="53">
        <f t="shared" si="11"/>
        <v>0.1656324706</v>
      </c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</row>
    <row r="43" ht="15.75" customHeight="1">
      <c r="A43" s="209" t="s">
        <v>10</v>
      </c>
      <c r="B43" s="213">
        <v>18.0</v>
      </c>
      <c r="C43" s="214">
        <v>0.65</v>
      </c>
      <c r="D43" s="205"/>
      <c r="E43" s="205"/>
      <c r="F43" s="211"/>
      <c r="G43" s="53">
        <f t="shared" ref="G43:I43" si="12">$B43*G10*$C43</f>
        <v>10.41529412</v>
      </c>
      <c r="H43" s="53">
        <f t="shared" si="12"/>
        <v>1.17</v>
      </c>
      <c r="I43" s="53">
        <f t="shared" si="12"/>
        <v>0.117</v>
      </c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7"/>
      <c r="AF43" s="53">
        <v>11.32609411764706</v>
      </c>
      <c r="AG43" s="207"/>
      <c r="AH43" s="211"/>
      <c r="AI43" s="211"/>
      <c r="AJ43" s="211"/>
      <c r="AK43" s="211"/>
      <c r="AL43" s="211"/>
      <c r="AM43" s="211"/>
      <c r="AN43" s="211"/>
      <c r="AO43" s="53">
        <f t="shared" ref="AO43:AU43" si="13">$AF43*AO10</f>
        <v>1.585653176</v>
      </c>
      <c r="AP43" s="53">
        <f t="shared" si="13"/>
        <v>3.737611059</v>
      </c>
      <c r="AQ43" s="53">
        <f t="shared" si="13"/>
        <v>2.831523529</v>
      </c>
      <c r="AR43" s="53">
        <f t="shared" si="13"/>
        <v>1.698914118</v>
      </c>
      <c r="AS43" s="53">
        <f t="shared" si="13"/>
        <v>0.7928265882</v>
      </c>
      <c r="AT43" s="53">
        <f t="shared" si="13"/>
        <v>0.4530437647</v>
      </c>
      <c r="AU43" s="53">
        <f t="shared" si="13"/>
        <v>0.2265218824</v>
      </c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</row>
    <row r="44" ht="15.75" customHeight="1">
      <c r="A44" s="209" t="s">
        <v>11</v>
      </c>
      <c r="B44" s="213">
        <v>18.0</v>
      </c>
      <c r="C44" s="214">
        <v>0.48</v>
      </c>
      <c r="D44" s="205"/>
      <c r="E44" s="205"/>
      <c r="F44" s="205"/>
      <c r="G44" s="205"/>
      <c r="H44" s="53">
        <f t="shared" ref="H44:J44" si="14">$B44*H11*$C44</f>
        <v>7.691294118</v>
      </c>
      <c r="I44" s="53">
        <f t="shared" si="14"/>
        <v>0.864</v>
      </c>
      <c r="J44" s="53">
        <f t="shared" si="14"/>
        <v>0.0864</v>
      </c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7"/>
      <c r="AF44" s="53">
        <v>8.944094117647058</v>
      </c>
      <c r="AG44" s="207"/>
      <c r="AH44" s="211"/>
      <c r="AI44" s="211"/>
      <c r="AJ44" s="211"/>
      <c r="AK44" s="211"/>
      <c r="AL44" s="211"/>
      <c r="AM44" s="211"/>
      <c r="AN44" s="211"/>
      <c r="AO44" s="211"/>
      <c r="AP44" s="53">
        <f t="shared" ref="AP44:AV44" si="15">$AF44*AP11</f>
        <v>1.252173176</v>
      </c>
      <c r="AQ44" s="53">
        <f t="shared" si="15"/>
        <v>2.951551059</v>
      </c>
      <c r="AR44" s="53">
        <f t="shared" si="15"/>
        <v>2.236023529</v>
      </c>
      <c r="AS44" s="53">
        <f t="shared" si="15"/>
        <v>1.341614118</v>
      </c>
      <c r="AT44" s="53">
        <f t="shared" si="15"/>
        <v>0.6260865882</v>
      </c>
      <c r="AU44" s="53">
        <f t="shared" si="15"/>
        <v>0.3577637647</v>
      </c>
      <c r="AV44" s="53">
        <f t="shared" si="15"/>
        <v>0.1788818824</v>
      </c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</row>
    <row r="45" ht="15.75" customHeight="1">
      <c r="A45" s="209" t="s">
        <v>12</v>
      </c>
      <c r="B45" s="213">
        <v>18.0</v>
      </c>
      <c r="C45" s="214">
        <v>0.55</v>
      </c>
      <c r="D45" s="205"/>
      <c r="E45" s="205"/>
      <c r="F45" s="205"/>
      <c r="G45" s="205"/>
      <c r="H45" s="205"/>
      <c r="I45" s="53">
        <f t="shared" ref="I45:K45" si="16">$B45*I12*$C45</f>
        <v>8.812941176</v>
      </c>
      <c r="J45" s="53">
        <f t="shared" si="16"/>
        <v>0.99</v>
      </c>
      <c r="K45" s="53">
        <f t="shared" si="16"/>
        <v>0.099</v>
      </c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7"/>
      <c r="AF45" s="53">
        <v>9.79394117647059</v>
      </c>
      <c r="AG45" s="207"/>
      <c r="AH45" s="211"/>
      <c r="AI45" s="211"/>
      <c r="AJ45" s="211"/>
      <c r="AK45" s="211"/>
      <c r="AL45" s="211"/>
      <c r="AM45" s="211"/>
      <c r="AN45" s="211"/>
      <c r="AO45" s="211"/>
      <c r="AP45" s="211"/>
      <c r="AQ45" s="53">
        <f t="shared" ref="AQ45:AW45" si="17">$AF45*AQ12</f>
        <v>1.371151765</v>
      </c>
      <c r="AR45" s="53">
        <f t="shared" si="17"/>
        <v>3.232000588</v>
      </c>
      <c r="AS45" s="53">
        <f t="shared" si="17"/>
        <v>2.448485294</v>
      </c>
      <c r="AT45" s="53">
        <f t="shared" si="17"/>
        <v>1.469091176</v>
      </c>
      <c r="AU45" s="53">
        <f t="shared" si="17"/>
        <v>0.6855758824</v>
      </c>
      <c r="AV45" s="53">
        <f t="shared" si="17"/>
        <v>0.3917576471</v>
      </c>
      <c r="AW45" s="53">
        <f t="shared" si="17"/>
        <v>0.1958788235</v>
      </c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</row>
    <row r="46" ht="15.75" customHeight="1">
      <c r="A46" s="209" t="s">
        <v>13</v>
      </c>
      <c r="B46" s="213">
        <v>18.0</v>
      </c>
      <c r="C46" s="214">
        <v>0.48</v>
      </c>
      <c r="D46" s="205"/>
      <c r="E46" s="205"/>
      <c r="F46" s="205"/>
      <c r="G46" s="205"/>
      <c r="H46" s="205"/>
      <c r="I46" s="205"/>
      <c r="J46" s="53">
        <f t="shared" ref="J46:L46" si="18">$B46*J13*$C46</f>
        <v>7.691294118</v>
      </c>
      <c r="K46" s="53">
        <f t="shared" si="18"/>
        <v>0.864</v>
      </c>
      <c r="L46" s="53">
        <f t="shared" si="18"/>
        <v>0.0864</v>
      </c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7"/>
      <c r="AF46" s="53">
        <v>8.767694117647059</v>
      </c>
      <c r="AG46" s="207"/>
      <c r="AH46" s="211"/>
      <c r="AI46" s="211"/>
      <c r="AJ46" s="211"/>
      <c r="AK46" s="211"/>
      <c r="AL46" s="211"/>
      <c r="AM46" s="211"/>
      <c r="AN46" s="211"/>
      <c r="AO46" s="211"/>
      <c r="AP46" s="207"/>
      <c r="AQ46" s="211"/>
      <c r="AR46" s="53">
        <f t="shared" ref="AR46:AX46" si="19">$AF46*AR13</f>
        <v>1.227477176</v>
      </c>
      <c r="AS46" s="53">
        <f t="shared" si="19"/>
        <v>2.893339059</v>
      </c>
      <c r="AT46" s="53">
        <f t="shared" si="19"/>
        <v>2.191923529</v>
      </c>
      <c r="AU46" s="53">
        <f t="shared" si="19"/>
        <v>1.315154118</v>
      </c>
      <c r="AV46" s="53">
        <f t="shared" si="19"/>
        <v>0.6137385882</v>
      </c>
      <c r="AW46" s="53">
        <f t="shared" si="19"/>
        <v>0.3507077647</v>
      </c>
      <c r="AX46" s="53">
        <f t="shared" si="19"/>
        <v>0.1753538824</v>
      </c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</row>
    <row r="47" ht="15.75" customHeight="1">
      <c r="A47" s="209" t="s">
        <v>63</v>
      </c>
      <c r="B47" s="213">
        <v>18.0</v>
      </c>
      <c r="C47" s="214">
        <v>0.6</v>
      </c>
      <c r="D47" s="205"/>
      <c r="E47" s="205"/>
      <c r="F47" s="205"/>
      <c r="G47" s="205"/>
      <c r="H47" s="205"/>
      <c r="I47" s="205"/>
      <c r="J47" s="211"/>
      <c r="K47" s="53">
        <f t="shared" ref="K47:M47" si="20">$B47*K14*$C47</f>
        <v>9.614117647</v>
      </c>
      <c r="L47" s="53">
        <f t="shared" si="20"/>
        <v>1.08</v>
      </c>
      <c r="M47" s="53">
        <f t="shared" si="20"/>
        <v>0.108</v>
      </c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7"/>
      <c r="AF47" s="53">
        <v>10.577117647058822</v>
      </c>
      <c r="AG47" s="207"/>
      <c r="AH47" s="211"/>
      <c r="AI47" s="211"/>
      <c r="AJ47" s="211"/>
      <c r="AK47" s="211"/>
      <c r="AL47" s="211"/>
      <c r="AM47" s="211"/>
      <c r="AN47" s="211"/>
      <c r="AO47" s="211"/>
      <c r="AP47" s="207"/>
      <c r="AQ47" s="211"/>
      <c r="AR47" s="211"/>
      <c r="AS47" s="53">
        <f t="shared" ref="AS47:AY47" si="21">$AF47*AS14</f>
        <v>1.480796471</v>
      </c>
      <c r="AT47" s="53">
        <f t="shared" si="21"/>
        <v>3.490448824</v>
      </c>
      <c r="AU47" s="53">
        <f t="shared" si="21"/>
        <v>2.644279412</v>
      </c>
      <c r="AV47" s="53">
        <f t="shared" si="21"/>
        <v>1.586567647</v>
      </c>
      <c r="AW47" s="53">
        <f t="shared" si="21"/>
        <v>0.7403982353</v>
      </c>
      <c r="AX47" s="53">
        <f t="shared" si="21"/>
        <v>0.4230847059</v>
      </c>
      <c r="AY47" s="53">
        <f t="shared" si="21"/>
        <v>0.2115423529</v>
      </c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</row>
    <row r="48" ht="15.75" customHeight="1">
      <c r="A48" s="209" t="s">
        <v>64</v>
      </c>
      <c r="B48" s="213">
        <v>18.0</v>
      </c>
      <c r="C48" s="214">
        <v>0.56</v>
      </c>
      <c r="D48" s="205"/>
      <c r="E48" s="205"/>
      <c r="F48" s="205"/>
      <c r="G48" s="205"/>
      <c r="H48" s="205"/>
      <c r="I48" s="205"/>
      <c r="J48" s="211"/>
      <c r="K48" s="211"/>
      <c r="L48" s="53">
        <f t="shared" ref="L48:N48" si="22">$B48*L15*$C48</f>
        <v>8.973176471</v>
      </c>
      <c r="M48" s="53">
        <f t="shared" si="22"/>
        <v>1.008</v>
      </c>
      <c r="N48" s="53">
        <f t="shared" si="22"/>
        <v>0.1008</v>
      </c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7"/>
      <c r="AF48" s="53">
        <v>10.139576470588235</v>
      </c>
      <c r="AG48" s="207"/>
      <c r="AH48" s="211"/>
      <c r="AI48" s="211"/>
      <c r="AJ48" s="211"/>
      <c r="AK48" s="211"/>
      <c r="AL48" s="211"/>
      <c r="AM48" s="211"/>
      <c r="AN48" s="211"/>
      <c r="AO48" s="211"/>
      <c r="AP48" s="207"/>
      <c r="AQ48" s="211"/>
      <c r="AR48" s="211"/>
      <c r="AS48" s="211"/>
      <c r="AT48" s="53">
        <f t="shared" ref="AT48:AZ48" si="23">$AF48*AT15</f>
        <v>1.419540706</v>
      </c>
      <c r="AU48" s="53">
        <f t="shared" si="23"/>
        <v>3.346060235</v>
      </c>
      <c r="AV48" s="53">
        <f t="shared" si="23"/>
        <v>2.534894118</v>
      </c>
      <c r="AW48" s="53">
        <f t="shared" si="23"/>
        <v>1.520936471</v>
      </c>
      <c r="AX48" s="53">
        <f t="shared" si="23"/>
        <v>0.7097703529</v>
      </c>
      <c r="AY48" s="53">
        <f t="shared" si="23"/>
        <v>0.4055830588</v>
      </c>
      <c r="AZ48" s="53">
        <f t="shared" si="23"/>
        <v>0.2027915294</v>
      </c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</row>
    <row r="49" ht="15.75" customHeight="1">
      <c r="A49" s="209" t="s">
        <v>65</v>
      </c>
      <c r="B49" s="213">
        <v>18.0</v>
      </c>
      <c r="C49" s="214">
        <v>0.53</v>
      </c>
      <c r="D49" s="205"/>
      <c r="E49" s="205"/>
      <c r="F49" s="205"/>
      <c r="G49" s="205"/>
      <c r="H49" s="205"/>
      <c r="I49" s="205"/>
      <c r="J49" s="211"/>
      <c r="K49" s="211"/>
      <c r="L49" s="211"/>
      <c r="M49" s="53">
        <f t="shared" ref="M49:O49" si="24">$B49*M16*$C49</f>
        <v>8.492470588</v>
      </c>
      <c r="N49" s="53">
        <f t="shared" si="24"/>
        <v>0.954</v>
      </c>
      <c r="O49" s="53">
        <f t="shared" si="24"/>
        <v>0.0954</v>
      </c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7"/>
      <c r="AF49" s="53">
        <v>9.608470588235294</v>
      </c>
      <c r="AG49" s="207"/>
      <c r="AH49" s="211"/>
      <c r="AI49" s="211"/>
      <c r="AJ49" s="211"/>
      <c r="AK49" s="211"/>
      <c r="AL49" s="211"/>
      <c r="AM49" s="211"/>
      <c r="AN49" s="211"/>
      <c r="AO49" s="211"/>
      <c r="AP49" s="207"/>
      <c r="AQ49" s="211"/>
      <c r="AR49" s="211"/>
      <c r="AS49" s="211"/>
      <c r="AT49" s="211"/>
      <c r="AU49" s="53">
        <f t="shared" ref="AU49:BA49" si="25">$AF49*AU16</f>
        <v>1.345185882</v>
      </c>
      <c r="AV49" s="53">
        <f t="shared" si="25"/>
        <v>3.170795294</v>
      </c>
      <c r="AW49" s="53">
        <f t="shared" si="25"/>
        <v>2.402117647</v>
      </c>
      <c r="AX49" s="53">
        <f t="shared" si="25"/>
        <v>1.441270588</v>
      </c>
      <c r="AY49" s="53">
        <f t="shared" si="25"/>
        <v>0.6725929412</v>
      </c>
      <c r="AZ49" s="53">
        <f t="shared" si="25"/>
        <v>0.3843388235</v>
      </c>
      <c r="BA49" s="53">
        <f t="shared" si="25"/>
        <v>0.1921694118</v>
      </c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</row>
    <row r="50" ht="15.75" customHeight="1">
      <c r="A50" s="209" t="s">
        <v>66</v>
      </c>
      <c r="B50" s="213">
        <v>18.0</v>
      </c>
      <c r="C50" s="214">
        <v>0.5</v>
      </c>
      <c r="D50" s="205"/>
      <c r="E50" s="205"/>
      <c r="F50" s="205"/>
      <c r="G50" s="205"/>
      <c r="H50" s="205"/>
      <c r="I50" s="205"/>
      <c r="J50" s="211"/>
      <c r="K50" s="211"/>
      <c r="L50" s="211"/>
      <c r="M50" s="211"/>
      <c r="N50" s="53">
        <f t="shared" ref="N50:P50" si="26">$B50*N17*$C50</f>
        <v>8.01</v>
      </c>
      <c r="O50" s="53">
        <f t="shared" si="26"/>
        <v>0.9</v>
      </c>
      <c r="P50" s="53">
        <f t="shared" si="26"/>
        <v>0.09</v>
      </c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7"/>
      <c r="AF50" s="53">
        <v>9.0648</v>
      </c>
      <c r="AG50" s="207"/>
      <c r="AH50" s="211"/>
      <c r="AI50" s="211"/>
      <c r="AJ50" s="211"/>
      <c r="AK50" s="211"/>
      <c r="AL50" s="211"/>
      <c r="AM50" s="211"/>
      <c r="AN50" s="211"/>
      <c r="AO50" s="211"/>
      <c r="AP50" s="207"/>
      <c r="AQ50" s="211"/>
      <c r="AR50" s="211"/>
      <c r="AS50" s="211"/>
      <c r="AT50" s="211"/>
      <c r="AU50" s="211"/>
      <c r="AV50" s="53">
        <f t="shared" ref="AV50:BB50" si="27">$AF50*AV17</f>
        <v>1.269072</v>
      </c>
      <c r="AW50" s="53">
        <f t="shared" si="27"/>
        <v>2.991384</v>
      </c>
      <c r="AX50" s="53">
        <f t="shared" si="27"/>
        <v>2.2662</v>
      </c>
      <c r="AY50" s="53">
        <f t="shared" si="27"/>
        <v>1.35972</v>
      </c>
      <c r="AZ50" s="53">
        <f t="shared" si="27"/>
        <v>0.634536</v>
      </c>
      <c r="BA50" s="53">
        <f t="shared" si="27"/>
        <v>0.362592</v>
      </c>
      <c r="BB50" s="53">
        <f t="shared" si="27"/>
        <v>0.181296</v>
      </c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</row>
    <row r="51" ht="15.75" customHeight="1">
      <c r="A51" s="209" t="s">
        <v>67</v>
      </c>
      <c r="B51" s="213">
        <v>18.0</v>
      </c>
      <c r="C51" s="214">
        <v>0.5</v>
      </c>
      <c r="D51" s="205"/>
      <c r="E51" s="205"/>
      <c r="F51" s="205"/>
      <c r="G51" s="205"/>
      <c r="H51" s="205"/>
      <c r="I51" s="205"/>
      <c r="J51" s="211"/>
      <c r="K51" s="211"/>
      <c r="L51" s="211"/>
      <c r="M51" s="211"/>
      <c r="N51" s="211"/>
      <c r="O51" s="53">
        <f t="shared" ref="O51:Q51" si="28">$B51*O18*$C51</f>
        <v>8.01</v>
      </c>
      <c r="P51" s="53">
        <f t="shared" si="28"/>
        <v>0.9</v>
      </c>
      <c r="Q51" s="53">
        <f t="shared" si="28"/>
        <v>0.09</v>
      </c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7"/>
      <c r="AF51" s="53">
        <v>9.0054</v>
      </c>
      <c r="AG51" s="207"/>
      <c r="AH51" s="211"/>
      <c r="AI51" s="211"/>
      <c r="AJ51" s="211"/>
      <c r="AK51" s="211"/>
      <c r="AL51" s="211"/>
      <c r="AM51" s="211"/>
      <c r="AN51" s="211"/>
      <c r="AO51" s="211"/>
      <c r="AP51" s="207"/>
      <c r="AQ51" s="211"/>
      <c r="AR51" s="211"/>
      <c r="AS51" s="211"/>
      <c r="AT51" s="211"/>
      <c r="AU51" s="211"/>
      <c r="AV51" s="211"/>
      <c r="AW51" s="53">
        <f t="shared" ref="AW51:BC51" si="29">$AF51*AW18</f>
        <v>1.260756</v>
      </c>
      <c r="AX51" s="53">
        <f t="shared" si="29"/>
        <v>2.971782</v>
      </c>
      <c r="AY51" s="53">
        <f t="shared" si="29"/>
        <v>2.25135</v>
      </c>
      <c r="AZ51" s="53">
        <f t="shared" si="29"/>
        <v>1.35081</v>
      </c>
      <c r="BA51" s="53">
        <f t="shared" si="29"/>
        <v>0.630378</v>
      </c>
      <c r="BB51" s="53">
        <f t="shared" si="29"/>
        <v>0.360216</v>
      </c>
      <c r="BC51" s="53">
        <f t="shared" si="29"/>
        <v>0.180108</v>
      </c>
      <c r="BD51" s="211"/>
      <c r="BE51" s="211"/>
      <c r="BF51" s="211"/>
      <c r="BG51" s="211"/>
      <c r="BH51" s="211"/>
      <c r="BI51" s="211"/>
      <c r="BJ51" s="211"/>
      <c r="BK51" s="211"/>
      <c r="BL51" s="211"/>
    </row>
    <row r="52" ht="15.75" customHeight="1">
      <c r="A52" s="209" t="s">
        <v>68</v>
      </c>
      <c r="B52" s="213">
        <v>18.0</v>
      </c>
      <c r="C52" s="214">
        <v>0.5</v>
      </c>
      <c r="D52" s="205"/>
      <c r="E52" s="205"/>
      <c r="F52" s="205"/>
      <c r="G52" s="205"/>
      <c r="H52" s="205"/>
      <c r="I52" s="205"/>
      <c r="J52" s="211"/>
      <c r="K52" s="211"/>
      <c r="L52" s="211"/>
      <c r="M52" s="211"/>
      <c r="N52" s="211"/>
      <c r="O52" s="211"/>
      <c r="P52" s="53">
        <f t="shared" ref="P52:R52" si="30">$B52*P19*$C52</f>
        <v>8.01</v>
      </c>
      <c r="Q52" s="53">
        <f t="shared" si="30"/>
        <v>0.9</v>
      </c>
      <c r="R52" s="53">
        <f t="shared" si="30"/>
        <v>0.09</v>
      </c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7"/>
      <c r="AF52" s="53">
        <v>9.0</v>
      </c>
      <c r="AG52" s="211"/>
      <c r="AH52" s="211"/>
      <c r="AI52" s="211"/>
      <c r="AJ52" s="211"/>
      <c r="AK52" s="211"/>
      <c r="AL52" s="211"/>
      <c r="AM52" s="211"/>
      <c r="AN52" s="211"/>
      <c r="AO52" s="211"/>
      <c r="AP52" s="207"/>
      <c r="AQ52" s="211"/>
      <c r="AR52" s="211"/>
      <c r="AS52" s="211"/>
      <c r="AT52" s="211"/>
      <c r="AU52" s="211"/>
      <c r="AV52" s="211"/>
      <c r="AW52" s="211"/>
      <c r="AX52" s="53">
        <f t="shared" ref="AX52:BD52" si="31">$AF52*AX19</f>
        <v>1.26</v>
      </c>
      <c r="AY52" s="53">
        <f t="shared" si="31"/>
        <v>2.97</v>
      </c>
      <c r="AZ52" s="53">
        <f t="shared" si="31"/>
        <v>2.25</v>
      </c>
      <c r="BA52" s="53">
        <f t="shared" si="31"/>
        <v>1.35</v>
      </c>
      <c r="BB52" s="53">
        <f t="shared" si="31"/>
        <v>0.63</v>
      </c>
      <c r="BC52" s="53">
        <f t="shared" si="31"/>
        <v>0.36</v>
      </c>
      <c r="BD52" s="53">
        <f t="shared" si="31"/>
        <v>0.18</v>
      </c>
      <c r="BE52" s="211"/>
      <c r="BF52" s="211"/>
      <c r="BG52" s="211"/>
      <c r="BH52" s="211"/>
      <c r="BI52" s="211"/>
      <c r="BJ52" s="211"/>
      <c r="BK52" s="211"/>
      <c r="BL52" s="211"/>
    </row>
    <row r="53" ht="15.75" customHeight="1">
      <c r="A53" s="209" t="s">
        <v>69</v>
      </c>
      <c r="B53" s="213" t="str">
        <f>average($B$48:$B$52)*1.2+'Brand Rollout'!D18/2</f>
        <v>#REF!</v>
      </c>
      <c r="C53" s="214">
        <v>0.55</v>
      </c>
      <c r="D53" s="205"/>
      <c r="E53" s="205"/>
      <c r="F53" s="205"/>
      <c r="G53" s="205"/>
      <c r="H53" s="205"/>
      <c r="I53" s="205"/>
      <c r="J53" s="211"/>
      <c r="K53" s="211"/>
      <c r="L53" s="211"/>
      <c r="M53" s="211"/>
      <c r="N53" s="211"/>
      <c r="O53" s="211"/>
      <c r="P53" s="211"/>
      <c r="Q53" s="53" t="str">
        <f t="shared" ref="Q53:S53" si="32">$B53*Q20*$C53</f>
        <v>#REF!</v>
      </c>
      <c r="R53" s="53" t="str">
        <f t="shared" si="32"/>
        <v>#REF!</v>
      </c>
      <c r="S53" s="53" t="str">
        <f t="shared" si="32"/>
        <v>#REF!</v>
      </c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7"/>
      <c r="AF53" s="53" t="e">
        <v>#REF!</v>
      </c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53" t="str">
        <f t="shared" ref="AY53:BE53" si="33">$AF53*AY20</f>
        <v>#REF!</v>
      </c>
      <c r="AZ53" s="53" t="str">
        <f t="shared" si="33"/>
        <v>#REF!</v>
      </c>
      <c r="BA53" s="53" t="str">
        <f t="shared" si="33"/>
        <v>#REF!</v>
      </c>
      <c r="BB53" s="53" t="str">
        <f t="shared" si="33"/>
        <v>#REF!</v>
      </c>
      <c r="BC53" s="53" t="str">
        <f t="shared" si="33"/>
        <v>#REF!</v>
      </c>
      <c r="BD53" s="53" t="str">
        <f t="shared" si="33"/>
        <v>#REF!</v>
      </c>
      <c r="BE53" s="53" t="str">
        <f t="shared" si="33"/>
        <v>#REF!</v>
      </c>
      <c r="BF53" s="211"/>
      <c r="BG53" s="211"/>
      <c r="BH53" s="211"/>
      <c r="BI53" s="211"/>
      <c r="BJ53" s="211"/>
      <c r="BK53" s="211"/>
      <c r="BL53" s="211"/>
    </row>
    <row r="54" ht="15.75" customHeight="1">
      <c r="A54" s="218" t="s">
        <v>70</v>
      </c>
      <c r="B54" s="213" t="str">
        <f t="shared" ref="B54:B56" si="36">average($B$48:$B$51)*1.5+'Brand Rollout'!D19/2</f>
        <v>#REF!</v>
      </c>
      <c r="C54" s="214">
        <v>0.55</v>
      </c>
      <c r="D54" s="205"/>
      <c r="E54" s="205"/>
      <c r="F54" s="205"/>
      <c r="G54" s="205"/>
      <c r="H54" s="205"/>
      <c r="I54" s="205"/>
      <c r="J54" s="211"/>
      <c r="K54" s="211"/>
      <c r="L54" s="211"/>
      <c r="M54" s="211"/>
      <c r="N54" s="211"/>
      <c r="O54" s="211"/>
      <c r="P54" s="211"/>
      <c r="Q54" s="211"/>
      <c r="R54" s="53" t="str">
        <f t="shared" ref="R54:T54" si="34">$B54*R21*$C54</f>
        <v>#REF!</v>
      </c>
      <c r="S54" s="53" t="str">
        <f t="shared" si="34"/>
        <v>#REF!</v>
      </c>
      <c r="T54" s="53" t="str">
        <f t="shared" si="34"/>
        <v>#REF!</v>
      </c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7"/>
      <c r="AF54" s="53" t="e">
        <v>#REF!</v>
      </c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53" t="str">
        <f t="shared" ref="AZ54:BF54" si="35">$AF54*AZ21</f>
        <v>#REF!</v>
      </c>
      <c r="BA54" s="53" t="str">
        <f t="shared" si="35"/>
        <v>#REF!</v>
      </c>
      <c r="BB54" s="53" t="str">
        <f t="shared" si="35"/>
        <v>#REF!</v>
      </c>
      <c r="BC54" s="53" t="str">
        <f t="shared" si="35"/>
        <v>#REF!</v>
      </c>
      <c r="BD54" s="53" t="str">
        <f t="shared" si="35"/>
        <v>#REF!</v>
      </c>
      <c r="BE54" s="53" t="str">
        <f t="shared" si="35"/>
        <v>#REF!</v>
      </c>
      <c r="BF54" s="53" t="str">
        <f t="shared" si="35"/>
        <v>#REF!</v>
      </c>
      <c r="BG54" s="211"/>
      <c r="BH54" s="211"/>
      <c r="BI54" s="211"/>
      <c r="BJ54" s="211"/>
      <c r="BK54" s="211"/>
      <c r="BL54" s="211"/>
    </row>
    <row r="55" ht="15.75" customHeight="1">
      <c r="A55" s="209" t="s">
        <v>71</v>
      </c>
      <c r="B55" s="213" t="str">
        <f t="shared" si="36"/>
        <v>#REF!</v>
      </c>
      <c r="C55" s="214">
        <v>0.55</v>
      </c>
      <c r="D55" s="205"/>
      <c r="E55" s="205"/>
      <c r="F55" s="205"/>
      <c r="G55" s="205"/>
      <c r="H55" s="205"/>
      <c r="I55" s="205"/>
      <c r="J55" s="211"/>
      <c r="K55" s="211"/>
      <c r="L55" s="211"/>
      <c r="M55" s="211"/>
      <c r="N55" s="211"/>
      <c r="O55" s="211"/>
      <c r="P55" s="211"/>
      <c r="Q55" s="211"/>
      <c r="R55" s="211"/>
      <c r="S55" s="53" t="str">
        <f t="shared" ref="S55:U55" si="37">$B55*S22*$C55</f>
        <v>#REF!</v>
      </c>
      <c r="T55" s="53" t="str">
        <f t="shared" si="37"/>
        <v>#REF!</v>
      </c>
      <c r="U55" s="53" t="str">
        <f t="shared" si="37"/>
        <v>#REF!</v>
      </c>
      <c r="V55" s="211"/>
      <c r="W55" s="211"/>
      <c r="X55" s="211"/>
      <c r="Y55" s="211"/>
      <c r="Z55" s="211"/>
      <c r="AA55" s="211"/>
      <c r="AB55" s="211"/>
      <c r="AC55" s="211"/>
      <c r="AD55" s="211"/>
      <c r="AE55" s="217"/>
      <c r="AF55" s="53" t="e">
        <v>#REF!</v>
      </c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07"/>
      <c r="AZ55" s="211"/>
      <c r="BA55" s="53" t="str">
        <f t="shared" ref="BA55:BG55" si="38">$AF55*BA22</f>
        <v>#REF!</v>
      </c>
      <c r="BB55" s="53" t="str">
        <f t="shared" si="38"/>
        <v>#REF!</v>
      </c>
      <c r="BC55" s="53" t="str">
        <f t="shared" si="38"/>
        <v>#REF!</v>
      </c>
      <c r="BD55" s="53" t="str">
        <f t="shared" si="38"/>
        <v>#REF!</v>
      </c>
      <c r="BE55" s="53" t="str">
        <f t="shared" si="38"/>
        <v>#REF!</v>
      </c>
      <c r="BF55" s="53" t="str">
        <f t="shared" si="38"/>
        <v>#REF!</v>
      </c>
      <c r="BG55" s="53" t="str">
        <f t="shared" si="38"/>
        <v>#REF!</v>
      </c>
      <c r="BH55" s="211"/>
      <c r="BI55" s="211"/>
      <c r="BJ55" s="211"/>
      <c r="BK55" s="211"/>
      <c r="BL55" s="211"/>
    </row>
    <row r="56" ht="15.75" customHeight="1">
      <c r="A56" s="209" t="s">
        <v>72</v>
      </c>
      <c r="B56" s="213" t="str">
        <f t="shared" si="36"/>
        <v>#REF!</v>
      </c>
      <c r="C56" s="214">
        <v>0.55</v>
      </c>
      <c r="D56" s="205"/>
      <c r="E56" s="205"/>
      <c r="F56" s="205"/>
      <c r="G56" s="205"/>
      <c r="H56" s="205"/>
      <c r="I56" s="205"/>
      <c r="J56" s="211"/>
      <c r="K56" s="211"/>
      <c r="L56" s="211"/>
      <c r="M56" s="211"/>
      <c r="N56" s="211"/>
      <c r="O56" s="211"/>
      <c r="P56" s="211"/>
      <c r="Q56" s="211"/>
      <c r="R56" s="211"/>
      <c r="S56" s="205"/>
      <c r="T56" s="53" t="str">
        <f t="shared" ref="T56:V56" si="39">$B56*T23*$C56</f>
        <v>#REF!</v>
      </c>
      <c r="U56" s="53" t="str">
        <f t="shared" si="39"/>
        <v>#REF!</v>
      </c>
      <c r="V56" s="53" t="str">
        <f t="shared" si="39"/>
        <v>#REF!</v>
      </c>
      <c r="W56" s="211"/>
      <c r="X56" s="211"/>
      <c r="Y56" s="211"/>
      <c r="Z56" s="211"/>
      <c r="AA56" s="211"/>
      <c r="AB56" s="211"/>
      <c r="AC56" s="211"/>
      <c r="AD56" s="211"/>
      <c r="AE56" s="217"/>
      <c r="AF56" s="53" t="e">
        <v>#REF!</v>
      </c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07"/>
      <c r="AZ56" s="211"/>
      <c r="BA56" s="211"/>
      <c r="BB56" s="53" t="str">
        <f t="shared" ref="BB56:BH56" si="40">$AF56*BB23</f>
        <v>#REF!</v>
      </c>
      <c r="BC56" s="53" t="str">
        <f t="shared" si="40"/>
        <v>#REF!</v>
      </c>
      <c r="BD56" s="53" t="str">
        <f t="shared" si="40"/>
        <v>#REF!</v>
      </c>
      <c r="BE56" s="53" t="str">
        <f t="shared" si="40"/>
        <v>#REF!</v>
      </c>
      <c r="BF56" s="53" t="str">
        <f t="shared" si="40"/>
        <v>#REF!</v>
      </c>
      <c r="BG56" s="53" t="str">
        <f t="shared" si="40"/>
        <v>#REF!</v>
      </c>
      <c r="BH56" s="53" t="str">
        <f t="shared" si="40"/>
        <v>#REF!</v>
      </c>
      <c r="BI56" s="211"/>
      <c r="BJ56" s="211"/>
      <c r="BK56" s="211"/>
      <c r="BL56" s="211"/>
    </row>
    <row r="57" ht="15.75" customHeight="1">
      <c r="A57" s="209" t="s">
        <v>73</v>
      </c>
      <c r="B57" s="213" t="str">
        <f t="shared" ref="B57:B60" si="43">average($B$48:$B$51)*1.7+'Brand Rollout'!D22/2</f>
        <v>#REF!</v>
      </c>
      <c r="C57" s="214">
        <v>0.55</v>
      </c>
      <c r="D57" s="205"/>
      <c r="E57" s="205"/>
      <c r="F57" s="205"/>
      <c r="G57" s="205"/>
      <c r="H57" s="205"/>
      <c r="I57" s="205"/>
      <c r="J57" s="211"/>
      <c r="K57" s="211"/>
      <c r="L57" s="211"/>
      <c r="M57" s="211"/>
      <c r="N57" s="211"/>
      <c r="O57" s="211"/>
      <c r="P57" s="211"/>
      <c r="Q57" s="211"/>
      <c r="R57" s="211"/>
      <c r="S57" s="205"/>
      <c r="T57" s="205"/>
      <c r="U57" s="53" t="str">
        <f t="shared" ref="U57:W57" si="41">$B57*U24*$C57</f>
        <v>#REF!</v>
      </c>
      <c r="V57" s="53" t="str">
        <f t="shared" si="41"/>
        <v>#REF!</v>
      </c>
      <c r="W57" s="53" t="str">
        <f t="shared" si="41"/>
        <v>#REF!</v>
      </c>
      <c r="X57" s="211"/>
      <c r="Y57" s="211"/>
      <c r="Z57" s="211"/>
      <c r="AA57" s="211"/>
      <c r="AB57" s="211"/>
      <c r="AC57" s="211"/>
      <c r="AD57" s="211"/>
      <c r="AE57" s="217"/>
      <c r="AF57" s="53" t="e">
        <v>#REF!</v>
      </c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07"/>
      <c r="AZ57" s="211"/>
      <c r="BA57" s="211"/>
      <c r="BB57" s="211"/>
      <c r="BC57" s="53" t="str">
        <f t="shared" ref="BC57:BI57" si="42">$AF57*BC24</f>
        <v>#REF!</v>
      </c>
      <c r="BD57" s="53" t="str">
        <f t="shared" si="42"/>
        <v>#REF!</v>
      </c>
      <c r="BE57" s="53" t="str">
        <f t="shared" si="42"/>
        <v>#REF!</v>
      </c>
      <c r="BF57" s="53" t="str">
        <f t="shared" si="42"/>
        <v>#REF!</v>
      </c>
      <c r="BG57" s="53" t="str">
        <f t="shared" si="42"/>
        <v>#REF!</v>
      </c>
      <c r="BH57" s="53" t="str">
        <f t="shared" si="42"/>
        <v>#REF!</v>
      </c>
      <c r="BI57" s="53" t="str">
        <f t="shared" si="42"/>
        <v>#REF!</v>
      </c>
      <c r="BJ57" s="211"/>
      <c r="BK57" s="211"/>
      <c r="BL57" s="211"/>
    </row>
    <row r="58" ht="15.75" customHeight="1">
      <c r="A58" s="209" t="s">
        <v>74</v>
      </c>
      <c r="B58" s="213" t="str">
        <f t="shared" si="43"/>
        <v>#REF!</v>
      </c>
      <c r="C58" s="214">
        <v>0.55</v>
      </c>
      <c r="D58" s="205"/>
      <c r="E58" s="205"/>
      <c r="F58" s="205"/>
      <c r="G58" s="205"/>
      <c r="H58" s="205"/>
      <c r="I58" s="205"/>
      <c r="J58" s="211"/>
      <c r="K58" s="211"/>
      <c r="L58" s="211"/>
      <c r="M58" s="211"/>
      <c r="N58" s="211"/>
      <c r="O58" s="211"/>
      <c r="P58" s="211"/>
      <c r="Q58" s="211"/>
      <c r="R58" s="211"/>
      <c r="S58" s="205"/>
      <c r="T58" s="205"/>
      <c r="U58" s="205"/>
      <c r="V58" s="53" t="str">
        <f t="shared" ref="V58:X58" si="44">$B58*V25*$C58</f>
        <v>#REF!</v>
      </c>
      <c r="W58" s="53" t="str">
        <f t="shared" si="44"/>
        <v>#REF!</v>
      </c>
      <c r="X58" s="53" t="str">
        <f t="shared" si="44"/>
        <v>#REF!</v>
      </c>
      <c r="Y58" s="211"/>
      <c r="Z58" s="211"/>
      <c r="AA58" s="211"/>
      <c r="AB58" s="211"/>
      <c r="AC58" s="211"/>
      <c r="AD58" s="211"/>
      <c r="AE58" s="217"/>
      <c r="AF58" s="53" t="e">
        <v>#REF!</v>
      </c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07"/>
      <c r="AZ58" s="211"/>
      <c r="BA58" s="211"/>
      <c r="BB58" s="211"/>
      <c r="BC58" s="211"/>
      <c r="BD58" s="53" t="str">
        <f t="shared" ref="BD58:BJ58" si="45">$AF58*BD25</f>
        <v>#REF!</v>
      </c>
      <c r="BE58" s="53" t="str">
        <f t="shared" si="45"/>
        <v>#REF!</v>
      </c>
      <c r="BF58" s="53" t="str">
        <f t="shared" si="45"/>
        <v>#REF!</v>
      </c>
      <c r="BG58" s="53" t="str">
        <f t="shared" si="45"/>
        <v>#REF!</v>
      </c>
      <c r="BH58" s="53" t="str">
        <f t="shared" si="45"/>
        <v>#REF!</v>
      </c>
      <c r="BI58" s="53" t="str">
        <f t="shared" si="45"/>
        <v>#REF!</v>
      </c>
      <c r="BJ58" s="53" t="str">
        <f t="shared" si="45"/>
        <v>#REF!</v>
      </c>
      <c r="BK58" s="211"/>
      <c r="BL58" s="211"/>
    </row>
    <row r="59" ht="15.75" customHeight="1">
      <c r="A59" s="209" t="s">
        <v>75</v>
      </c>
      <c r="B59" s="213" t="str">
        <f t="shared" si="43"/>
        <v>#REF!</v>
      </c>
      <c r="C59" s="214">
        <v>0.55</v>
      </c>
      <c r="D59" s="205"/>
      <c r="E59" s="205"/>
      <c r="F59" s="205"/>
      <c r="G59" s="205"/>
      <c r="H59" s="205"/>
      <c r="I59" s="205"/>
      <c r="J59" s="211"/>
      <c r="K59" s="211"/>
      <c r="L59" s="211"/>
      <c r="M59" s="211"/>
      <c r="N59" s="211"/>
      <c r="O59" s="211"/>
      <c r="P59" s="211"/>
      <c r="Q59" s="211"/>
      <c r="R59" s="211"/>
      <c r="S59" s="205"/>
      <c r="T59" s="205"/>
      <c r="U59" s="205"/>
      <c r="V59" s="211"/>
      <c r="W59" s="53" t="str">
        <f t="shared" ref="W59:Y59" si="46">$B59*W26*$C59</f>
        <v>#REF!</v>
      </c>
      <c r="X59" s="53" t="str">
        <f t="shared" si="46"/>
        <v>#REF!</v>
      </c>
      <c r="Y59" s="53" t="str">
        <f t="shared" si="46"/>
        <v>#REF!</v>
      </c>
      <c r="Z59" s="211"/>
      <c r="AA59" s="211"/>
      <c r="AB59" s="211"/>
      <c r="AC59" s="211"/>
      <c r="AD59" s="211"/>
      <c r="AE59" s="217"/>
      <c r="AF59" s="53" t="e">
        <v>#REF!</v>
      </c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07"/>
      <c r="AZ59" s="211"/>
      <c r="BA59" s="211"/>
      <c r="BB59" s="211"/>
      <c r="BC59" s="211"/>
      <c r="BD59" s="211"/>
      <c r="BE59" s="53" t="str">
        <f t="shared" ref="BE59:BK59" si="47">$AF59*BE26</f>
        <v>#REF!</v>
      </c>
      <c r="BF59" s="53" t="str">
        <f t="shared" si="47"/>
        <v>#REF!</v>
      </c>
      <c r="BG59" s="53" t="str">
        <f t="shared" si="47"/>
        <v>#REF!</v>
      </c>
      <c r="BH59" s="53" t="str">
        <f t="shared" si="47"/>
        <v>#REF!</v>
      </c>
      <c r="BI59" s="53" t="str">
        <f t="shared" si="47"/>
        <v>#REF!</v>
      </c>
      <c r="BJ59" s="53" t="str">
        <f t="shared" si="47"/>
        <v>#REF!</v>
      </c>
      <c r="BK59" s="53" t="str">
        <f t="shared" si="47"/>
        <v>#REF!</v>
      </c>
      <c r="BL59" s="211"/>
    </row>
    <row r="60" ht="15.75" customHeight="1">
      <c r="A60" s="209" t="s">
        <v>76</v>
      </c>
      <c r="B60" s="213" t="str">
        <f t="shared" si="43"/>
        <v>#REF!</v>
      </c>
      <c r="C60" s="214">
        <v>0.55</v>
      </c>
      <c r="D60" s="205"/>
      <c r="E60" s="205"/>
      <c r="F60" s="205"/>
      <c r="G60" s="205"/>
      <c r="H60" s="205"/>
      <c r="I60" s="205"/>
      <c r="J60" s="211"/>
      <c r="K60" s="211"/>
      <c r="L60" s="211"/>
      <c r="M60" s="211"/>
      <c r="N60" s="211"/>
      <c r="O60" s="211"/>
      <c r="P60" s="211"/>
      <c r="Q60" s="211"/>
      <c r="R60" s="211"/>
      <c r="S60" s="205"/>
      <c r="T60" s="205"/>
      <c r="U60" s="205"/>
      <c r="V60" s="211"/>
      <c r="W60" s="211"/>
      <c r="X60" s="53" t="str">
        <f t="shared" ref="X60:Z60" si="48">$B60*X27*$C60</f>
        <v>#REF!</v>
      </c>
      <c r="Y60" s="53" t="str">
        <f t="shared" si="48"/>
        <v>#REF!</v>
      </c>
      <c r="Z60" s="53" t="str">
        <f t="shared" si="48"/>
        <v>#REF!</v>
      </c>
      <c r="AA60" s="211"/>
      <c r="AB60" s="211"/>
      <c r="AC60" s="211"/>
      <c r="AD60" s="211"/>
      <c r="AE60" s="217"/>
      <c r="AF60" s="53" t="e">
        <v>#REF!</v>
      </c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07"/>
      <c r="AZ60" s="211"/>
      <c r="BA60" s="211"/>
      <c r="BB60" s="211"/>
      <c r="BC60" s="211"/>
      <c r="BD60" s="211"/>
      <c r="BE60" s="211"/>
      <c r="BF60" s="53" t="str">
        <f t="shared" ref="BF60:BL60" si="49">$AF60*BF27</f>
        <v>#REF!</v>
      </c>
      <c r="BG60" s="53" t="str">
        <f t="shared" si="49"/>
        <v>#REF!</v>
      </c>
      <c r="BH60" s="53" t="str">
        <f t="shared" si="49"/>
        <v>#REF!</v>
      </c>
      <c r="BI60" s="53" t="str">
        <f t="shared" si="49"/>
        <v>#REF!</v>
      </c>
      <c r="BJ60" s="53" t="str">
        <f t="shared" si="49"/>
        <v>#REF!</v>
      </c>
      <c r="BK60" s="53" t="str">
        <f t="shared" si="49"/>
        <v>#REF!</v>
      </c>
      <c r="BL60" s="53" t="str">
        <f t="shared" si="49"/>
        <v>#REF!</v>
      </c>
    </row>
    <row r="61" ht="15.75" customHeight="1">
      <c r="A61" s="209" t="s">
        <v>77</v>
      </c>
      <c r="B61" s="213" t="str">
        <f t="shared" ref="B61:B66" si="52">average($B$48:$B$51)*2.2+'Brand Rollout'!D26/2</f>
        <v>#REF!</v>
      </c>
      <c r="C61" s="214">
        <v>0.55</v>
      </c>
      <c r="D61" s="205"/>
      <c r="E61" s="205"/>
      <c r="F61" s="205"/>
      <c r="G61" s="205"/>
      <c r="H61" s="205"/>
      <c r="I61" s="205"/>
      <c r="J61" s="211"/>
      <c r="K61" s="211"/>
      <c r="L61" s="211"/>
      <c r="M61" s="211"/>
      <c r="N61" s="211"/>
      <c r="O61" s="211"/>
      <c r="P61" s="211"/>
      <c r="Q61" s="211"/>
      <c r="R61" s="211"/>
      <c r="S61" s="205"/>
      <c r="T61" s="205"/>
      <c r="U61" s="205"/>
      <c r="V61" s="211"/>
      <c r="W61" s="211"/>
      <c r="X61" s="211"/>
      <c r="Y61" s="53" t="str">
        <f t="shared" ref="Y61:AA61" si="50">$B61*Y28*$C61</f>
        <v>#REF!</v>
      </c>
      <c r="Z61" s="53" t="str">
        <f t="shared" si="50"/>
        <v>#REF!</v>
      </c>
      <c r="AA61" s="53" t="str">
        <f t="shared" si="50"/>
        <v>#REF!</v>
      </c>
      <c r="AB61" s="211"/>
      <c r="AC61" s="211"/>
      <c r="AD61" s="211"/>
      <c r="AE61" s="217"/>
      <c r="AF61" s="53" t="e">
        <v>#REF!</v>
      </c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07"/>
      <c r="AZ61" s="211"/>
      <c r="BA61" s="211"/>
      <c r="BB61" s="211"/>
      <c r="BC61" s="211"/>
      <c r="BD61" s="211"/>
      <c r="BE61" s="211"/>
      <c r="BF61" s="211"/>
      <c r="BG61" s="53" t="str">
        <f t="shared" ref="BG61:BL61" si="51">$AF61*BG28</f>
        <v>#REF!</v>
      </c>
      <c r="BH61" s="53" t="str">
        <f t="shared" si="51"/>
        <v>#REF!</v>
      </c>
      <c r="BI61" s="53" t="str">
        <f t="shared" si="51"/>
        <v>#REF!</v>
      </c>
      <c r="BJ61" s="53" t="str">
        <f t="shared" si="51"/>
        <v>#REF!</v>
      </c>
      <c r="BK61" s="53" t="str">
        <f t="shared" si="51"/>
        <v>#REF!</v>
      </c>
      <c r="BL61" s="53" t="str">
        <f t="shared" si="51"/>
        <v>#REF!</v>
      </c>
    </row>
    <row r="62" ht="15.75" customHeight="1">
      <c r="A62" s="209" t="s">
        <v>78</v>
      </c>
      <c r="B62" s="213" t="str">
        <f t="shared" si="52"/>
        <v>#REF!</v>
      </c>
      <c r="C62" s="214">
        <v>0.55</v>
      </c>
      <c r="D62" s="205"/>
      <c r="E62" s="205"/>
      <c r="F62" s="205"/>
      <c r="G62" s="205"/>
      <c r="H62" s="205"/>
      <c r="I62" s="205"/>
      <c r="J62" s="211"/>
      <c r="K62" s="211"/>
      <c r="L62" s="211"/>
      <c r="M62" s="211"/>
      <c r="N62" s="211"/>
      <c r="O62" s="211"/>
      <c r="P62" s="211"/>
      <c r="Q62" s="211"/>
      <c r="R62" s="211"/>
      <c r="S62" s="205"/>
      <c r="T62" s="205"/>
      <c r="U62" s="205"/>
      <c r="V62" s="211"/>
      <c r="W62" s="211"/>
      <c r="X62" s="211"/>
      <c r="Y62" s="211"/>
      <c r="Z62" s="53" t="str">
        <f t="shared" ref="Z62:AB62" si="53">$B62*Z29*$C62</f>
        <v>#REF!</v>
      </c>
      <c r="AA62" s="53" t="str">
        <f t="shared" si="53"/>
        <v>#REF!</v>
      </c>
      <c r="AB62" s="53" t="str">
        <f t="shared" si="53"/>
        <v>#REF!</v>
      </c>
      <c r="AC62" s="211"/>
      <c r="AD62" s="211"/>
      <c r="AE62" s="217"/>
      <c r="AF62" s="53" t="e">
        <v>#REF!</v>
      </c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53" t="str">
        <f t="shared" ref="BH62:BL62" si="54">$AF62*BH29</f>
        <v>#REF!</v>
      </c>
      <c r="BI62" s="53" t="str">
        <f t="shared" si="54"/>
        <v>#REF!</v>
      </c>
      <c r="BJ62" s="53" t="str">
        <f t="shared" si="54"/>
        <v>#REF!</v>
      </c>
      <c r="BK62" s="53" t="str">
        <f t="shared" si="54"/>
        <v>#REF!</v>
      </c>
      <c r="BL62" s="53" t="str">
        <f t="shared" si="54"/>
        <v>#REF!</v>
      </c>
    </row>
    <row r="63" ht="15.75" customHeight="1">
      <c r="A63" s="209" t="s">
        <v>79</v>
      </c>
      <c r="B63" s="213" t="str">
        <f t="shared" si="52"/>
        <v>#REF!</v>
      </c>
      <c r="C63" s="214">
        <v>0.55</v>
      </c>
      <c r="D63" s="205"/>
      <c r="E63" s="205"/>
      <c r="F63" s="205"/>
      <c r="G63" s="205"/>
      <c r="H63" s="205"/>
      <c r="I63" s="205"/>
      <c r="J63" s="211"/>
      <c r="K63" s="211"/>
      <c r="L63" s="211"/>
      <c r="M63" s="211"/>
      <c r="N63" s="211"/>
      <c r="O63" s="211"/>
      <c r="P63" s="211"/>
      <c r="Q63" s="211"/>
      <c r="R63" s="211"/>
      <c r="S63" s="205"/>
      <c r="T63" s="205"/>
      <c r="U63" s="205"/>
      <c r="V63" s="211"/>
      <c r="W63" s="211"/>
      <c r="X63" s="211"/>
      <c r="Y63" s="211"/>
      <c r="Z63" s="211"/>
      <c r="AA63" s="53" t="str">
        <f t="shared" ref="AA63:AC63" si="55">$B63*AA30*$C63</f>
        <v>#REF!</v>
      </c>
      <c r="AB63" s="53" t="str">
        <f t="shared" si="55"/>
        <v>#REF!</v>
      </c>
      <c r="AC63" s="53" t="str">
        <f t="shared" si="55"/>
        <v>#REF!</v>
      </c>
      <c r="AD63" s="211"/>
      <c r="AE63" s="217"/>
      <c r="AF63" s="53" t="e">
        <v>#REF!</v>
      </c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53" t="str">
        <f t="shared" ref="BI63:BL63" si="56">$AF63*BI30</f>
        <v>#REF!</v>
      </c>
      <c r="BJ63" s="53" t="str">
        <f t="shared" si="56"/>
        <v>#REF!</v>
      </c>
      <c r="BK63" s="53" t="str">
        <f t="shared" si="56"/>
        <v>#REF!</v>
      </c>
      <c r="BL63" s="53" t="str">
        <f t="shared" si="56"/>
        <v>#REF!</v>
      </c>
    </row>
    <row r="64" ht="15.75" customHeight="1">
      <c r="A64" s="209" t="s">
        <v>80</v>
      </c>
      <c r="B64" s="213" t="str">
        <f t="shared" si="52"/>
        <v>#REF!</v>
      </c>
      <c r="C64" s="214">
        <v>0.55</v>
      </c>
      <c r="D64" s="205"/>
      <c r="E64" s="205"/>
      <c r="F64" s="205"/>
      <c r="G64" s="205"/>
      <c r="H64" s="205"/>
      <c r="I64" s="205"/>
      <c r="J64" s="211"/>
      <c r="K64" s="211"/>
      <c r="L64" s="211"/>
      <c r="M64" s="211"/>
      <c r="N64" s="211"/>
      <c r="O64" s="211"/>
      <c r="P64" s="211"/>
      <c r="Q64" s="211"/>
      <c r="R64" s="211"/>
      <c r="S64" s="205"/>
      <c r="T64" s="205"/>
      <c r="U64" s="205"/>
      <c r="V64" s="211"/>
      <c r="W64" s="211"/>
      <c r="X64" s="211"/>
      <c r="Y64" s="211"/>
      <c r="Z64" s="211"/>
      <c r="AA64" s="211"/>
      <c r="AB64" s="53" t="str">
        <f t="shared" ref="AB64:AD64" si="57">$B64*AB31*$C64</f>
        <v>#REF!</v>
      </c>
      <c r="AC64" s="53" t="str">
        <f t="shared" si="57"/>
        <v>#REF!</v>
      </c>
      <c r="AD64" s="53" t="str">
        <f t="shared" si="57"/>
        <v>#REF!</v>
      </c>
      <c r="AE64" s="217"/>
      <c r="AF64" s="53" t="e">
        <v>#REF!</v>
      </c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53" t="str">
        <f t="shared" ref="BJ64:BL64" si="58">$AF64*BJ31</f>
        <v>#REF!</v>
      </c>
      <c r="BK64" s="53" t="str">
        <f t="shared" si="58"/>
        <v>#REF!</v>
      </c>
      <c r="BL64" s="53" t="str">
        <f t="shared" si="58"/>
        <v>#REF!</v>
      </c>
    </row>
    <row r="65" ht="15.75" customHeight="1">
      <c r="A65" s="209" t="s">
        <v>81</v>
      </c>
      <c r="B65" s="213" t="str">
        <f t="shared" si="52"/>
        <v>#REF!</v>
      </c>
      <c r="C65" s="214">
        <v>0.55</v>
      </c>
      <c r="D65" s="205"/>
      <c r="E65" s="205"/>
      <c r="F65" s="205"/>
      <c r="G65" s="205"/>
      <c r="H65" s="205"/>
      <c r="I65" s="205"/>
      <c r="J65" s="211"/>
      <c r="K65" s="211"/>
      <c r="L65" s="211"/>
      <c r="M65" s="211"/>
      <c r="N65" s="211"/>
      <c r="O65" s="211"/>
      <c r="P65" s="211"/>
      <c r="Q65" s="211"/>
      <c r="R65" s="211"/>
      <c r="S65" s="205"/>
      <c r="T65" s="205"/>
      <c r="U65" s="205"/>
      <c r="V65" s="211"/>
      <c r="W65" s="211"/>
      <c r="X65" s="211"/>
      <c r="Y65" s="211"/>
      <c r="Z65" s="211"/>
      <c r="AA65" s="211"/>
      <c r="AB65" s="211"/>
      <c r="AC65" s="53" t="str">
        <f t="shared" ref="AC65:AD65" si="59">$B65*AC32*$C65</f>
        <v>#REF!</v>
      </c>
      <c r="AD65" s="53" t="str">
        <f t="shared" si="59"/>
        <v>#REF!</v>
      </c>
      <c r="AE65" s="217"/>
      <c r="AF65" s="53" t="e">
        <v>#REF!</v>
      </c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53" t="str">
        <f t="shared" ref="BK65:BL65" si="60">$AF65*BK32</f>
        <v>#REF!</v>
      </c>
      <c r="BL65" s="53" t="str">
        <f t="shared" si="60"/>
        <v>#REF!</v>
      </c>
    </row>
    <row r="66" ht="15.75" customHeight="1">
      <c r="A66" s="209" t="s">
        <v>82</v>
      </c>
      <c r="B66" s="213" t="str">
        <f t="shared" si="52"/>
        <v>#REF!</v>
      </c>
      <c r="C66" s="214">
        <v>0.55</v>
      </c>
      <c r="D66" s="205"/>
      <c r="E66" s="205"/>
      <c r="F66" s="219"/>
      <c r="G66" s="219"/>
      <c r="H66" s="219"/>
      <c r="I66" s="219"/>
      <c r="J66" s="220"/>
      <c r="K66" s="220"/>
      <c r="L66" s="220"/>
      <c r="M66" s="220"/>
      <c r="N66" s="220"/>
      <c r="O66" s="221"/>
      <c r="P66" s="221"/>
      <c r="Q66" s="221"/>
      <c r="R66" s="221"/>
      <c r="S66" s="205"/>
      <c r="T66" s="205"/>
      <c r="U66" s="205"/>
      <c r="V66" s="211"/>
      <c r="W66" s="211"/>
      <c r="X66" s="211"/>
      <c r="Y66" s="211"/>
      <c r="Z66" s="211"/>
      <c r="AA66" s="211"/>
      <c r="AB66" s="211"/>
      <c r="AC66" s="211"/>
      <c r="AD66" s="53" t="str">
        <f>$B66*AD33*$C66</f>
        <v>#REF!</v>
      </c>
      <c r="AE66" s="222"/>
      <c r="AF66" s="53" t="e">
        <v>#REF!</v>
      </c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3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53" t="str">
        <f>$AF66*BL33</f>
        <v>#REF!</v>
      </c>
    </row>
    <row r="67" ht="15.75" customHeight="1">
      <c r="A67" s="224" t="s">
        <v>171</v>
      </c>
      <c r="B67" s="225"/>
      <c r="C67" s="225"/>
      <c r="D67" s="118">
        <f t="shared" ref="D67:AD67" si="61">sum(D39:D66)</f>
        <v>9.170823529</v>
      </c>
      <c r="E67" s="118">
        <f t="shared" si="61"/>
        <v>8.198823529</v>
      </c>
      <c r="F67" s="118">
        <f t="shared" si="61"/>
        <v>8.281623529</v>
      </c>
      <c r="G67" s="118">
        <f t="shared" si="61"/>
        <v>11.32609412</v>
      </c>
      <c r="H67" s="118">
        <f t="shared" si="61"/>
        <v>8.944094118</v>
      </c>
      <c r="I67" s="118">
        <f t="shared" si="61"/>
        <v>9.793941176</v>
      </c>
      <c r="J67" s="118">
        <f t="shared" si="61"/>
        <v>8.767694118</v>
      </c>
      <c r="K67" s="118">
        <f t="shared" si="61"/>
        <v>10.57711765</v>
      </c>
      <c r="L67" s="118">
        <f t="shared" si="61"/>
        <v>10.13957647</v>
      </c>
      <c r="M67" s="118">
        <f t="shared" si="61"/>
        <v>9.608470588</v>
      </c>
      <c r="N67" s="118">
        <f t="shared" si="61"/>
        <v>9.0648</v>
      </c>
      <c r="O67" s="118">
        <f t="shared" si="61"/>
        <v>9.0054</v>
      </c>
      <c r="P67" s="118">
        <f t="shared" si="61"/>
        <v>9</v>
      </c>
      <c r="Q67" s="118" t="str">
        <f t="shared" si="61"/>
        <v>#REF!</v>
      </c>
      <c r="R67" s="118" t="str">
        <f t="shared" si="61"/>
        <v>#REF!</v>
      </c>
      <c r="S67" s="118" t="str">
        <f t="shared" si="61"/>
        <v>#REF!</v>
      </c>
      <c r="T67" s="118" t="str">
        <f t="shared" si="61"/>
        <v>#REF!</v>
      </c>
      <c r="U67" s="118" t="str">
        <f t="shared" si="61"/>
        <v>#REF!</v>
      </c>
      <c r="V67" s="118" t="str">
        <f t="shared" si="61"/>
        <v>#REF!</v>
      </c>
      <c r="W67" s="118" t="str">
        <f t="shared" si="61"/>
        <v>#REF!</v>
      </c>
      <c r="X67" s="118" t="str">
        <f t="shared" si="61"/>
        <v>#REF!</v>
      </c>
      <c r="Y67" s="118" t="str">
        <f t="shared" si="61"/>
        <v>#REF!</v>
      </c>
      <c r="Z67" s="118" t="str">
        <f t="shared" si="61"/>
        <v>#REF!</v>
      </c>
      <c r="AA67" s="118" t="str">
        <f t="shared" si="61"/>
        <v>#REF!</v>
      </c>
      <c r="AB67" s="118" t="str">
        <f t="shared" si="61"/>
        <v>#REF!</v>
      </c>
      <c r="AC67" s="118" t="str">
        <f t="shared" si="61"/>
        <v>#REF!</v>
      </c>
      <c r="AD67" s="118" t="str">
        <f t="shared" si="61"/>
        <v>#REF!</v>
      </c>
      <c r="AE67" s="226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7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9"/>
    </row>
    <row r="68" ht="15.75" customHeight="1">
      <c r="A68" s="230" t="s">
        <v>172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2"/>
      <c r="AF68" s="231"/>
      <c r="AG68" s="60">
        <f t="shared" ref="AG68:BL68" si="62">sum(AG35:AG66)</f>
        <v>0</v>
      </c>
      <c r="AH68" s="60">
        <f t="shared" si="62"/>
        <v>0</v>
      </c>
      <c r="AI68" s="60">
        <f t="shared" si="62"/>
        <v>0</v>
      </c>
      <c r="AJ68" s="60">
        <f t="shared" si="62"/>
        <v>0</v>
      </c>
      <c r="AK68" s="60">
        <f t="shared" si="62"/>
        <v>0</v>
      </c>
      <c r="AL68" s="60">
        <f t="shared" si="62"/>
        <v>1.283915294</v>
      </c>
      <c r="AM68" s="60">
        <f t="shared" si="62"/>
        <v>4.174207059</v>
      </c>
      <c r="AN68" s="60">
        <f t="shared" si="62"/>
        <v>6.157744941</v>
      </c>
      <c r="AO68" s="60">
        <f t="shared" si="62"/>
        <v>7.743918353</v>
      </c>
      <c r="AP68" s="60">
        <f t="shared" si="62"/>
        <v>8.931971294</v>
      </c>
      <c r="AQ68" s="60">
        <f t="shared" si="62"/>
        <v>9.337220471</v>
      </c>
      <c r="AR68" s="60">
        <f t="shared" si="62"/>
        <v>9.485498471</v>
      </c>
      <c r="AS68" s="60">
        <f t="shared" si="62"/>
        <v>9.452302941</v>
      </c>
      <c r="AT68" s="60">
        <f t="shared" si="62"/>
        <v>9.815767059</v>
      </c>
      <c r="AU68" s="60">
        <f t="shared" si="62"/>
        <v>9.920541176</v>
      </c>
      <c r="AV68" s="60">
        <f t="shared" si="62"/>
        <v>9.745707176</v>
      </c>
      <c r="AW68" s="60">
        <f t="shared" si="62"/>
        <v>9.462178941</v>
      </c>
      <c r="AX68" s="60">
        <f t="shared" si="62"/>
        <v>9.247461529</v>
      </c>
      <c r="AY68" s="60" t="str">
        <f t="shared" si="62"/>
        <v>#REF!</v>
      </c>
      <c r="AZ68" s="60" t="str">
        <f t="shared" si="62"/>
        <v>#REF!</v>
      </c>
      <c r="BA68" s="60" t="str">
        <f t="shared" si="62"/>
        <v>#REF!</v>
      </c>
      <c r="BB68" s="60" t="str">
        <f t="shared" si="62"/>
        <v>#REF!</v>
      </c>
      <c r="BC68" s="60" t="str">
        <f t="shared" si="62"/>
        <v>#REF!</v>
      </c>
      <c r="BD68" s="60" t="str">
        <f t="shared" si="62"/>
        <v>#REF!</v>
      </c>
      <c r="BE68" s="60" t="str">
        <f t="shared" si="62"/>
        <v>#REF!</v>
      </c>
      <c r="BF68" s="60" t="str">
        <f t="shared" si="62"/>
        <v>#REF!</v>
      </c>
      <c r="BG68" s="60" t="str">
        <f t="shared" si="62"/>
        <v>#REF!</v>
      </c>
      <c r="BH68" s="60" t="str">
        <f t="shared" si="62"/>
        <v>#REF!</v>
      </c>
      <c r="BI68" s="60" t="str">
        <f t="shared" si="62"/>
        <v>#REF!</v>
      </c>
      <c r="BJ68" s="60" t="str">
        <f t="shared" si="62"/>
        <v>#REF!</v>
      </c>
      <c r="BK68" s="60" t="str">
        <f t="shared" si="62"/>
        <v>#REF!</v>
      </c>
      <c r="BL68" s="60" t="str">
        <f t="shared" si="62"/>
        <v>#REF!</v>
      </c>
    </row>
    <row r="69" ht="15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233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234">
        <v>12.0</v>
      </c>
      <c r="AX69" s="234">
        <v>10.0</v>
      </c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</row>
    <row r="70" ht="15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233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</row>
    <row r="71" ht="15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233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</row>
    <row r="72" ht="15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23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233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</row>
    <row r="73" ht="15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23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233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</row>
    <row r="74" ht="15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23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233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233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233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</row>
    <row r="77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233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</row>
    <row r="78" ht="15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233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</row>
    <row r="79" ht="15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233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</row>
    <row r="80" ht="15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233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</row>
    <row r="81" ht="15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233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</row>
    <row r="82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233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</row>
    <row r="83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233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</row>
    <row r="84" ht="15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233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</row>
    <row r="85" ht="15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233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</row>
    <row r="86" ht="15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233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</row>
    <row r="87" ht="15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233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</row>
    <row r="88" ht="15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233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</row>
    <row r="89" ht="15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233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</row>
    <row r="90" ht="15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233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</row>
    <row r="91" ht="15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233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</row>
    <row r="92" ht="15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233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</row>
    <row r="93" ht="15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233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</row>
    <row r="94" ht="15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233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</row>
    <row r="95" ht="15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233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</row>
    <row r="96" ht="15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233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</row>
    <row r="97" ht="15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233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</row>
    <row r="98" ht="15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233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</row>
    <row r="99" ht="15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233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</row>
    <row r="100" ht="15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233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</row>
    <row r="101" ht="15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233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</row>
    <row r="102" ht="15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233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</row>
    <row r="103" ht="15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233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</row>
    <row r="104" ht="15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233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</row>
    <row r="105" ht="15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233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</row>
    <row r="106" ht="15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233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</row>
    <row r="107" ht="15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233"/>
      <c r="AF107" s="185"/>
      <c r="AG107" s="185"/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</row>
    <row r="108" ht="15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233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</row>
    <row r="109" ht="15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233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</row>
    <row r="110" ht="15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233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</row>
    <row r="111" ht="15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233"/>
      <c r="AF111" s="185"/>
      <c r="AG111" s="185"/>
      <c r="AH111" s="185"/>
      <c r="AI111" s="185"/>
      <c r="AJ111" s="185"/>
      <c r="AK111" s="185"/>
      <c r="AL111" s="185"/>
      <c r="AM111" s="185"/>
      <c r="AN111" s="185"/>
      <c r="AO111" s="185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</row>
    <row r="112" ht="15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233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</row>
    <row r="113" ht="15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233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</row>
    <row r="114" ht="15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233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</row>
    <row r="115" ht="15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233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185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</row>
    <row r="116" ht="15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233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</row>
    <row r="117" ht="15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233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185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</row>
    <row r="118" ht="15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233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185"/>
      <c r="BI118" s="185"/>
      <c r="BJ118" s="185"/>
      <c r="BK118" s="185"/>
      <c r="BL118" s="185"/>
    </row>
    <row r="119" ht="15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233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5"/>
      <c r="BL119" s="185"/>
    </row>
    <row r="120" ht="15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233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  <c r="BK120" s="185"/>
      <c r="BL120" s="185"/>
    </row>
    <row r="121" ht="15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233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</row>
    <row r="122" ht="15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233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  <c r="BH122" s="185"/>
      <c r="BI122" s="185"/>
      <c r="BJ122" s="185"/>
      <c r="BK122" s="185"/>
      <c r="BL122" s="185"/>
    </row>
    <row r="123" ht="15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233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</row>
    <row r="124" ht="15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233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  <c r="BH124" s="185"/>
      <c r="BI124" s="185"/>
      <c r="BJ124" s="185"/>
      <c r="BK124" s="185"/>
      <c r="BL124" s="185"/>
    </row>
    <row r="125" ht="15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233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</row>
    <row r="126" ht="15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233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</row>
    <row r="127" ht="15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233"/>
      <c r="AF127" s="185"/>
      <c r="AG127" s="185"/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5"/>
    </row>
    <row r="128" ht="15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233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  <c r="BD128" s="185"/>
      <c r="BE128" s="185"/>
      <c r="BF128" s="185"/>
      <c r="BG128" s="185"/>
      <c r="BH128" s="185"/>
      <c r="BI128" s="185"/>
      <c r="BJ128" s="185"/>
      <c r="BK128" s="185"/>
      <c r="BL128" s="185"/>
    </row>
    <row r="129" ht="15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233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5"/>
      <c r="BF129" s="185"/>
      <c r="BG129" s="185"/>
      <c r="BH129" s="185"/>
      <c r="BI129" s="185"/>
      <c r="BJ129" s="185"/>
      <c r="BK129" s="185"/>
      <c r="BL129" s="185"/>
    </row>
    <row r="130" ht="15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233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233"/>
      <c r="AF131" s="185"/>
      <c r="AG131" s="185"/>
      <c r="AH131" s="185"/>
      <c r="AI131" s="185"/>
      <c r="AJ131" s="185"/>
      <c r="AK131" s="185"/>
      <c r="AL131" s="185"/>
      <c r="AM131" s="185"/>
      <c r="AN131" s="185"/>
      <c r="AO131" s="185"/>
      <c r="AP131" s="185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  <c r="BA131" s="185"/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233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  <c r="AP132" s="185"/>
      <c r="AQ132" s="185"/>
      <c r="AR132" s="185"/>
      <c r="AS132" s="185"/>
      <c r="AT132" s="185"/>
      <c r="AU132" s="185"/>
      <c r="AV132" s="185"/>
      <c r="AW132" s="185"/>
      <c r="AX132" s="185"/>
      <c r="AY132" s="185"/>
      <c r="AZ132" s="185"/>
      <c r="BA132" s="185"/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233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233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233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233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5"/>
      <c r="AP136" s="185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233"/>
      <c r="AF137" s="185"/>
      <c r="AG137" s="185"/>
      <c r="AH137" s="185"/>
      <c r="AI137" s="185"/>
      <c r="AJ137" s="185"/>
      <c r="AK137" s="185"/>
      <c r="AL137" s="185"/>
      <c r="AM137" s="185"/>
      <c r="AN137" s="185"/>
      <c r="AO137" s="185"/>
      <c r="AP137" s="185"/>
      <c r="AQ137" s="185"/>
      <c r="AR137" s="185"/>
      <c r="AS137" s="185"/>
      <c r="AT137" s="185"/>
      <c r="AU137" s="185"/>
      <c r="AV137" s="185"/>
      <c r="AW137" s="185"/>
      <c r="AX137" s="185"/>
      <c r="AY137" s="185"/>
      <c r="AZ137" s="185"/>
      <c r="BA137" s="185"/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233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/>
      <c r="AT138" s="185"/>
      <c r="AU138" s="185"/>
      <c r="AV138" s="185"/>
      <c r="AW138" s="185"/>
      <c r="AX138" s="185"/>
      <c r="AY138" s="185"/>
      <c r="AZ138" s="185"/>
      <c r="BA138" s="185"/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233"/>
      <c r="AF139" s="185"/>
      <c r="AG139" s="185"/>
      <c r="AH139" s="185"/>
      <c r="AI139" s="185"/>
      <c r="AJ139" s="185"/>
      <c r="AK139" s="185"/>
      <c r="AL139" s="185"/>
      <c r="AM139" s="185"/>
      <c r="AN139" s="185"/>
      <c r="AO139" s="185"/>
      <c r="AP139" s="185"/>
      <c r="AQ139" s="185"/>
      <c r="AR139" s="185"/>
      <c r="AS139" s="185"/>
      <c r="AT139" s="185"/>
      <c r="AU139" s="185"/>
      <c r="AV139" s="185"/>
      <c r="AW139" s="185"/>
      <c r="AX139" s="185"/>
      <c r="AY139" s="185"/>
      <c r="AZ139" s="185"/>
      <c r="BA139" s="185"/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233"/>
      <c r="AF140" s="185"/>
      <c r="AG140" s="185"/>
      <c r="AH140" s="185"/>
      <c r="AI140" s="185"/>
      <c r="AJ140" s="185"/>
      <c r="AK140" s="185"/>
      <c r="AL140" s="185"/>
      <c r="AM140" s="185"/>
      <c r="AN140" s="185"/>
      <c r="AO140" s="185"/>
      <c r="AP140" s="185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233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233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233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  <c r="AP143" s="185"/>
      <c r="AQ143" s="185"/>
      <c r="AR143" s="185"/>
      <c r="AS143" s="185"/>
      <c r="AT143" s="185"/>
      <c r="AU143" s="185"/>
      <c r="AV143" s="185"/>
      <c r="AW143" s="185"/>
      <c r="AX143" s="185"/>
      <c r="AY143" s="185"/>
      <c r="AZ143" s="185"/>
      <c r="BA143" s="185"/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233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  <c r="AP144" s="185"/>
      <c r="AQ144" s="185"/>
      <c r="AR144" s="185"/>
      <c r="AS144" s="185"/>
      <c r="AT144" s="185"/>
      <c r="AU144" s="185"/>
      <c r="AV144" s="185"/>
      <c r="AW144" s="185"/>
      <c r="AX144" s="185"/>
      <c r="AY144" s="185"/>
      <c r="AZ144" s="185"/>
      <c r="BA144" s="185"/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233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/>
      <c r="AT145" s="185"/>
      <c r="AU145" s="185"/>
      <c r="AV145" s="185"/>
      <c r="AW145" s="185"/>
      <c r="AX145" s="185"/>
      <c r="AY145" s="185"/>
      <c r="AZ145" s="185"/>
      <c r="BA145" s="185"/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233"/>
      <c r="AF146" s="185"/>
      <c r="AG146" s="185"/>
      <c r="AH146" s="185"/>
      <c r="AI146" s="185"/>
      <c r="AJ146" s="185"/>
      <c r="AK146" s="185"/>
      <c r="AL146" s="185"/>
      <c r="AM146" s="185"/>
      <c r="AN146" s="185"/>
      <c r="AO146" s="185"/>
      <c r="AP146" s="185"/>
      <c r="AQ146" s="185"/>
      <c r="AR146" s="185"/>
      <c r="AS146" s="185"/>
      <c r="AT146" s="185"/>
      <c r="AU146" s="185"/>
      <c r="AV146" s="185"/>
      <c r="AW146" s="185"/>
      <c r="AX146" s="185"/>
      <c r="AY146" s="185"/>
      <c r="AZ146" s="185"/>
      <c r="BA146" s="185"/>
      <c r="BB146" s="185"/>
      <c r="BC146" s="185"/>
      <c r="BD146" s="185"/>
      <c r="BE146" s="185"/>
      <c r="BF146" s="185"/>
      <c r="BG146" s="185"/>
      <c r="BH146" s="185"/>
      <c r="BI146" s="185"/>
      <c r="BJ146" s="185"/>
      <c r="BK146" s="185"/>
      <c r="BL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233"/>
      <c r="AF147" s="185"/>
      <c r="AG147" s="185"/>
      <c r="AH147" s="185"/>
      <c r="AI147" s="185"/>
      <c r="AJ147" s="185"/>
      <c r="AK147" s="185"/>
      <c r="AL147" s="185"/>
      <c r="AM147" s="185"/>
      <c r="AN147" s="185"/>
      <c r="AO147" s="185"/>
      <c r="AP147" s="185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  <c r="BA147" s="185"/>
      <c r="BB147" s="185"/>
      <c r="BC147" s="185"/>
      <c r="BD147" s="185"/>
      <c r="BE147" s="185"/>
      <c r="BF147" s="185"/>
      <c r="BG147" s="185"/>
      <c r="BH147" s="185"/>
      <c r="BI147" s="185"/>
      <c r="BJ147" s="185"/>
      <c r="BK147" s="185"/>
      <c r="BL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233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  <c r="AP148" s="185"/>
      <c r="AQ148" s="185"/>
      <c r="AR148" s="185"/>
      <c r="AS148" s="185"/>
      <c r="AT148" s="185"/>
      <c r="AU148" s="185"/>
      <c r="AV148" s="185"/>
      <c r="AW148" s="185"/>
      <c r="AX148" s="185"/>
      <c r="AY148" s="185"/>
      <c r="AZ148" s="185"/>
      <c r="BA148" s="185"/>
      <c r="BB148" s="185"/>
      <c r="BC148" s="185"/>
      <c r="BD148" s="185"/>
      <c r="BE148" s="185"/>
      <c r="BF148" s="185"/>
      <c r="BG148" s="185"/>
      <c r="BH148" s="185"/>
      <c r="BI148" s="185"/>
      <c r="BJ148" s="185"/>
      <c r="BK148" s="185"/>
      <c r="BL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233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185"/>
      <c r="BD149" s="185"/>
      <c r="BE149" s="185"/>
      <c r="BF149" s="185"/>
      <c r="BG149" s="185"/>
      <c r="BH149" s="185"/>
      <c r="BI149" s="185"/>
      <c r="BJ149" s="185"/>
      <c r="BK149" s="185"/>
      <c r="BL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233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185"/>
      <c r="BE150" s="185"/>
      <c r="BF150" s="185"/>
      <c r="BG150" s="185"/>
      <c r="BH150" s="185"/>
      <c r="BI150" s="185"/>
      <c r="BJ150" s="185"/>
      <c r="BK150" s="185"/>
      <c r="BL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233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5"/>
      <c r="BF151" s="185"/>
      <c r="BG151" s="185"/>
      <c r="BH151" s="185"/>
      <c r="BI151" s="185"/>
      <c r="BJ151" s="185"/>
      <c r="BK151" s="185"/>
      <c r="BL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233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185"/>
      <c r="BE152" s="185"/>
      <c r="BF152" s="185"/>
      <c r="BG152" s="185"/>
      <c r="BH152" s="185"/>
      <c r="BI152" s="185"/>
      <c r="BJ152" s="185"/>
      <c r="BK152" s="185"/>
      <c r="BL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233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185"/>
      <c r="BE153" s="185"/>
      <c r="BF153" s="185"/>
      <c r="BG153" s="185"/>
      <c r="BH153" s="185"/>
      <c r="BI153" s="185"/>
      <c r="BJ153" s="185"/>
      <c r="BK153" s="185"/>
      <c r="BL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233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185"/>
      <c r="BE154" s="185"/>
      <c r="BF154" s="185"/>
      <c r="BG154" s="185"/>
      <c r="BH154" s="185"/>
      <c r="BI154" s="185"/>
      <c r="BJ154" s="185"/>
      <c r="BK154" s="185"/>
      <c r="BL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233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185"/>
      <c r="BE155" s="185"/>
      <c r="BF155" s="185"/>
      <c r="BG155" s="185"/>
      <c r="BH155" s="185"/>
      <c r="BI155" s="185"/>
      <c r="BJ155" s="185"/>
      <c r="BK155" s="185"/>
      <c r="BL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233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233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185"/>
      <c r="BE157" s="185"/>
      <c r="BF157" s="185"/>
      <c r="BG157" s="185"/>
      <c r="BH157" s="185"/>
      <c r="BI157" s="185"/>
      <c r="BJ157" s="185"/>
      <c r="BK157" s="185"/>
      <c r="BL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233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185"/>
      <c r="BE158" s="185"/>
      <c r="BF158" s="185"/>
      <c r="BG158" s="185"/>
      <c r="BH158" s="185"/>
      <c r="BI158" s="185"/>
      <c r="BJ158" s="185"/>
      <c r="BK158" s="185"/>
      <c r="BL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233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185"/>
      <c r="BE159" s="185"/>
      <c r="BF159" s="185"/>
      <c r="BG159" s="185"/>
      <c r="BH159" s="185"/>
      <c r="BI159" s="185"/>
      <c r="BJ159" s="185"/>
      <c r="BK159" s="185"/>
      <c r="BL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233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185"/>
      <c r="BE160" s="185"/>
      <c r="BF160" s="185"/>
      <c r="BG160" s="185"/>
      <c r="BH160" s="185"/>
      <c r="BI160" s="185"/>
      <c r="BJ160" s="185"/>
      <c r="BK160" s="185"/>
      <c r="BL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233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5"/>
      <c r="BF161" s="185"/>
      <c r="BG161" s="185"/>
      <c r="BH161" s="185"/>
      <c r="BI161" s="185"/>
      <c r="BJ161" s="185"/>
      <c r="BK161" s="185"/>
      <c r="BL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233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233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233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233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233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233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233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233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233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233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233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233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233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233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233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233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233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185"/>
      <c r="BE178" s="185"/>
      <c r="BF178" s="185"/>
      <c r="BG178" s="185"/>
      <c r="BH178" s="185"/>
      <c r="BI178" s="185"/>
      <c r="BJ178" s="185"/>
      <c r="BK178" s="185"/>
      <c r="BL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233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185"/>
      <c r="BI179" s="185"/>
      <c r="BJ179" s="185"/>
      <c r="BK179" s="185"/>
      <c r="BL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233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185"/>
      <c r="BI180" s="185"/>
      <c r="BJ180" s="185"/>
      <c r="BK180" s="185"/>
      <c r="BL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233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5"/>
      <c r="BF181" s="185"/>
      <c r="BG181" s="185"/>
      <c r="BH181" s="185"/>
      <c r="BI181" s="185"/>
      <c r="BJ181" s="185"/>
      <c r="BK181" s="185"/>
      <c r="BL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233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185"/>
      <c r="BI182" s="185"/>
      <c r="BJ182" s="185"/>
      <c r="BK182" s="185"/>
      <c r="BL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233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185"/>
      <c r="BI183" s="185"/>
      <c r="BJ183" s="185"/>
      <c r="BK183" s="185"/>
      <c r="BL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233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185"/>
      <c r="BI184" s="185"/>
      <c r="BJ184" s="185"/>
      <c r="BK184" s="185"/>
      <c r="BL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233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233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233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185"/>
      <c r="BE187" s="185"/>
      <c r="BF187" s="185"/>
      <c r="BG187" s="185"/>
      <c r="BH187" s="185"/>
      <c r="BI187" s="185"/>
      <c r="BJ187" s="185"/>
      <c r="BK187" s="185"/>
      <c r="BL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233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185"/>
      <c r="BE188" s="185"/>
      <c r="BF188" s="185"/>
      <c r="BG188" s="185"/>
      <c r="BH188" s="185"/>
      <c r="BI188" s="185"/>
      <c r="BJ188" s="185"/>
      <c r="BK188" s="185"/>
      <c r="BL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233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185"/>
      <c r="BE189" s="185"/>
      <c r="BF189" s="185"/>
      <c r="BG189" s="185"/>
      <c r="BH189" s="185"/>
      <c r="BI189" s="185"/>
      <c r="BJ189" s="185"/>
      <c r="BK189" s="185"/>
      <c r="BL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233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185"/>
      <c r="BE190" s="185"/>
      <c r="BF190" s="185"/>
      <c r="BG190" s="185"/>
      <c r="BH190" s="185"/>
      <c r="BI190" s="185"/>
      <c r="BJ190" s="185"/>
      <c r="BK190" s="185"/>
      <c r="BL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233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5"/>
      <c r="BF191" s="185"/>
      <c r="BG191" s="185"/>
      <c r="BH191" s="185"/>
      <c r="BI191" s="185"/>
      <c r="BJ191" s="185"/>
      <c r="BK191" s="185"/>
      <c r="BL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233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185"/>
      <c r="BE192" s="185"/>
      <c r="BF192" s="185"/>
      <c r="BG192" s="185"/>
      <c r="BH192" s="185"/>
      <c r="BI192" s="185"/>
      <c r="BJ192" s="185"/>
      <c r="BK192" s="185"/>
      <c r="BL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233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185"/>
      <c r="BE193" s="185"/>
      <c r="BF193" s="185"/>
      <c r="BG193" s="185"/>
      <c r="BH193" s="185"/>
      <c r="BI193" s="185"/>
      <c r="BJ193" s="185"/>
      <c r="BK193" s="185"/>
      <c r="BL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233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233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233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233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233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233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233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</row>
    <row r="201" ht="15.7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233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185"/>
      <c r="BE201" s="185"/>
      <c r="BF201" s="185"/>
      <c r="BG201" s="185"/>
      <c r="BH201" s="185"/>
      <c r="BI201" s="185"/>
      <c r="BJ201" s="185"/>
      <c r="BK201" s="185"/>
      <c r="BL201" s="185"/>
    </row>
    <row r="202" ht="15.7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233"/>
      <c r="AF202" s="185"/>
      <c r="AG202" s="185"/>
      <c r="AH202" s="185"/>
      <c r="AI202" s="185"/>
      <c r="AJ202" s="185"/>
      <c r="AK202" s="185"/>
      <c r="AL202" s="185"/>
      <c r="AM202" s="185"/>
      <c r="AN202" s="185"/>
      <c r="AO202" s="185"/>
      <c r="AP202" s="185"/>
      <c r="AQ202" s="185"/>
      <c r="AR202" s="185"/>
      <c r="AS202" s="185"/>
      <c r="AT202" s="185"/>
      <c r="AU202" s="185"/>
      <c r="AV202" s="185"/>
      <c r="AW202" s="185"/>
      <c r="AX202" s="185"/>
      <c r="AY202" s="185"/>
      <c r="AZ202" s="185"/>
      <c r="BA202" s="185"/>
      <c r="BB202" s="185"/>
      <c r="BC202" s="185"/>
      <c r="BD202" s="185"/>
      <c r="BE202" s="185"/>
      <c r="BF202" s="185"/>
      <c r="BG202" s="185"/>
      <c r="BH202" s="185"/>
      <c r="BI202" s="185"/>
      <c r="BJ202" s="185"/>
      <c r="BK202" s="185"/>
      <c r="BL202" s="185"/>
    </row>
    <row r="203" ht="15.7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233"/>
      <c r="AF203" s="185"/>
      <c r="AG203" s="185"/>
      <c r="AH203" s="185"/>
      <c r="AI203" s="185"/>
      <c r="AJ203" s="185"/>
      <c r="AK203" s="185"/>
      <c r="AL203" s="185"/>
      <c r="AM203" s="185"/>
      <c r="AN203" s="185"/>
      <c r="AO203" s="185"/>
      <c r="AP203" s="185"/>
      <c r="AQ203" s="185"/>
      <c r="AR203" s="185"/>
      <c r="AS203" s="185"/>
      <c r="AT203" s="185"/>
      <c r="AU203" s="185"/>
      <c r="AV203" s="185"/>
      <c r="AW203" s="185"/>
      <c r="AX203" s="185"/>
      <c r="AY203" s="185"/>
      <c r="AZ203" s="185"/>
      <c r="BA203" s="185"/>
      <c r="BB203" s="185"/>
      <c r="BC203" s="185"/>
      <c r="BD203" s="185"/>
      <c r="BE203" s="185"/>
      <c r="BF203" s="185"/>
      <c r="BG203" s="185"/>
      <c r="BH203" s="185"/>
      <c r="BI203" s="185"/>
      <c r="BJ203" s="185"/>
      <c r="BK203" s="185"/>
      <c r="BL203" s="185"/>
    </row>
    <row r="204" ht="15.7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233"/>
      <c r="AF204" s="185"/>
      <c r="AG204" s="185"/>
      <c r="AH204" s="185"/>
      <c r="AI204" s="185"/>
      <c r="AJ204" s="185"/>
      <c r="AK204" s="185"/>
      <c r="AL204" s="185"/>
      <c r="AM204" s="185"/>
      <c r="AN204" s="185"/>
      <c r="AO204" s="185"/>
      <c r="AP204" s="185"/>
      <c r="AQ204" s="185"/>
      <c r="AR204" s="185"/>
      <c r="AS204" s="185"/>
      <c r="AT204" s="185"/>
      <c r="AU204" s="185"/>
      <c r="AV204" s="185"/>
      <c r="AW204" s="185"/>
      <c r="AX204" s="185"/>
      <c r="AY204" s="185"/>
      <c r="AZ204" s="185"/>
      <c r="BA204" s="185"/>
      <c r="BB204" s="185"/>
      <c r="BC204" s="185"/>
      <c r="BD204" s="185"/>
      <c r="BE204" s="185"/>
      <c r="BF204" s="185"/>
      <c r="BG204" s="185"/>
      <c r="BH204" s="185"/>
      <c r="BI204" s="185"/>
      <c r="BJ204" s="185"/>
      <c r="BK204" s="185"/>
      <c r="BL204" s="185"/>
    </row>
    <row r="205" ht="15.7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233"/>
      <c r="AF205" s="185"/>
      <c r="AG205" s="185"/>
      <c r="AH205" s="185"/>
      <c r="AI205" s="185"/>
      <c r="AJ205" s="185"/>
      <c r="AK205" s="185"/>
      <c r="AL205" s="185"/>
      <c r="AM205" s="185"/>
      <c r="AN205" s="185"/>
      <c r="AO205" s="185"/>
      <c r="AP205" s="185"/>
      <c r="AQ205" s="185"/>
      <c r="AR205" s="185"/>
      <c r="AS205" s="185"/>
      <c r="AT205" s="185"/>
      <c r="AU205" s="185"/>
      <c r="AV205" s="185"/>
      <c r="AW205" s="185"/>
      <c r="AX205" s="185"/>
      <c r="AY205" s="185"/>
      <c r="AZ205" s="185"/>
      <c r="BA205" s="185"/>
      <c r="BB205" s="185"/>
      <c r="BC205" s="185"/>
      <c r="BD205" s="185"/>
      <c r="BE205" s="185"/>
      <c r="BF205" s="185"/>
      <c r="BG205" s="185"/>
      <c r="BH205" s="185"/>
      <c r="BI205" s="185"/>
      <c r="BJ205" s="185"/>
      <c r="BK205" s="185"/>
      <c r="BL205" s="185"/>
    </row>
    <row r="206" ht="15.7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233"/>
      <c r="AF206" s="185"/>
      <c r="AG206" s="185"/>
      <c r="AH206" s="185"/>
      <c r="AI206" s="185"/>
      <c r="AJ206" s="185"/>
      <c r="AK206" s="185"/>
      <c r="AL206" s="185"/>
      <c r="AM206" s="185"/>
      <c r="AN206" s="185"/>
      <c r="AO206" s="185"/>
      <c r="AP206" s="185"/>
      <c r="AQ206" s="185"/>
      <c r="AR206" s="185"/>
      <c r="AS206" s="185"/>
      <c r="AT206" s="185"/>
      <c r="AU206" s="185"/>
      <c r="AV206" s="185"/>
      <c r="AW206" s="185"/>
      <c r="AX206" s="185"/>
      <c r="AY206" s="185"/>
      <c r="AZ206" s="185"/>
      <c r="BA206" s="185"/>
      <c r="BB206" s="185"/>
      <c r="BC206" s="185"/>
      <c r="BD206" s="185"/>
      <c r="BE206" s="185"/>
      <c r="BF206" s="185"/>
      <c r="BG206" s="185"/>
      <c r="BH206" s="185"/>
      <c r="BI206" s="185"/>
      <c r="BJ206" s="185"/>
      <c r="BK206" s="185"/>
      <c r="BL206" s="185"/>
    </row>
    <row r="207" ht="15.7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233"/>
      <c r="AF207" s="185"/>
      <c r="AG207" s="185"/>
      <c r="AH207" s="185"/>
      <c r="AI207" s="185"/>
      <c r="AJ207" s="185"/>
      <c r="AK207" s="185"/>
      <c r="AL207" s="185"/>
      <c r="AM207" s="185"/>
      <c r="AN207" s="185"/>
      <c r="AO207" s="185"/>
      <c r="AP207" s="185"/>
      <c r="AQ207" s="185"/>
      <c r="AR207" s="185"/>
      <c r="AS207" s="185"/>
      <c r="AT207" s="185"/>
      <c r="AU207" s="185"/>
      <c r="AV207" s="185"/>
      <c r="AW207" s="185"/>
      <c r="AX207" s="185"/>
      <c r="AY207" s="185"/>
      <c r="AZ207" s="185"/>
      <c r="BA207" s="185"/>
      <c r="BB207" s="185"/>
      <c r="BC207" s="185"/>
      <c r="BD207" s="185"/>
      <c r="BE207" s="185"/>
      <c r="BF207" s="185"/>
      <c r="BG207" s="185"/>
      <c r="BH207" s="185"/>
      <c r="BI207" s="185"/>
      <c r="BJ207" s="185"/>
      <c r="BK207" s="185"/>
      <c r="BL207" s="185"/>
    </row>
    <row r="208" ht="15.7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233"/>
      <c r="AF208" s="185"/>
      <c r="AG208" s="185"/>
      <c r="AH208" s="185"/>
      <c r="AI208" s="185"/>
      <c r="AJ208" s="185"/>
      <c r="AK208" s="185"/>
      <c r="AL208" s="185"/>
      <c r="AM208" s="185"/>
      <c r="AN208" s="185"/>
      <c r="AO208" s="185"/>
      <c r="AP208" s="185"/>
      <c r="AQ208" s="185"/>
      <c r="AR208" s="185"/>
      <c r="AS208" s="185"/>
      <c r="AT208" s="185"/>
      <c r="AU208" s="185"/>
      <c r="AV208" s="185"/>
      <c r="AW208" s="185"/>
      <c r="AX208" s="185"/>
      <c r="AY208" s="185"/>
      <c r="AZ208" s="185"/>
      <c r="BA208" s="185"/>
      <c r="BB208" s="185"/>
      <c r="BC208" s="185"/>
      <c r="BD208" s="185"/>
      <c r="BE208" s="185"/>
      <c r="BF208" s="185"/>
      <c r="BG208" s="185"/>
      <c r="BH208" s="185"/>
      <c r="BI208" s="185"/>
      <c r="BJ208" s="185"/>
      <c r="BK208" s="185"/>
      <c r="BL208" s="185"/>
    </row>
    <row r="209" ht="15.7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233"/>
      <c r="AF209" s="185"/>
      <c r="AG209" s="185"/>
      <c r="AH209" s="185"/>
      <c r="AI209" s="185"/>
      <c r="AJ209" s="185"/>
      <c r="AK209" s="185"/>
      <c r="AL209" s="185"/>
      <c r="AM209" s="185"/>
      <c r="AN209" s="185"/>
      <c r="AO209" s="185"/>
      <c r="AP209" s="185"/>
      <c r="AQ209" s="185"/>
      <c r="AR209" s="185"/>
      <c r="AS209" s="185"/>
      <c r="AT209" s="185"/>
      <c r="AU209" s="185"/>
      <c r="AV209" s="185"/>
      <c r="AW209" s="185"/>
      <c r="AX209" s="185"/>
      <c r="AY209" s="185"/>
      <c r="AZ209" s="185"/>
      <c r="BA209" s="185"/>
      <c r="BB209" s="185"/>
      <c r="BC209" s="185"/>
      <c r="BD209" s="185"/>
      <c r="BE209" s="185"/>
      <c r="BF209" s="185"/>
      <c r="BG209" s="185"/>
      <c r="BH209" s="185"/>
      <c r="BI209" s="185"/>
      <c r="BJ209" s="185"/>
      <c r="BK209" s="185"/>
      <c r="BL209" s="185"/>
    </row>
    <row r="210" ht="15.7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233"/>
      <c r="AF210" s="185"/>
      <c r="AG210" s="185"/>
      <c r="AH210" s="185"/>
      <c r="AI210" s="185"/>
      <c r="AJ210" s="185"/>
      <c r="AK210" s="185"/>
      <c r="AL210" s="185"/>
      <c r="AM210" s="185"/>
      <c r="AN210" s="185"/>
      <c r="AO210" s="185"/>
      <c r="AP210" s="185"/>
      <c r="AQ210" s="185"/>
      <c r="AR210" s="185"/>
      <c r="AS210" s="185"/>
      <c r="AT210" s="185"/>
      <c r="AU210" s="185"/>
      <c r="AV210" s="185"/>
      <c r="AW210" s="185"/>
      <c r="AX210" s="185"/>
      <c r="AY210" s="185"/>
      <c r="AZ210" s="185"/>
      <c r="BA210" s="185"/>
      <c r="BB210" s="185"/>
      <c r="BC210" s="185"/>
      <c r="BD210" s="185"/>
      <c r="BE210" s="185"/>
      <c r="BF210" s="185"/>
      <c r="BG210" s="185"/>
      <c r="BH210" s="185"/>
      <c r="BI210" s="185"/>
      <c r="BJ210" s="185"/>
      <c r="BK210" s="185"/>
      <c r="BL210" s="185"/>
    </row>
    <row r="211" ht="15.7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233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  <c r="BA211" s="185"/>
      <c r="BB211" s="185"/>
      <c r="BC211" s="185"/>
      <c r="BD211" s="185"/>
      <c r="BE211" s="185"/>
      <c r="BF211" s="185"/>
      <c r="BG211" s="185"/>
      <c r="BH211" s="185"/>
      <c r="BI211" s="185"/>
      <c r="BJ211" s="185"/>
      <c r="BK211" s="185"/>
      <c r="BL211" s="185"/>
    </row>
    <row r="212" ht="15.7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233"/>
      <c r="AF212" s="185"/>
      <c r="AG212" s="185"/>
      <c r="AH212" s="185"/>
      <c r="AI212" s="185"/>
      <c r="AJ212" s="185"/>
      <c r="AK212" s="185"/>
      <c r="AL212" s="185"/>
      <c r="AM212" s="185"/>
      <c r="AN212" s="185"/>
      <c r="AO212" s="185"/>
      <c r="AP212" s="185"/>
      <c r="AQ212" s="185"/>
      <c r="AR212" s="185"/>
      <c r="AS212" s="185"/>
      <c r="AT212" s="185"/>
      <c r="AU212" s="185"/>
      <c r="AV212" s="185"/>
      <c r="AW212" s="185"/>
      <c r="AX212" s="185"/>
      <c r="AY212" s="185"/>
      <c r="AZ212" s="185"/>
      <c r="BA212" s="185"/>
      <c r="BB212" s="185"/>
      <c r="BC212" s="185"/>
      <c r="BD212" s="185"/>
      <c r="BE212" s="185"/>
      <c r="BF212" s="185"/>
      <c r="BG212" s="185"/>
      <c r="BH212" s="185"/>
      <c r="BI212" s="185"/>
      <c r="BJ212" s="185"/>
      <c r="BK212" s="185"/>
      <c r="BL212" s="185"/>
    </row>
    <row r="213" ht="15.7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233"/>
      <c r="AF213" s="185"/>
      <c r="AG213" s="185"/>
      <c r="AH213" s="185"/>
      <c r="AI213" s="185"/>
      <c r="AJ213" s="185"/>
      <c r="AK213" s="185"/>
      <c r="AL213" s="185"/>
      <c r="AM213" s="185"/>
      <c r="AN213" s="185"/>
      <c r="AO213" s="185"/>
      <c r="AP213" s="185"/>
      <c r="AQ213" s="185"/>
      <c r="AR213" s="185"/>
      <c r="AS213" s="185"/>
      <c r="AT213" s="185"/>
      <c r="AU213" s="185"/>
      <c r="AV213" s="185"/>
      <c r="AW213" s="185"/>
      <c r="AX213" s="185"/>
      <c r="AY213" s="185"/>
      <c r="AZ213" s="185"/>
      <c r="BA213" s="185"/>
      <c r="BB213" s="185"/>
      <c r="BC213" s="185"/>
      <c r="BD213" s="185"/>
      <c r="BE213" s="185"/>
      <c r="BF213" s="185"/>
      <c r="BG213" s="185"/>
      <c r="BH213" s="185"/>
      <c r="BI213" s="185"/>
      <c r="BJ213" s="185"/>
      <c r="BK213" s="185"/>
      <c r="BL213" s="185"/>
    </row>
    <row r="214" ht="15.7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233"/>
      <c r="AF214" s="185"/>
      <c r="AG214" s="185"/>
      <c r="AH214" s="185"/>
      <c r="AI214" s="185"/>
      <c r="AJ214" s="185"/>
      <c r="AK214" s="185"/>
      <c r="AL214" s="185"/>
      <c r="AM214" s="185"/>
      <c r="AN214" s="185"/>
      <c r="AO214" s="185"/>
      <c r="AP214" s="185"/>
      <c r="AQ214" s="185"/>
      <c r="AR214" s="185"/>
      <c r="AS214" s="185"/>
      <c r="AT214" s="185"/>
      <c r="AU214" s="185"/>
      <c r="AV214" s="185"/>
      <c r="AW214" s="185"/>
      <c r="AX214" s="185"/>
      <c r="AY214" s="185"/>
      <c r="AZ214" s="185"/>
      <c r="BA214" s="185"/>
      <c r="BB214" s="185"/>
      <c r="BC214" s="185"/>
      <c r="BD214" s="185"/>
      <c r="BE214" s="185"/>
      <c r="BF214" s="185"/>
      <c r="BG214" s="185"/>
      <c r="BH214" s="185"/>
      <c r="BI214" s="185"/>
      <c r="BJ214" s="185"/>
      <c r="BK214" s="185"/>
      <c r="BL214" s="185"/>
    </row>
    <row r="215" ht="15.7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233"/>
      <c r="AF215" s="185"/>
      <c r="AG215" s="185"/>
      <c r="AH215" s="185"/>
      <c r="AI215" s="185"/>
      <c r="AJ215" s="185"/>
      <c r="AK215" s="185"/>
      <c r="AL215" s="185"/>
      <c r="AM215" s="185"/>
      <c r="AN215" s="185"/>
      <c r="AO215" s="185"/>
      <c r="AP215" s="185"/>
      <c r="AQ215" s="185"/>
      <c r="AR215" s="185"/>
      <c r="AS215" s="185"/>
      <c r="AT215" s="185"/>
      <c r="AU215" s="185"/>
      <c r="AV215" s="185"/>
      <c r="AW215" s="185"/>
      <c r="AX215" s="185"/>
      <c r="AY215" s="185"/>
      <c r="AZ215" s="185"/>
      <c r="BA215" s="185"/>
      <c r="BB215" s="185"/>
      <c r="BC215" s="185"/>
      <c r="BD215" s="185"/>
      <c r="BE215" s="185"/>
      <c r="BF215" s="185"/>
      <c r="BG215" s="185"/>
      <c r="BH215" s="185"/>
      <c r="BI215" s="185"/>
      <c r="BJ215" s="185"/>
      <c r="BK215" s="185"/>
      <c r="BL215" s="185"/>
    </row>
    <row r="216" ht="15.7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233"/>
      <c r="AF216" s="185"/>
      <c r="AG216" s="185"/>
      <c r="AH216" s="185"/>
      <c r="AI216" s="185"/>
      <c r="AJ216" s="185"/>
      <c r="AK216" s="185"/>
      <c r="AL216" s="185"/>
      <c r="AM216" s="185"/>
      <c r="AN216" s="185"/>
      <c r="AO216" s="185"/>
      <c r="AP216" s="185"/>
      <c r="AQ216" s="185"/>
      <c r="AR216" s="185"/>
      <c r="AS216" s="185"/>
      <c r="AT216" s="185"/>
      <c r="AU216" s="185"/>
      <c r="AV216" s="185"/>
      <c r="AW216" s="185"/>
      <c r="AX216" s="185"/>
      <c r="AY216" s="185"/>
      <c r="AZ216" s="185"/>
      <c r="BA216" s="185"/>
      <c r="BB216" s="185"/>
      <c r="BC216" s="185"/>
      <c r="BD216" s="185"/>
      <c r="BE216" s="185"/>
      <c r="BF216" s="185"/>
      <c r="BG216" s="185"/>
      <c r="BH216" s="185"/>
      <c r="BI216" s="185"/>
      <c r="BJ216" s="185"/>
      <c r="BK216" s="185"/>
      <c r="BL216" s="185"/>
    </row>
    <row r="217" ht="15.7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233"/>
      <c r="AF217" s="185"/>
      <c r="AG217" s="185"/>
      <c r="AH217" s="185"/>
      <c r="AI217" s="185"/>
      <c r="AJ217" s="185"/>
      <c r="AK217" s="185"/>
      <c r="AL217" s="185"/>
      <c r="AM217" s="185"/>
      <c r="AN217" s="185"/>
      <c r="AO217" s="185"/>
      <c r="AP217" s="185"/>
      <c r="AQ217" s="185"/>
      <c r="AR217" s="185"/>
      <c r="AS217" s="185"/>
      <c r="AT217" s="185"/>
      <c r="AU217" s="185"/>
      <c r="AV217" s="185"/>
      <c r="AW217" s="185"/>
      <c r="AX217" s="185"/>
      <c r="AY217" s="185"/>
      <c r="AZ217" s="185"/>
      <c r="BA217" s="185"/>
      <c r="BB217" s="185"/>
      <c r="BC217" s="185"/>
      <c r="BD217" s="185"/>
      <c r="BE217" s="185"/>
      <c r="BF217" s="185"/>
      <c r="BG217" s="185"/>
      <c r="BH217" s="185"/>
      <c r="BI217" s="185"/>
      <c r="BJ217" s="185"/>
      <c r="BK217" s="185"/>
      <c r="BL217" s="185"/>
    </row>
    <row r="218" ht="15.7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233"/>
      <c r="AF218" s="185"/>
      <c r="AG218" s="185"/>
      <c r="AH218" s="185"/>
      <c r="AI218" s="185"/>
      <c r="AJ218" s="185"/>
      <c r="AK218" s="185"/>
      <c r="AL218" s="185"/>
      <c r="AM218" s="185"/>
      <c r="AN218" s="185"/>
      <c r="AO218" s="185"/>
      <c r="AP218" s="185"/>
      <c r="AQ218" s="185"/>
      <c r="AR218" s="185"/>
      <c r="AS218" s="185"/>
      <c r="AT218" s="185"/>
      <c r="AU218" s="185"/>
      <c r="AV218" s="185"/>
      <c r="AW218" s="185"/>
      <c r="AX218" s="185"/>
      <c r="AY218" s="185"/>
      <c r="AZ218" s="185"/>
      <c r="BA218" s="185"/>
      <c r="BB218" s="185"/>
      <c r="BC218" s="185"/>
      <c r="BD218" s="185"/>
      <c r="BE218" s="185"/>
      <c r="BF218" s="185"/>
      <c r="BG218" s="185"/>
      <c r="BH218" s="185"/>
      <c r="BI218" s="185"/>
      <c r="BJ218" s="185"/>
      <c r="BK218" s="185"/>
      <c r="BL218" s="185"/>
    </row>
    <row r="219" ht="15.7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233"/>
      <c r="AF219" s="185"/>
      <c r="AG219" s="185"/>
      <c r="AH219" s="185"/>
      <c r="AI219" s="185"/>
      <c r="AJ219" s="185"/>
      <c r="AK219" s="185"/>
      <c r="AL219" s="185"/>
      <c r="AM219" s="185"/>
      <c r="AN219" s="185"/>
      <c r="AO219" s="185"/>
      <c r="AP219" s="185"/>
      <c r="AQ219" s="185"/>
      <c r="AR219" s="185"/>
      <c r="AS219" s="185"/>
      <c r="AT219" s="185"/>
      <c r="AU219" s="185"/>
      <c r="AV219" s="185"/>
      <c r="AW219" s="185"/>
      <c r="AX219" s="185"/>
      <c r="AY219" s="185"/>
      <c r="AZ219" s="185"/>
      <c r="BA219" s="185"/>
      <c r="BB219" s="185"/>
      <c r="BC219" s="185"/>
      <c r="BD219" s="185"/>
      <c r="BE219" s="185"/>
      <c r="BF219" s="185"/>
      <c r="BG219" s="185"/>
      <c r="BH219" s="185"/>
      <c r="BI219" s="185"/>
      <c r="BJ219" s="185"/>
      <c r="BK219" s="185"/>
      <c r="BL219" s="185"/>
    </row>
    <row r="220" ht="15.7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233"/>
      <c r="AF220" s="185"/>
      <c r="AG220" s="185"/>
      <c r="AH220" s="185"/>
      <c r="AI220" s="185"/>
      <c r="AJ220" s="185"/>
      <c r="AK220" s="185"/>
      <c r="AL220" s="185"/>
      <c r="AM220" s="185"/>
      <c r="AN220" s="185"/>
      <c r="AO220" s="185"/>
      <c r="AP220" s="185"/>
      <c r="AQ220" s="185"/>
      <c r="AR220" s="185"/>
      <c r="AS220" s="185"/>
      <c r="AT220" s="185"/>
      <c r="AU220" s="185"/>
      <c r="AV220" s="185"/>
      <c r="AW220" s="185"/>
      <c r="AX220" s="185"/>
      <c r="AY220" s="185"/>
      <c r="AZ220" s="185"/>
      <c r="BA220" s="185"/>
      <c r="BB220" s="185"/>
      <c r="BC220" s="185"/>
      <c r="BD220" s="185"/>
      <c r="BE220" s="185"/>
      <c r="BF220" s="185"/>
      <c r="BG220" s="185"/>
      <c r="BH220" s="185"/>
      <c r="BI220" s="185"/>
      <c r="BJ220" s="185"/>
      <c r="BK220" s="185"/>
      <c r="BL220" s="185"/>
    </row>
    <row r="221" ht="15.7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233"/>
      <c r="AF221" s="185"/>
      <c r="AG221" s="185"/>
      <c r="AH221" s="185"/>
      <c r="AI221" s="185"/>
      <c r="AJ221" s="185"/>
      <c r="AK221" s="185"/>
      <c r="AL221" s="185"/>
      <c r="AM221" s="185"/>
      <c r="AN221" s="185"/>
      <c r="AO221" s="185"/>
      <c r="AP221" s="185"/>
      <c r="AQ221" s="185"/>
      <c r="AR221" s="185"/>
      <c r="AS221" s="185"/>
      <c r="AT221" s="185"/>
      <c r="AU221" s="185"/>
      <c r="AV221" s="185"/>
      <c r="AW221" s="185"/>
      <c r="AX221" s="185"/>
      <c r="AY221" s="185"/>
      <c r="AZ221" s="185"/>
      <c r="BA221" s="185"/>
      <c r="BB221" s="185"/>
      <c r="BC221" s="185"/>
      <c r="BD221" s="185"/>
      <c r="BE221" s="185"/>
      <c r="BF221" s="185"/>
      <c r="BG221" s="185"/>
      <c r="BH221" s="185"/>
      <c r="BI221" s="185"/>
      <c r="BJ221" s="185"/>
      <c r="BK221" s="185"/>
      <c r="BL221" s="185"/>
    </row>
    <row r="222" ht="15.7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233"/>
      <c r="AF222" s="185"/>
      <c r="AG222" s="185"/>
      <c r="AH222" s="185"/>
      <c r="AI222" s="185"/>
      <c r="AJ222" s="185"/>
      <c r="AK222" s="185"/>
      <c r="AL222" s="185"/>
      <c r="AM222" s="185"/>
      <c r="AN222" s="185"/>
      <c r="AO222" s="185"/>
      <c r="AP222" s="185"/>
      <c r="AQ222" s="185"/>
      <c r="AR222" s="185"/>
      <c r="AS222" s="185"/>
      <c r="AT222" s="185"/>
      <c r="AU222" s="185"/>
      <c r="AV222" s="185"/>
      <c r="AW222" s="185"/>
      <c r="AX222" s="185"/>
      <c r="AY222" s="185"/>
      <c r="AZ222" s="185"/>
      <c r="BA222" s="185"/>
      <c r="BB222" s="185"/>
      <c r="BC222" s="185"/>
      <c r="BD222" s="185"/>
      <c r="BE222" s="185"/>
      <c r="BF222" s="185"/>
      <c r="BG222" s="185"/>
      <c r="BH222" s="185"/>
      <c r="BI222" s="185"/>
      <c r="BJ222" s="185"/>
      <c r="BK222" s="185"/>
      <c r="BL222" s="185"/>
    </row>
    <row r="223" ht="15.7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233"/>
      <c r="AF223" s="185"/>
      <c r="AG223" s="185"/>
      <c r="AH223" s="185"/>
      <c r="AI223" s="185"/>
      <c r="AJ223" s="185"/>
      <c r="AK223" s="185"/>
      <c r="AL223" s="185"/>
      <c r="AM223" s="185"/>
      <c r="AN223" s="185"/>
      <c r="AO223" s="185"/>
      <c r="AP223" s="185"/>
      <c r="AQ223" s="185"/>
      <c r="AR223" s="185"/>
      <c r="AS223" s="185"/>
      <c r="AT223" s="185"/>
      <c r="AU223" s="185"/>
      <c r="AV223" s="185"/>
      <c r="AW223" s="185"/>
      <c r="AX223" s="185"/>
      <c r="AY223" s="185"/>
      <c r="AZ223" s="185"/>
      <c r="BA223" s="185"/>
      <c r="BB223" s="185"/>
      <c r="BC223" s="185"/>
      <c r="BD223" s="185"/>
      <c r="BE223" s="185"/>
      <c r="BF223" s="185"/>
      <c r="BG223" s="185"/>
      <c r="BH223" s="185"/>
      <c r="BI223" s="185"/>
      <c r="BJ223" s="185"/>
      <c r="BK223" s="185"/>
      <c r="BL223" s="185"/>
    </row>
    <row r="224" ht="15.7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233"/>
      <c r="AF224" s="185"/>
      <c r="AG224" s="185"/>
      <c r="AH224" s="185"/>
      <c r="AI224" s="185"/>
      <c r="AJ224" s="185"/>
      <c r="AK224" s="185"/>
      <c r="AL224" s="185"/>
      <c r="AM224" s="185"/>
      <c r="AN224" s="185"/>
      <c r="AO224" s="185"/>
      <c r="AP224" s="185"/>
      <c r="AQ224" s="185"/>
      <c r="AR224" s="185"/>
      <c r="AS224" s="185"/>
      <c r="AT224" s="185"/>
      <c r="AU224" s="185"/>
      <c r="AV224" s="185"/>
      <c r="AW224" s="185"/>
      <c r="AX224" s="185"/>
      <c r="AY224" s="185"/>
      <c r="AZ224" s="185"/>
      <c r="BA224" s="185"/>
      <c r="BB224" s="185"/>
      <c r="BC224" s="185"/>
      <c r="BD224" s="185"/>
      <c r="BE224" s="185"/>
      <c r="BF224" s="185"/>
      <c r="BG224" s="185"/>
      <c r="BH224" s="185"/>
      <c r="BI224" s="185"/>
      <c r="BJ224" s="185"/>
      <c r="BK224" s="185"/>
      <c r="BL224" s="185"/>
    </row>
    <row r="225" ht="15.7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233"/>
      <c r="AF225" s="185"/>
      <c r="AG225" s="185"/>
      <c r="AH225" s="185"/>
      <c r="AI225" s="185"/>
      <c r="AJ225" s="185"/>
      <c r="AK225" s="185"/>
      <c r="AL225" s="185"/>
      <c r="AM225" s="185"/>
      <c r="AN225" s="185"/>
      <c r="AO225" s="185"/>
      <c r="AP225" s="185"/>
      <c r="AQ225" s="185"/>
      <c r="AR225" s="185"/>
      <c r="AS225" s="185"/>
      <c r="AT225" s="185"/>
      <c r="AU225" s="185"/>
      <c r="AV225" s="185"/>
      <c r="AW225" s="185"/>
      <c r="AX225" s="185"/>
      <c r="AY225" s="185"/>
      <c r="AZ225" s="185"/>
      <c r="BA225" s="185"/>
      <c r="BB225" s="185"/>
      <c r="BC225" s="185"/>
      <c r="BD225" s="185"/>
      <c r="BE225" s="185"/>
      <c r="BF225" s="185"/>
      <c r="BG225" s="185"/>
      <c r="BH225" s="185"/>
      <c r="BI225" s="185"/>
      <c r="BJ225" s="185"/>
      <c r="BK225" s="185"/>
      <c r="BL225" s="185"/>
    </row>
    <row r="226" ht="15.7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233"/>
      <c r="AF226" s="185"/>
      <c r="AG226" s="185"/>
      <c r="AH226" s="185"/>
      <c r="AI226" s="185"/>
      <c r="AJ226" s="185"/>
      <c r="AK226" s="185"/>
      <c r="AL226" s="185"/>
      <c r="AM226" s="185"/>
      <c r="AN226" s="185"/>
      <c r="AO226" s="185"/>
      <c r="AP226" s="185"/>
      <c r="AQ226" s="185"/>
      <c r="AR226" s="185"/>
      <c r="AS226" s="185"/>
      <c r="AT226" s="185"/>
      <c r="AU226" s="185"/>
      <c r="AV226" s="185"/>
      <c r="AW226" s="185"/>
      <c r="AX226" s="185"/>
      <c r="AY226" s="185"/>
      <c r="AZ226" s="185"/>
      <c r="BA226" s="185"/>
      <c r="BB226" s="185"/>
      <c r="BC226" s="185"/>
      <c r="BD226" s="185"/>
      <c r="BE226" s="185"/>
      <c r="BF226" s="185"/>
      <c r="BG226" s="185"/>
      <c r="BH226" s="185"/>
      <c r="BI226" s="185"/>
      <c r="BJ226" s="185"/>
      <c r="BK226" s="185"/>
      <c r="BL226" s="185"/>
    </row>
    <row r="227" ht="15.7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233"/>
      <c r="AF227" s="185"/>
      <c r="AG227" s="185"/>
      <c r="AH227" s="185"/>
      <c r="AI227" s="185"/>
      <c r="AJ227" s="185"/>
      <c r="AK227" s="185"/>
      <c r="AL227" s="185"/>
      <c r="AM227" s="185"/>
      <c r="AN227" s="185"/>
      <c r="AO227" s="185"/>
      <c r="AP227" s="185"/>
      <c r="AQ227" s="185"/>
      <c r="AR227" s="185"/>
      <c r="AS227" s="185"/>
      <c r="AT227" s="185"/>
      <c r="AU227" s="185"/>
      <c r="AV227" s="185"/>
      <c r="AW227" s="185"/>
      <c r="AX227" s="185"/>
      <c r="AY227" s="185"/>
      <c r="AZ227" s="185"/>
      <c r="BA227" s="185"/>
      <c r="BB227" s="185"/>
      <c r="BC227" s="185"/>
      <c r="BD227" s="185"/>
      <c r="BE227" s="185"/>
      <c r="BF227" s="185"/>
      <c r="BG227" s="185"/>
      <c r="BH227" s="185"/>
      <c r="BI227" s="185"/>
      <c r="BJ227" s="185"/>
      <c r="BK227" s="185"/>
      <c r="BL227" s="185"/>
    </row>
    <row r="228" ht="15.7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233"/>
      <c r="AF228" s="185"/>
      <c r="AG228" s="185"/>
      <c r="AH228" s="185"/>
      <c r="AI228" s="185"/>
      <c r="AJ228" s="185"/>
      <c r="AK228" s="185"/>
      <c r="AL228" s="185"/>
      <c r="AM228" s="185"/>
      <c r="AN228" s="185"/>
      <c r="AO228" s="185"/>
      <c r="AP228" s="185"/>
      <c r="AQ228" s="185"/>
      <c r="AR228" s="185"/>
      <c r="AS228" s="185"/>
      <c r="AT228" s="185"/>
      <c r="AU228" s="185"/>
      <c r="AV228" s="185"/>
      <c r="AW228" s="185"/>
      <c r="AX228" s="185"/>
      <c r="AY228" s="185"/>
      <c r="AZ228" s="185"/>
      <c r="BA228" s="185"/>
      <c r="BB228" s="185"/>
      <c r="BC228" s="185"/>
      <c r="BD228" s="185"/>
      <c r="BE228" s="185"/>
      <c r="BF228" s="185"/>
      <c r="BG228" s="185"/>
      <c r="BH228" s="185"/>
      <c r="BI228" s="185"/>
      <c r="BJ228" s="185"/>
      <c r="BK228" s="185"/>
      <c r="BL228" s="185"/>
    </row>
    <row r="229" ht="15.7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233"/>
      <c r="AF229" s="185"/>
      <c r="AG229" s="185"/>
      <c r="AH229" s="185"/>
      <c r="AI229" s="185"/>
      <c r="AJ229" s="185"/>
      <c r="AK229" s="185"/>
      <c r="AL229" s="185"/>
      <c r="AM229" s="185"/>
      <c r="AN229" s="185"/>
      <c r="AO229" s="185"/>
      <c r="AP229" s="185"/>
      <c r="AQ229" s="185"/>
      <c r="AR229" s="185"/>
      <c r="AS229" s="185"/>
      <c r="AT229" s="185"/>
      <c r="AU229" s="185"/>
      <c r="AV229" s="185"/>
      <c r="AW229" s="185"/>
      <c r="AX229" s="185"/>
      <c r="AY229" s="185"/>
      <c r="AZ229" s="185"/>
      <c r="BA229" s="185"/>
      <c r="BB229" s="185"/>
      <c r="BC229" s="185"/>
      <c r="BD229" s="185"/>
      <c r="BE229" s="185"/>
      <c r="BF229" s="185"/>
      <c r="BG229" s="185"/>
      <c r="BH229" s="185"/>
      <c r="BI229" s="185"/>
      <c r="BJ229" s="185"/>
      <c r="BK229" s="185"/>
      <c r="BL229" s="185"/>
    </row>
    <row r="230" ht="15.7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233"/>
      <c r="AF230" s="185"/>
      <c r="AG230" s="185"/>
      <c r="AH230" s="185"/>
      <c r="AI230" s="185"/>
      <c r="AJ230" s="185"/>
      <c r="AK230" s="185"/>
      <c r="AL230" s="185"/>
      <c r="AM230" s="185"/>
      <c r="AN230" s="185"/>
      <c r="AO230" s="185"/>
      <c r="AP230" s="185"/>
      <c r="AQ230" s="185"/>
      <c r="AR230" s="185"/>
      <c r="AS230" s="185"/>
      <c r="AT230" s="185"/>
      <c r="AU230" s="185"/>
      <c r="AV230" s="185"/>
      <c r="AW230" s="185"/>
      <c r="AX230" s="185"/>
      <c r="AY230" s="185"/>
      <c r="AZ230" s="185"/>
      <c r="BA230" s="185"/>
      <c r="BB230" s="185"/>
      <c r="BC230" s="185"/>
      <c r="BD230" s="185"/>
      <c r="BE230" s="185"/>
      <c r="BF230" s="185"/>
      <c r="BG230" s="185"/>
      <c r="BH230" s="185"/>
      <c r="BI230" s="185"/>
      <c r="BJ230" s="185"/>
      <c r="BK230" s="185"/>
      <c r="BL230" s="185"/>
    </row>
    <row r="231" ht="15.7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233"/>
      <c r="AF231" s="185"/>
      <c r="AG231" s="185"/>
      <c r="AH231" s="185"/>
      <c r="AI231" s="185"/>
      <c r="AJ231" s="185"/>
      <c r="AK231" s="185"/>
      <c r="AL231" s="185"/>
      <c r="AM231" s="185"/>
      <c r="AN231" s="185"/>
      <c r="AO231" s="185"/>
      <c r="AP231" s="185"/>
      <c r="AQ231" s="185"/>
      <c r="AR231" s="185"/>
      <c r="AS231" s="185"/>
      <c r="AT231" s="185"/>
      <c r="AU231" s="185"/>
      <c r="AV231" s="185"/>
      <c r="AW231" s="185"/>
      <c r="AX231" s="185"/>
      <c r="AY231" s="185"/>
      <c r="AZ231" s="185"/>
      <c r="BA231" s="185"/>
      <c r="BB231" s="185"/>
      <c r="BC231" s="185"/>
      <c r="BD231" s="185"/>
      <c r="BE231" s="185"/>
      <c r="BF231" s="185"/>
      <c r="BG231" s="185"/>
      <c r="BH231" s="185"/>
      <c r="BI231" s="185"/>
      <c r="BJ231" s="185"/>
      <c r="BK231" s="185"/>
      <c r="BL231" s="185"/>
    </row>
    <row r="232" ht="15.7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233"/>
      <c r="AF232" s="185"/>
      <c r="AG232" s="185"/>
      <c r="AH232" s="185"/>
      <c r="AI232" s="185"/>
      <c r="AJ232" s="185"/>
      <c r="AK232" s="185"/>
      <c r="AL232" s="185"/>
      <c r="AM232" s="185"/>
      <c r="AN232" s="185"/>
      <c r="AO232" s="185"/>
      <c r="AP232" s="185"/>
      <c r="AQ232" s="185"/>
      <c r="AR232" s="185"/>
      <c r="AS232" s="185"/>
      <c r="AT232" s="185"/>
      <c r="AU232" s="185"/>
      <c r="AV232" s="185"/>
      <c r="AW232" s="185"/>
      <c r="AX232" s="185"/>
      <c r="AY232" s="185"/>
      <c r="AZ232" s="185"/>
      <c r="BA232" s="185"/>
      <c r="BB232" s="185"/>
      <c r="BC232" s="185"/>
      <c r="BD232" s="185"/>
      <c r="BE232" s="185"/>
      <c r="BF232" s="185"/>
      <c r="BG232" s="185"/>
      <c r="BH232" s="185"/>
      <c r="BI232" s="185"/>
      <c r="BJ232" s="185"/>
      <c r="BK232" s="185"/>
      <c r="BL232" s="185"/>
    </row>
    <row r="233" ht="15.7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233"/>
      <c r="AF233" s="185"/>
      <c r="AG233" s="185"/>
      <c r="AH233" s="185"/>
      <c r="AI233" s="185"/>
      <c r="AJ233" s="185"/>
      <c r="AK233" s="185"/>
      <c r="AL233" s="185"/>
      <c r="AM233" s="185"/>
      <c r="AN233" s="185"/>
      <c r="AO233" s="185"/>
      <c r="AP233" s="185"/>
      <c r="AQ233" s="185"/>
      <c r="AR233" s="185"/>
      <c r="AS233" s="185"/>
      <c r="AT233" s="185"/>
      <c r="AU233" s="185"/>
      <c r="AV233" s="185"/>
      <c r="AW233" s="185"/>
      <c r="AX233" s="185"/>
      <c r="AY233" s="185"/>
      <c r="AZ233" s="185"/>
      <c r="BA233" s="185"/>
      <c r="BB233" s="185"/>
      <c r="BC233" s="185"/>
      <c r="BD233" s="185"/>
      <c r="BE233" s="185"/>
      <c r="BF233" s="185"/>
      <c r="BG233" s="185"/>
      <c r="BH233" s="185"/>
      <c r="BI233" s="185"/>
      <c r="BJ233" s="185"/>
      <c r="BK233" s="185"/>
      <c r="BL233" s="185"/>
    </row>
    <row r="234" ht="15.7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233"/>
      <c r="AF234" s="185"/>
      <c r="AG234" s="185"/>
      <c r="AH234" s="185"/>
      <c r="AI234" s="185"/>
      <c r="AJ234" s="185"/>
      <c r="AK234" s="185"/>
      <c r="AL234" s="185"/>
      <c r="AM234" s="185"/>
      <c r="AN234" s="185"/>
      <c r="AO234" s="185"/>
      <c r="AP234" s="185"/>
      <c r="AQ234" s="185"/>
      <c r="AR234" s="185"/>
      <c r="AS234" s="185"/>
      <c r="AT234" s="185"/>
      <c r="AU234" s="185"/>
      <c r="AV234" s="185"/>
      <c r="AW234" s="185"/>
      <c r="AX234" s="185"/>
      <c r="AY234" s="185"/>
      <c r="AZ234" s="185"/>
      <c r="BA234" s="185"/>
      <c r="BB234" s="185"/>
      <c r="BC234" s="185"/>
      <c r="BD234" s="185"/>
      <c r="BE234" s="185"/>
      <c r="BF234" s="185"/>
      <c r="BG234" s="185"/>
      <c r="BH234" s="185"/>
      <c r="BI234" s="185"/>
      <c r="BJ234" s="185"/>
      <c r="BK234" s="185"/>
      <c r="BL234" s="185"/>
    </row>
    <row r="235" ht="15.7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233"/>
      <c r="AF235" s="185"/>
      <c r="AG235" s="185"/>
      <c r="AH235" s="185"/>
      <c r="AI235" s="185"/>
      <c r="AJ235" s="185"/>
      <c r="AK235" s="185"/>
      <c r="AL235" s="185"/>
      <c r="AM235" s="185"/>
      <c r="AN235" s="185"/>
      <c r="AO235" s="185"/>
      <c r="AP235" s="185"/>
      <c r="AQ235" s="185"/>
      <c r="AR235" s="185"/>
      <c r="AS235" s="185"/>
      <c r="AT235" s="185"/>
      <c r="AU235" s="185"/>
      <c r="AV235" s="185"/>
      <c r="AW235" s="185"/>
      <c r="AX235" s="185"/>
      <c r="AY235" s="185"/>
      <c r="AZ235" s="185"/>
      <c r="BA235" s="185"/>
      <c r="BB235" s="185"/>
      <c r="BC235" s="185"/>
      <c r="BD235" s="185"/>
      <c r="BE235" s="185"/>
      <c r="BF235" s="185"/>
      <c r="BG235" s="185"/>
      <c r="BH235" s="185"/>
      <c r="BI235" s="185"/>
      <c r="BJ235" s="185"/>
      <c r="BK235" s="185"/>
      <c r="BL235" s="185"/>
    </row>
    <row r="236" ht="15.7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233"/>
      <c r="AF236" s="185"/>
      <c r="AG236" s="185"/>
      <c r="AH236" s="185"/>
      <c r="AI236" s="185"/>
      <c r="AJ236" s="185"/>
      <c r="AK236" s="185"/>
      <c r="AL236" s="185"/>
      <c r="AM236" s="185"/>
      <c r="AN236" s="185"/>
      <c r="AO236" s="185"/>
      <c r="AP236" s="185"/>
      <c r="AQ236" s="185"/>
      <c r="AR236" s="185"/>
      <c r="AS236" s="185"/>
      <c r="AT236" s="185"/>
      <c r="AU236" s="185"/>
      <c r="AV236" s="185"/>
      <c r="AW236" s="185"/>
      <c r="AX236" s="185"/>
      <c r="AY236" s="185"/>
      <c r="AZ236" s="185"/>
      <c r="BA236" s="185"/>
      <c r="BB236" s="185"/>
      <c r="BC236" s="185"/>
      <c r="BD236" s="185"/>
      <c r="BE236" s="185"/>
      <c r="BF236" s="185"/>
      <c r="BG236" s="185"/>
      <c r="BH236" s="185"/>
      <c r="BI236" s="185"/>
      <c r="BJ236" s="185"/>
      <c r="BK236" s="185"/>
      <c r="BL236" s="185"/>
    </row>
    <row r="237" ht="15.7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233"/>
      <c r="AF237" s="185"/>
      <c r="AG237" s="185"/>
      <c r="AH237" s="185"/>
      <c r="AI237" s="185"/>
      <c r="AJ237" s="185"/>
      <c r="AK237" s="185"/>
      <c r="AL237" s="185"/>
      <c r="AM237" s="185"/>
      <c r="AN237" s="185"/>
      <c r="AO237" s="185"/>
      <c r="AP237" s="185"/>
      <c r="AQ237" s="185"/>
      <c r="AR237" s="185"/>
      <c r="AS237" s="185"/>
      <c r="AT237" s="185"/>
      <c r="AU237" s="185"/>
      <c r="AV237" s="185"/>
      <c r="AW237" s="185"/>
      <c r="AX237" s="185"/>
      <c r="AY237" s="185"/>
      <c r="AZ237" s="185"/>
      <c r="BA237" s="185"/>
      <c r="BB237" s="185"/>
      <c r="BC237" s="185"/>
      <c r="BD237" s="185"/>
      <c r="BE237" s="185"/>
      <c r="BF237" s="185"/>
      <c r="BG237" s="185"/>
      <c r="BH237" s="185"/>
      <c r="BI237" s="185"/>
      <c r="BJ237" s="185"/>
      <c r="BK237" s="185"/>
      <c r="BL237" s="185"/>
    </row>
    <row r="238" ht="15.7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233"/>
      <c r="AF238" s="185"/>
      <c r="AG238" s="185"/>
      <c r="AH238" s="185"/>
      <c r="AI238" s="185"/>
      <c r="AJ238" s="185"/>
      <c r="AK238" s="185"/>
      <c r="AL238" s="185"/>
      <c r="AM238" s="185"/>
      <c r="AN238" s="185"/>
      <c r="AO238" s="185"/>
      <c r="AP238" s="185"/>
      <c r="AQ238" s="185"/>
      <c r="AR238" s="185"/>
      <c r="AS238" s="185"/>
      <c r="AT238" s="185"/>
      <c r="AU238" s="185"/>
      <c r="AV238" s="185"/>
      <c r="AW238" s="185"/>
      <c r="AX238" s="185"/>
      <c r="AY238" s="185"/>
      <c r="AZ238" s="185"/>
      <c r="BA238" s="185"/>
      <c r="BB238" s="185"/>
      <c r="BC238" s="185"/>
      <c r="BD238" s="185"/>
      <c r="BE238" s="185"/>
      <c r="BF238" s="185"/>
      <c r="BG238" s="185"/>
      <c r="BH238" s="185"/>
      <c r="BI238" s="185"/>
      <c r="BJ238" s="185"/>
      <c r="BK238" s="185"/>
      <c r="BL238" s="185"/>
    </row>
    <row r="239" ht="15.7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233"/>
      <c r="AF239" s="185"/>
      <c r="AG239" s="185"/>
      <c r="AH239" s="185"/>
      <c r="AI239" s="185"/>
      <c r="AJ239" s="185"/>
      <c r="AK239" s="185"/>
      <c r="AL239" s="185"/>
      <c r="AM239" s="185"/>
      <c r="AN239" s="185"/>
      <c r="AO239" s="185"/>
      <c r="AP239" s="185"/>
      <c r="AQ239" s="185"/>
      <c r="AR239" s="185"/>
      <c r="AS239" s="185"/>
      <c r="AT239" s="185"/>
      <c r="AU239" s="185"/>
      <c r="AV239" s="185"/>
      <c r="AW239" s="185"/>
      <c r="AX239" s="185"/>
      <c r="AY239" s="185"/>
      <c r="AZ239" s="185"/>
      <c r="BA239" s="185"/>
      <c r="BB239" s="185"/>
      <c r="BC239" s="185"/>
      <c r="BD239" s="185"/>
      <c r="BE239" s="185"/>
      <c r="BF239" s="185"/>
      <c r="BG239" s="185"/>
      <c r="BH239" s="185"/>
      <c r="BI239" s="185"/>
      <c r="BJ239" s="185"/>
      <c r="BK239" s="185"/>
      <c r="BL239" s="185"/>
    </row>
    <row r="240" ht="15.7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233"/>
      <c r="AF240" s="185"/>
      <c r="AG240" s="185"/>
      <c r="AH240" s="185"/>
      <c r="AI240" s="185"/>
      <c r="AJ240" s="185"/>
      <c r="AK240" s="185"/>
      <c r="AL240" s="185"/>
      <c r="AM240" s="185"/>
      <c r="AN240" s="185"/>
      <c r="AO240" s="185"/>
      <c r="AP240" s="185"/>
      <c r="AQ240" s="185"/>
      <c r="AR240" s="185"/>
      <c r="AS240" s="185"/>
      <c r="AT240" s="185"/>
      <c r="AU240" s="185"/>
      <c r="AV240" s="185"/>
      <c r="AW240" s="185"/>
      <c r="AX240" s="185"/>
      <c r="AY240" s="185"/>
      <c r="AZ240" s="185"/>
      <c r="BA240" s="185"/>
      <c r="BB240" s="185"/>
      <c r="BC240" s="185"/>
      <c r="BD240" s="185"/>
      <c r="BE240" s="185"/>
      <c r="BF240" s="185"/>
      <c r="BG240" s="185"/>
      <c r="BH240" s="185"/>
      <c r="BI240" s="185"/>
      <c r="BJ240" s="185"/>
      <c r="BK240" s="185"/>
      <c r="BL240" s="185"/>
    </row>
    <row r="241" ht="15.7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233"/>
      <c r="AF241" s="185"/>
      <c r="AG241" s="185"/>
      <c r="AH241" s="185"/>
      <c r="AI241" s="185"/>
      <c r="AJ241" s="185"/>
      <c r="AK241" s="185"/>
      <c r="AL241" s="185"/>
      <c r="AM241" s="185"/>
      <c r="AN241" s="185"/>
      <c r="AO241" s="185"/>
      <c r="AP241" s="185"/>
      <c r="AQ241" s="185"/>
      <c r="AR241" s="185"/>
      <c r="AS241" s="185"/>
      <c r="AT241" s="185"/>
      <c r="AU241" s="185"/>
      <c r="AV241" s="185"/>
      <c r="AW241" s="185"/>
      <c r="AX241" s="185"/>
      <c r="AY241" s="185"/>
      <c r="AZ241" s="185"/>
      <c r="BA241" s="185"/>
      <c r="BB241" s="185"/>
      <c r="BC241" s="185"/>
      <c r="BD241" s="185"/>
      <c r="BE241" s="185"/>
      <c r="BF241" s="185"/>
      <c r="BG241" s="185"/>
      <c r="BH241" s="185"/>
      <c r="BI241" s="185"/>
      <c r="BJ241" s="185"/>
      <c r="BK241" s="185"/>
      <c r="BL241" s="185"/>
    </row>
    <row r="242" ht="15.7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233"/>
      <c r="AF242" s="185"/>
      <c r="AG242" s="185"/>
      <c r="AH242" s="185"/>
      <c r="AI242" s="185"/>
      <c r="AJ242" s="185"/>
      <c r="AK242" s="185"/>
      <c r="AL242" s="185"/>
      <c r="AM242" s="185"/>
      <c r="AN242" s="185"/>
      <c r="AO242" s="185"/>
      <c r="AP242" s="185"/>
      <c r="AQ242" s="185"/>
      <c r="AR242" s="185"/>
      <c r="AS242" s="185"/>
      <c r="AT242" s="185"/>
      <c r="AU242" s="185"/>
      <c r="AV242" s="185"/>
      <c r="AW242" s="185"/>
      <c r="AX242" s="185"/>
      <c r="AY242" s="185"/>
      <c r="AZ242" s="185"/>
      <c r="BA242" s="185"/>
      <c r="BB242" s="185"/>
      <c r="BC242" s="185"/>
      <c r="BD242" s="185"/>
      <c r="BE242" s="185"/>
      <c r="BF242" s="185"/>
      <c r="BG242" s="185"/>
      <c r="BH242" s="185"/>
      <c r="BI242" s="185"/>
      <c r="BJ242" s="185"/>
      <c r="BK242" s="185"/>
      <c r="BL242" s="185"/>
    </row>
    <row r="243" ht="15.7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233"/>
      <c r="AF243" s="185"/>
      <c r="AG243" s="185"/>
      <c r="AH243" s="185"/>
      <c r="AI243" s="185"/>
      <c r="AJ243" s="185"/>
      <c r="AK243" s="185"/>
      <c r="AL243" s="185"/>
      <c r="AM243" s="185"/>
      <c r="AN243" s="185"/>
      <c r="AO243" s="185"/>
      <c r="AP243" s="185"/>
      <c r="AQ243" s="185"/>
      <c r="AR243" s="185"/>
      <c r="AS243" s="185"/>
      <c r="AT243" s="185"/>
      <c r="AU243" s="185"/>
      <c r="AV243" s="185"/>
      <c r="AW243" s="185"/>
      <c r="AX243" s="185"/>
      <c r="AY243" s="185"/>
      <c r="AZ243" s="185"/>
      <c r="BA243" s="185"/>
      <c r="BB243" s="185"/>
      <c r="BC243" s="185"/>
      <c r="BD243" s="185"/>
      <c r="BE243" s="185"/>
      <c r="BF243" s="185"/>
      <c r="BG243" s="185"/>
      <c r="BH243" s="185"/>
      <c r="BI243" s="185"/>
      <c r="BJ243" s="185"/>
      <c r="BK243" s="185"/>
      <c r="BL243" s="185"/>
    </row>
    <row r="244" ht="15.7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233"/>
      <c r="AF244" s="185"/>
      <c r="AG244" s="185"/>
      <c r="AH244" s="185"/>
      <c r="AI244" s="185"/>
      <c r="AJ244" s="185"/>
      <c r="AK244" s="185"/>
      <c r="AL244" s="185"/>
      <c r="AM244" s="185"/>
      <c r="AN244" s="185"/>
      <c r="AO244" s="185"/>
      <c r="AP244" s="185"/>
      <c r="AQ244" s="185"/>
      <c r="AR244" s="185"/>
      <c r="AS244" s="185"/>
      <c r="AT244" s="185"/>
      <c r="AU244" s="185"/>
      <c r="AV244" s="185"/>
      <c r="AW244" s="185"/>
      <c r="AX244" s="185"/>
      <c r="AY244" s="185"/>
      <c r="AZ244" s="185"/>
      <c r="BA244" s="185"/>
      <c r="BB244" s="185"/>
      <c r="BC244" s="185"/>
      <c r="BD244" s="185"/>
      <c r="BE244" s="185"/>
      <c r="BF244" s="185"/>
      <c r="BG244" s="185"/>
      <c r="BH244" s="185"/>
      <c r="BI244" s="185"/>
      <c r="BJ244" s="185"/>
      <c r="BK244" s="185"/>
      <c r="BL244" s="185"/>
    </row>
    <row r="245" ht="15.7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233"/>
      <c r="AF245" s="185"/>
      <c r="AG245" s="185"/>
      <c r="AH245" s="185"/>
      <c r="AI245" s="185"/>
      <c r="AJ245" s="185"/>
      <c r="AK245" s="185"/>
      <c r="AL245" s="185"/>
      <c r="AM245" s="185"/>
      <c r="AN245" s="185"/>
      <c r="AO245" s="185"/>
      <c r="AP245" s="185"/>
      <c r="AQ245" s="185"/>
      <c r="AR245" s="185"/>
      <c r="AS245" s="185"/>
      <c r="AT245" s="185"/>
      <c r="AU245" s="185"/>
      <c r="AV245" s="185"/>
      <c r="AW245" s="185"/>
      <c r="AX245" s="185"/>
      <c r="AY245" s="185"/>
      <c r="AZ245" s="185"/>
      <c r="BA245" s="185"/>
      <c r="BB245" s="185"/>
      <c r="BC245" s="185"/>
      <c r="BD245" s="185"/>
      <c r="BE245" s="185"/>
      <c r="BF245" s="185"/>
      <c r="BG245" s="185"/>
      <c r="BH245" s="185"/>
      <c r="BI245" s="185"/>
      <c r="BJ245" s="185"/>
      <c r="BK245" s="185"/>
      <c r="BL245" s="185"/>
    </row>
    <row r="246" ht="15.7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233"/>
      <c r="AF246" s="185"/>
      <c r="AG246" s="185"/>
      <c r="AH246" s="185"/>
      <c r="AI246" s="185"/>
      <c r="AJ246" s="185"/>
      <c r="AK246" s="185"/>
      <c r="AL246" s="185"/>
      <c r="AM246" s="185"/>
      <c r="AN246" s="185"/>
      <c r="AO246" s="185"/>
      <c r="AP246" s="185"/>
      <c r="AQ246" s="185"/>
      <c r="AR246" s="185"/>
      <c r="AS246" s="185"/>
      <c r="AT246" s="185"/>
      <c r="AU246" s="185"/>
      <c r="AV246" s="185"/>
      <c r="AW246" s="185"/>
      <c r="AX246" s="185"/>
      <c r="AY246" s="185"/>
      <c r="AZ246" s="185"/>
      <c r="BA246" s="185"/>
      <c r="BB246" s="185"/>
      <c r="BC246" s="185"/>
      <c r="BD246" s="185"/>
      <c r="BE246" s="185"/>
      <c r="BF246" s="185"/>
      <c r="BG246" s="185"/>
      <c r="BH246" s="185"/>
      <c r="BI246" s="185"/>
      <c r="BJ246" s="185"/>
      <c r="BK246" s="185"/>
      <c r="BL246" s="185"/>
    </row>
    <row r="247" ht="15.7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233"/>
      <c r="AF247" s="185"/>
      <c r="AG247" s="185"/>
      <c r="AH247" s="185"/>
      <c r="AI247" s="185"/>
      <c r="AJ247" s="185"/>
      <c r="AK247" s="185"/>
      <c r="AL247" s="185"/>
      <c r="AM247" s="185"/>
      <c r="AN247" s="185"/>
      <c r="AO247" s="185"/>
      <c r="AP247" s="185"/>
      <c r="AQ247" s="185"/>
      <c r="AR247" s="185"/>
      <c r="AS247" s="185"/>
      <c r="AT247" s="185"/>
      <c r="AU247" s="185"/>
      <c r="AV247" s="185"/>
      <c r="AW247" s="185"/>
      <c r="AX247" s="185"/>
      <c r="AY247" s="185"/>
      <c r="AZ247" s="185"/>
      <c r="BA247" s="185"/>
      <c r="BB247" s="185"/>
      <c r="BC247" s="185"/>
      <c r="BD247" s="185"/>
      <c r="BE247" s="185"/>
      <c r="BF247" s="185"/>
      <c r="BG247" s="185"/>
      <c r="BH247" s="185"/>
      <c r="BI247" s="185"/>
      <c r="BJ247" s="185"/>
      <c r="BK247" s="185"/>
      <c r="BL247" s="185"/>
    </row>
    <row r="248" ht="15.7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233"/>
      <c r="AF248" s="185"/>
      <c r="AG248" s="185"/>
      <c r="AH248" s="185"/>
      <c r="AI248" s="185"/>
      <c r="AJ248" s="185"/>
      <c r="AK248" s="185"/>
      <c r="AL248" s="185"/>
      <c r="AM248" s="185"/>
      <c r="AN248" s="185"/>
      <c r="AO248" s="185"/>
      <c r="AP248" s="185"/>
      <c r="AQ248" s="185"/>
      <c r="AR248" s="185"/>
      <c r="AS248" s="185"/>
      <c r="AT248" s="185"/>
      <c r="AU248" s="185"/>
      <c r="AV248" s="185"/>
      <c r="AW248" s="185"/>
      <c r="AX248" s="185"/>
      <c r="AY248" s="185"/>
      <c r="AZ248" s="185"/>
      <c r="BA248" s="185"/>
      <c r="BB248" s="185"/>
      <c r="BC248" s="185"/>
      <c r="BD248" s="185"/>
      <c r="BE248" s="185"/>
      <c r="BF248" s="185"/>
      <c r="BG248" s="185"/>
      <c r="BH248" s="185"/>
      <c r="BI248" s="185"/>
      <c r="BJ248" s="185"/>
      <c r="BK248" s="185"/>
      <c r="BL248" s="185"/>
    </row>
    <row r="249" ht="15.7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233"/>
      <c r="AF249" s="185"/>
      <c r="AG249" s="185"/>
      <c r="AH249" s="185"/>
      <c r="AI249" s="185"/>
      <c r="AJ249" s="185"/>
      <c r="AK249" s="185"/>
      <c r="AL249" s="185"/>
      <c r="AM249" s="185"/>
      <c r="AN249" s="185"/>
      <c r="AO249" s="185"/>
      <c r="AP249" s="185"/>
      <c r="AQ249" s="185"/>
      <c r="AR249" s="185"/>
      <c r="AS249" s="185"/>
      <c r="AT249" s="185"/>
      <c r="AU249" s="185"/>
      <c r="AV249" s="185"/>
      <c r="AW249" s="185"/>
      <c r="AX249" s="185"/>
      <c r="AY249" s="185"/>
      <c r="AZ249" s="185"/>
      <c r="BA249" s="185"/>
      <c r="BB249" s="185"/>
      <c r="BC249" s="185"/>
      <c r="BD249" s="185"/>
      <c r="BE249" s="185"/>
      <c r="BF249" s="185"/>
      <c r="BG249" s="185"/>
      <c r="BH249" s="185"/>
      <c r="BI249" s="185"/>
      <c r="BJ249" s="185"/>
      <c r="BK249" s="185"/>
      <c r="BL249" s="185"/>
    </row>
    <row r="250" ht="15.7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233"/>
      <c r="AF250" s="185"/>
      <c r="AG250" s="185"/>
      <c r="AH250" s="185"/>
      <c r="AI250" s="185"/>
      <c r="AJ250" s="185"/>
      <c r="AK250" s="185"/>
      <c r="AL250" s="185"/>
      <c r="AM250" s="185"/>
      <c r="AN250" s="185"/>
      <c r="AO250" s="185"/>
      <c r="AP250" s="185"/>
      <c r="AQ250" s="185"/>
      <c r="AR250" s="185"/>
      <c r="AS250" s="185"/>
      <c r="AT250" s="185"/>
      <c r="AU250" s="185"/>
      <c r="AV250" s="185"/>
      <c r="AW250" s="185"/>
      <c r="AX250" s="185"/>
      <c r="AY250" s="185"/>
      <c r="AZ250" s="185"/>
      <c r="BA250" s="185"/>
      <c r="BB250" s="185"/>
      <c r="BC250" s="185"/>
      <c r="BD250" s="185"/>
      <c r="BE250" s="185"/>
      <c r="BF250" s="185"/>
      <c r="BG250" s="185"/>
      <c r="BH250" s="185"/>
      <c r="BI250" s="185"/>
      <c r="BJ250" s="185"/>
      <c r="BK250" s="185"/>
      <c r="BL250" s="185"/>
    </row>
    <row r="251" ht="15.7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233"/>
      <c r="AF251" s="185"/>
      <c r="AG251" s="185"/>
      <c r="AH251" s="185"/>
      <c r="AI251" s="185"/>
      <c r="AJ251" s="185"/>
      <c r="AK251" s="185"/>
      <c r="AL251" s="185"/>
      <c r="AM251" s="185"/>
      <c r="AN251" s="185"/>
      <c r="AO251" s="185"/>
      <c r="AP251" s="185"/>
      <c r="AQ251" s="185"/>
      <c r="AR251" s="185"/>
      <c r="AS251" s="185"/>
      <c r="AT251" s="185"/>
      <c r="AU251" s="185"/>
      <c r="AV251" s="185"/>
      <c r="AW251" s="185"/>
      <c r="AX251" s="185"/>
      <c r="AY251" s="185"/>
      <c r="AZ251" s="185"/>
      <c r="BA251" s="185"/>
      <c r="BB251" s="185"/>
      <c r="BC251" s="185"/>
      <c r="BD251" s="185"/>
      <c r="BE251" s="185"/>
      <c r="BF251" s="185"/>
      <c r="BG251" s="185"/>
      <c r="BH251" s="185"/>
      <c r="BI251" s="185"/>
      <c r="BJ251" s="185"/>
      <c r="BK251" s="185"/>
      <c r="BL251" s="185"/>
    </row>
    <row r="252" ht="15.7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233"/>
      <c r="AF252" s="185"/>
      <c r="AG252" s="185"/>
      <c r="AH252" s="185"/>
      <c r="AI252" s="185"/>
      <c r="AJ252" s="185"/>
      <c r="AK252" s="185"/>
      <c r="AL252" s="185"/>
      <c r="AM252" s="185"/>
      <c r="AN252" s="185"/>
      <c r="AO252" s="185"/>
      <c r="AP252" s="185"/>
      <c r="AQ252" s="185"/>
      <c r="AR252" s="185"/>
      <c r="AS252" s="185"/>
      <c r="AT252" s="185"/>
      <c r="AU252" s="185"/>
      <c r="AV252" s="185"/>
      <c r="AW252" s="185"/>
      <c r="AX252" s="185"/>
      <c r="AY252" s="185"/>
      <c r="AZ252" s="185"/>
      <c r="BA252" s="185"/>
      <c r="BB252" s="185"/>
      <c r="BC252" s="185"/>
      <c r="BD252" s="185"/>
      <c r="BE252" s="185"/>
      <c r="BF252" s="185"/>
      <c r="BG252" s="185"/>
      <c r="BH252" s="185"/>
      <c r="BI252" s="185"/>
      <c r="BJ252" s="185"/>
      <c r="BK252" s="185"/>
      <c r="BL252" s="185"/>
    </row>
    <row r="253" ht="15.7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233"/>
      <c r="AF253" s="185"/>
      <c r="AG253" s="185"/>
      <c r="AH253" s="185"/>
      <c r="AI253" s="185"/>
      <c r="AJ253" s="185"/>
      <c r="AK253" s="185"/>
      <c r="AL253" s="185"/>
      <c r="AM253" s="185"/>
      <c r="AN253" s="185"/>
      <c r="AO253" s="185"/>
      <c r="AP253" s="185"/>
      <c r="AQ253" s="185"/>
      <c r="AR253" s="185"/>
      <c r="AS253" s="185"/>
      <c r="AT253" s="185"/>
      <c r="AU253" s="185"/>
      <c r="AV253" s="185"/>
      <c r="AW253" s="185"/>
      <c r="AX253" s="185"/>
      <c r="AY253" s="185"/>
      <c r="AZ253" s="185"/>
      <c r="BA253" s="185"/>
      <c r="BB253" s="185"/>
      <c r="BC253" s="185"/>
      <c r="BD253" s="185"/>
      <c r="BE253" s="185"/>
      <c r="BF253" s="185"/>
      <c r="BG253" s="185"/>
      <c r="BH253" s="185"/>
      <c r="BI253" s="185"/>
      <c r="BJ253" s="185"/>
      <c r="BK253" s="185"/>
      <c r="BL253" s="185"/>
    </row>
    <row r="254" ht="15.7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233"/>
      <c r="AF254" s="185"/>
      <c r="AG254" s="185"/>
      <c r="AH254" s="185"/>
      <c r="AI254" s="185"/>
      <c r="AJ254" s="185"/>
      <c r="AK254" s="185"/>
      <c r="AL254" s="185"/>
      <c r="AM254" s="185"/>
      <c r="AN254" s="185"/>
      <c r="AO254" s="185"/>
      <c r="AP254" s="185"/>
      <c r="AQ254" s="185"/>
      <c r="AR254" s="185"/>
      <c r="AS254" s="185"/>
      <c r="AT254" s="185"/>
      <c r="AU254" s="185"/>
      <c r="AV254" s="185"/>
      <c r="AW254" s="185"/>
      <c r="AX254" s="185"/>
      <c r="AY254" s="185"/>
      <c r="AZ254" s="185"/>
      <c r="BA254" s="185"/>
      <c r="BB254" s="185"/>
      <c r="BC254" s="185"/>
      <c r="BD254" s="185"/>
      <c r="BE254" s="185"/>
      <c r="BF254" s="185"/>
      <c r="BG254" s="185"/>
      <c r="BH254" s="185"/>
      <c r="BI254" s="185"/>
      <c r="BJ254" s="185"/>
      <c r="BK254" s="185"/>
      <c r="BL254" s="185"/>
    </row>
    <row r="255" ht="15.7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233"/>
      <c r="AF255" s="185"/>
      <c r="AG255" s="185"/>
      <c r="AH255" s="185"/>
      <c r="AI255" s="185"/>
      <c r="AJ255" s="185"/>
      <c r="AK255" s="185"/>
      <c r="AL255" s="185"/>
      <c r="AM255" s="185"/>
      <c r="AN255" s="185"/>
      <c r="AO255" s="185"/>
      <c r="AP255" s="185"/>
      <c r="AQ255" s="185"/>
      <c r="AR255" s="185"/>
      <c r="AS255" s="185"/>
      <c r="AT255" s="185"/>
      <c r="AU255" s="185"/>
      <c r="AV255" s="185"/>
      <c r="AW255" s="185"/>
      <c r="AX255" s="185"/>
      <c r="AY255" s="185"/>
      <c r="AZ255" s="185"/>
      <c r="BA255" s="185"/>
      <c r="BB255" s="185"/>
      <c r="BC255" s="185"/>
      <c r="BD255" s="185"/>
      <c r="BE255" s="185"/>
      <c r="BF255" s="185"/>
      <c r="BG255" s="185"/>
      <c r="BH255" s="185"/>
      <c r="BI255" s="185"/>
      <c r="BJ255" s="185"/>
      <c r="BK255" s="185"/>
      <c r="BL255" s="185"/>
    </row>
    <row r="256" ht="15.7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233"/>
      <c r="AF256" s="185"/>
      <c r="AG256" s="185"/>
      <c r="AH256" s="185"/>
      <c r="AI256" s="185"/>
      <c r="AJ256" s="185"/>
      <c r="AK256" s="185"/>
      <c r="AL256" s="185"/>
      <c r="AM256" s="185"/>
      <c r="AN256" s="185"/>
      <c r="AO256" s="185"/>
      <c r="AP256" s="185"/>
      <c r="AQ256" s="185"/>
      <c r="AR256" s="185"/>
      <c r="AS256" s="185"/>
      <c r="AT256" s="185"/>
      <c r="AU256" s="185"/>
      <c r="AV256" s="185"/>
      <c r="AW256" s="185"/>
      <c r="AX256" s="185"/>
      <c r="AY256" s="185"/>
      <c r="AZ256" s="185"/>
      <c r="BA256" s="185"/>
      <c r="BB256" s="185"/>
      <c r="BC256" s="185"/>
      <c r="BD256" s="185"/>
      <c r="BE256" s="185"/>
      <c r="BF256" s="185"/>
      <c r="BG256" s="185"/>
      <c r="BH256" s="185"/>
      <c r="BI256" s="185"/>
      <c r="BJ256" s="185"/>
      <c r="BK256" s="185"/>
      <c r="BL256" s="185"/>
    </row>
    <row r="257" ht="15.7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233"/>
      <c r="AF257" s="185"/>
      <c r="AG257" s="185"/>
      <c r="AH257" s="185"/>
      <c r="AI257" s="185"/>
      <c r="AJ257" s="185"/>
      <c r="AK257" s="185"/>
      <c r="AL257" s="185"/>
      <c r="AM257" s="185"/>
      <c r="AN257" s="185"/>
      <c r="AO257" s="185"/>
      <c r="AP257" s="185"/>
      <c r="AQ257" s="185"/>
      <c r="AR257" s="185"/>
      <c r="AS257" s="185"/>
      <c r="AT257" s="185"/>
      <c r="AU257" s="185"/>
      <c r="AV257" s="185"/>
      <c r="AW257" s="185"/>
      <c r="AX257" s="185"/>
      <c r="AY257" s="185"/>
      <c r="AZ257" s="185"/>
      <c r="BA257" s="185"/>
      <c r="BB257" s="185"/>
      <c r="BC257" s="185"/>
      <c r="BD257" s="185"/>
      <c r="BE257" s="185"/>
      <c r="BF257" s="185"/>
      <c r="BG257" s="185"/>
      <c r="BH257" s="185"/>
      <c r="BI257" s="185"/>
      <c r="BJ257" s="185"/>
      <c r="BK257" s="185"/>
      <c r="BL257" s="185"/>
    </row>
    <row r="258" ht="15.7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233"/>
      <c r="AF258" s="185"/>
      <c r="AG258" s="185"/>
      <c r="AH258" s="185"/>
      <c r="AI258" s="185"/>
      <c r="AJ258" s="185"/>
      <c r="AK258" s="185"/>
      <c r="AL258" s="185"/>
      <c r="AM258" s="185"/>
      <c r="AN258" s="185"/>
      <c r="AO258" s="185"/>
      <c r="AP258" s="185"/>
      <c r="AQ258" s="185"/>
      <c r="AR258" s="185"/>
      <c r="AS258" s="185"/>
      <c r="AT258" s="185"/>
      <c r="AU258" s="185"/>
      <c r="AV258" s="185"/>
      <c r="AW258" s="185"/>
      <c r="AX258" s="185"/>
      <c r="AY258" s="185"/>
      <c r="AZ258" s="185"/>
      <c r="BA258" s="185"/>
      <c r="BB258" s="185"/>
      <c r="BC258" s="185"/>
      <c r="BD258" s="185"/>
      <c r="BE258" s="185"/>
      <c r="BF258" s="185"/>
      <c r="BG258" s="185"/>
      <c r="BH258" s="185"/>
      <c r="BI258" s="185"/>
      <c r="BJ258" s="185"/>
      <c r="BK258" s="185"/>
      <c r="BL258" s="185"/>
    </row>
    <row r="259" ht="15.7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233"/>
      <c r="AF259" s="185"/>
      <c r="AG259" s="185"/>
      <c r="AH259" s="185"/>
      <c r="AI259" s="185"/>
      <c r="AJ259" s="185"/>
      <c r="AK259" s="185"/>
      <c r="AL259" s="185"/>
      <c r="AM259" s="185"/>
      <c r="AN259" s="185"/>
      <c r="AO259" s="185"/>
      <c r="AP259" s="185"/>
      <c r="AQ259" s="185"/>
      <c r="AR259" s="185"/>
      <c r="AS259" s="185"/>
      <c r="AT259" s="185"/>
      <c r="AU259" s="185"/>
      <c r="AV259" s="185"/>
      <c r="AW259" s="185"/>
      <c r="AX259" s="185"/>
      <c r="AY259" s="185"/>
      <c r="AZ259" s="185"/>
      <c r="BA259" s="185"/>
      <c r="BB259" s="185"/>
      <c r="BC259" s="185"/>
      <c r="BD259" s="185"/>
      <c r="BE259" s="185"/>
      <c r="BF259" s="185"/>
      <c r="BG259" s="185"/>
      <c r="BH259" s="185"/>
      <c r="BI259" s="185"/>
      <c r="BJ259" s="185"/>
      <c r="BK259" s="185"/>
      <c r="BL259" s="185"/>
    </row>
    <row r="260" ht="15.7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233"/>
      <c r="AF260" s="185"/>
      <c r="AG260" s="185"/>
      <c r="AH260" s="185"/>
      <c r="AI260" s="185"/>
      <c r="AJ260" s="185"/>
      <c r="AK260" s="185"/>
      <c r="AL260" s="185"/>
      <c r="AM260" s="185"/>
      <c r="AN260" s="185"/>
      <c r="AO260" s="185"/>
      <c r="AP260" s="185"/>
      <c r="AQ260" s="185"/>
      <c r="AR260" s="185"/>
      <c r="AS260" s="185"/>
      <c r="AT260" s="185"/>
      <c r="AU260" s="185"/>
      <c r="AV260" s="185"/>
      <c r="AW260" s="185"/>
      <c r="AX260" s="185"/>
      <c r="AY260" s="185"/>
      <c r="AZ260" s="185"/>
      <c r="BA260" s="185"/>
      <c r="BB260" s="185"/>
      <c r="BC260" s="185"/>
      <c r="BD260" s="185"/>
      <c r="BE260" s="185"/>
      <c r="BF260" s="185"/>
      <c r="BG260" s="185"/>
      <c r="BH260" s="185"/>
      <c r="BI260" s="185"/>
      <c r="BJ260" s="185"/>
      <c r="BK260" s="185"/>
      <c r="BL260" s="185"/>
    </row>
    <row r="261" ht="15.7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233"/>
      <c r="AF261" s="185"/>
      <c r="AG261" s="185"/>
      <c r="AH261" s="185"/>
      <c r="AI261" s="185"/>
      <c r="AJ261" s="185"/>
      <c r="AK261" s="185"/>
      <c r="AL261" s="185"/>
      <c r="AM261" s="185"/>
      <c r="AN261" s="185"/>
      <c r="AO261" s="185"/>
      <c r="AP261" s="185"/>
      <c r="AQ261" s="185"/>
      <c r="AR261" s="185"/>
      <c r="AS261" s="185"/>
      <c r="AT261" s="185"/>
      <c r="AU261" s="185"/>
      <c r="AV261" s="185"/>
      <c r="AW261" s="185"/>
      <c r="AX261" s="185"/>
      <c r="AY261" s="185"/>
      <c r="AZ261" s="185"/>
      <c r="BA261" s="185"/>
      <c r="BB261" s="185"/>
      <c r="BC261" s="185"/>
      <c r="BD261" s="185"/>
      <c r="BE261" s="185"/>
      <c r="BF261" s="185"/>
      <c r="BG261" s="185"/>
      <c r="BH261" s="185"/>
      <c r="BI261" s="185"/>
      <c r="BJ261" s="185"/>
      <c r="BK261" s="185"/>
      <c r="BL261" s="185"/>
    </row>
    <row r="262" ht="15.7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233"/>
      <c r="AF262" s="185"/>
      <c r="AG262" s="185"/>
      <c r="AH262" s="185"/>
      <c r="AI262" s="185"/>
      <c r="AJ262" s="185"/>
      <c r="AK262" s="185"/>
      <c r="AL262" s="185"/>
      <c r="AM262" s="185"/>
      <c r="AN262" s="185"/>
      <c r="AO262" s="185"/>
      <c r="AP262" s="185"/>
      <c r="AQ262" s="185"/>
      <c r="AR262" s="185"/>
      <c r="AS262" s="185"/>
      <c r="AT262" s="185"/>
      <c r="AU262" s="185"/>
      <c r="AV262" s="185"/>
      <c r="AW262" s="185"/>
      <c r="AX262" s="185"/>
      <c r="AY262" s="185"/>
      <c r="AZ262" s="185"/>
      <c r="BA262" s="185"/>
      <c r="BB262" s="185"/>
      <c r="BC262" s="185"/>
      <c r="BD262" s="185"/>
      <c r="BE262" s="185"/>
      <c r="BF262" s="185"/>
      <c r="BG262" s="185"/>
      <c r="BH262" s="185"/>
      <c r="BI262" s="185"/>
      <c r="BJ262" s="185"/>
      <c r="BK262" s="185"/>
      <c r="BL262" s="185"/>
    </row>
    <row r="263" ht="15.7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233"/>
      <c r="AF263" s="185"/>
      <c r="AG263" s="185"/>
      <c r="AH263" s="185"/>
      <c r="AI263" s="185"/>
      <c r="AJ263" s="185"/>
      <c r="AK263" s="185"/>
      <c r="AL263" s="185"/>
      <c r="AM263" s="185"/>
      <c r="AN263" s="185"/>
      <c r="AO263" s="185"/>
      <c r="AP263" s="185"/>
      <c r="AQ263" s="185"/>
      <c r="AR263" s="185"/>
      <c r="AS263" s="185"/>
      <c r="AT263" s="185"/>
      <c r="AU263" s="185"/>
      <c r="AV263" s="185"/>
      <c r="AW263" s="185"/>
      <c r="AX263" s="185"/>
      <c r="AY263" s="185"/>
      <c r="AZ263" s="185"/>
      <c r="BA263" s="185"/>
      <c r="BB263" s="185"/>
      <c r="BC263" s="185"/>
      <c r="BD263" s="185"/>
      <c r="BE263" s="185"/>
      <c r="BF263" s="185"/>
      <c r="BG263" s="185"/>
      <c r="BH263" s="185"/>
      <c r="BI263" s="185"/>
      <c r="BJ263" s="185"/>
      <c r="BK263" s="185"/>
      <c r="BL263" s="185"/>
    </row>
    <row r="264" ht="15.7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233"/>
      <c r="AF264" s="185"/>
      <c r="AG264" s="185"/>
      <c r="AH264" s="185"/>
      <c r="AI264" s="185"/>
      <c r="AJ264" s="185"/>
      <c r="AK264" s="185"/>
      <c r="AL264" s="185"/>
      <c r="AM264" s="185"/>
      <c r="AN264" s="185"/>
      <c r="AO264" s="185"/>
      <c r="AP264" s="185"/>
      <c r="AQ264" s="185"/>
      <c r="AR264" s="185"/>
      <c r="AS264" s="185"/>
      <c r="AT264" s="185"/>
      <c r="AU264" s="185"/>
      <c r="AV264" s="185"/>
      <c r="AW264" s="185"/>
      <c r="AX264" s="185"/>
      <c r="AY264" s="185"/>
      <c r="AZ264" s="185"/>
      <c r="BA264" s="185"/>
      <c r="BB264" s="185"/>
      <c r="BC264" s="185"/>
      <c r="BD264" s="185"/>
      <c r="BE264" s="185"/>
      <c r="BF264" s="185"/>
      <c r="BG264" s="185"/>
      <c r="BH264" s="185"/>
      <c r="BI264" s="185"/>
      <c r="BJ264" s="185"/>
      <c r="BK264" s="185"/>
      <c r="BL264" s="185"/>
    </row>
    <row r="265" ht="15.7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233"/>
      <c r="AF265" s="185"/>
      <c r="AG265" s="185"/>
      <c r="AH265" s="185"/>
      <c r="AI265" s="185"/>
      <c r="AJ265" s="185"/>
      <c r="AK265" s="185"/>
      <c r="AL265" s="185"/>
      <c r="AM265" s="185"/>
      <c r="AN265" s="185"/>
      <c r="AO265" s="185"/>
      <c r="AP265" s="185"/>
      <c r="AQ265" s="185"/>
      <c r="AR265" s="185"/>
      <c r="AS265" s="185"/>
      <c r="AT265" s="185"/>
      <c r="AU265" s="185"/>
      <c r="AV265" s="185"/>
      <c r="AW265" s="185"/>
      <c r="AX265" s="185"/>
      <c r="AY265" s="185"/>
      <c r="AZ265" s="185"/>
      <c r="BA265" s="185"/>
      <c r="BB265" s="185"/>
      <c r="BC265" s="185"/>
      <c r="BD265" s="185"/>
      <c r="BE265" s="185"/>
      <c r="BF265" s="185"/>
      <c r="BG265" s="185"/>
      <c r="BH265" s="185"/>
      <c r="BI265" s="185"/>
      <c r="BJ265" s="185"/>
      <c r="BK265" s="185"/>
      <c r="BL265" s="185"/>
    </row>
    <row r="266" ht="15.7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233"/>
      <c r="AF266" s="185"/>
      <c r="AG266" s="185"/>
      <c r="AH266" s="185"/>
      <c r="AI266" s="185"/>
      <c r="AJ266" s="185"/>
      <c r="AK266" s="185"/>
      <c r="AL266" s="185"/>
      <c r="AM266" s="185"/>
      <c r="AN266" s="185"/>
      <c r="AO266" s="185"/>
      <c r="AP266" s="185"/>
      <c r="AQ266" s="185"/>
      <c r="AR266" s="185"/>
      <c r="AS266" s="185"/>
      <c r="AT266" s="185"/>
      <c r="AU266" s="185"/>
      <c r="AV266" s="185"/>
      <c r="AW266" s="185"/>
      <c r="AX266" s="185"/>
      <c r="AY266" s="185"/>
      <c r="AZ266" s="185"/>
      <c r="BA266" s="185"/>
      <c r="BB266" s="185"/>
      <c r="BC266" s="185"/>
      <c r="BD266" s="185"/>
      <c r="BE266" s="185"/>
      <c r="BF266" s="185"/>
      <c r="BG266" s="185"/>
      <c r="BH266" s="185"/>
      <c r="BI266" s="185"/>
      <c r="BJ266" s="185"/>
      <c r="BK266" s="185"/>
      <c r="BL266" s="185"/>
    </row>
    <row r="267" ht="15.7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233"/>
      <c r="AF267" s="185"/>
      <c r="AG267" s="185"/>
      <c r="AH267" s="185"/>
      <c r="AI267" s="185"/>
      <c r="AJ267" s="185"/>
      <c r="AK267" s="185"/>
      <c r="AL267" s="185"/>
      <c r="AM267" s="185"/>
      <c r="AN267" s="185"/>
      <c r="AO267" s="185"/>
      <c r="AP267" s="185"/>
      <c r="AQ267" s="185"/>
      <c r="AR267" s="185"/>
      <c r="AS267" s="185"/>
      <c r="AT267" s="185"/>
      <c r="AU267" s="185"/>
      <c r="AV267" s="185"/>
      <c r="AW267" s="185"/>
      <c r="AX267" s="185"/>
      <c r="AY267" s="185"/>
      <c r="AZ267" s="185"/>
      <c r="BA267" s="185"/>
      <c r="BB267" s="185"/>
      <c r="BC267" s="185"/>
      <c r="BD267" s="185"/>
      <c r="BE267" s="185"/>
      <c r="BF267" s="185"/>
      <c r="BG267" s="185"/>
      <c r="BH267" s="185"/>
      <c r="BI267" s="185"/>
      <c r="BJ267" s="185"/>
      <c r="BK267" s="185"/>
      <c r="BL267" s="185"/>
    </row>
    <row r="268" ht="15.7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233"/>
      <c r="AF268" s="185"/>
      <c r="AG268" s="185"/>
      <c r="AH268" s="185"/>
      <c r="AI268" s="185"/>
      <c r="AJ268" s="185"/>
      <c r="AK268" s="185"/>
      <c r="AL268" s="185"/>
      <c r="AM268" s="185"/>
      <c r="AN268" s="185"/>
      <c r="AO268" s="185"/>
      <c r="AP268" s="185"/>
      <c r="AQ268" s="185"/>
      <c r="AR268" s="185"/>
      <c r="AS268" s="185"/>
      <c r="AT268" s="185"/>
      <c r="AU268" s="185"/>
      <c r="AV268" s="185"/>
      <c r="AW268" s="185"/>
      <c r="AX268" s="185"/>
      <c r="AY268" s="185"/>
      <c r="AZ268" s="185"/>
      <c r="BA268" s="185"/>
      <c r="BB268" s="185"/>
      <c r="BC268" s="185"/>
      <c r="BD268" s="185"/>
      <c r="BE268" s="185"/>
      <c r="BF268" s="185"/>
      <c r="BG268" s="185"/>
      <c r="BH268" s="185"/>
      <c r="BI268" s="185"/>
      <c r="BJ268" s="185"/>
      <c r="BK268" s="185"/>
      <c r="BL268" s="185"/>
    </row>
    <row r="269" ht="15.7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233"/>
      <c r="AF269" s="185"/>
      <c r="AG269" s="185"/>
      <c r="AH269" s="185"/>
      <c r="AI269" s="185"/>
      <c r="AJ269" s="185"/>
      <c r="AK269" s="185"/>
      <c r="AL269" s="185"/>
      <c r="AM269" s="185"/>
      <c r="AN269" s="185"/>
      <c r="AO269" s="185"/>
      <c r="AP269" s="185"/>
      <c r="AQ269" s="185"/>
      <c r="AR269" s="185"/>
      <c r="AS269" s="185"/>
      <c r="AT269" s="185"/>
      <c r="AU269" s="185"/>
      <c r="AV269" s="185"/>
      <c r="AW269" s="185"/>
      <c r="AX269" s="185"/>
      <c r="AY269" s="185"/>
      <c r="AZ269" s="185"/>
      <c r="BA269" s="185"/>
      <c r="BB269" s="185"/>
      <c r="BC269" s="185"/>
      <c r="BD269" s="185"/>
      <c r="BE269" s="185"/>
      <c r="BF269" s="185"/>
      <c r="BG269" s="185"/>
      <c r="BH269" s="185"/>
      <c r="BI269" s="185"/>
      <c r="BJ269" s="185"/>
      <c r="BK269" s="185"/>
      <c r="BL269" s="18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 ht="15.75" customHeight="1">
      <c r="A1" s="43" t="s">
        <v>0</v>
      </c>
      <c r="B1" s="203"/>
      <c r="C1" s="203"/>
      <c r="D1" s="43" t="s">
        <v>7</v>
      </c>
      <c r="E1" s="43" t="s">
        <v>8</v>
      </c>
      <c r="F1" s="43" t="s">
        <v>9</v>
      </c>
      <c r="G1" s="43" t="s">
        <v>10</v>
      </c>
      <c r="H1" s="43" t="s">
        <v>11</v>
      </c>
      <c r="I1" s="43" t="s">
        <v>12</v>
      </c>
      <c r="J1" s="43" t="s">
        <v>13</v>
      </c>
      <c r="K1" s="43" t="s">
        <v>63</v>
      </c>
      <c r="L1" s="43" t="s">
        <v>64</v>
      </c>
      <c r="M1" s="43" t="s">
        <v>65</v>
      </c>
      <c r="N1" s="43" t="s">
        <v>66</v>
      </c>
      <c r="O1" s="43" t="s">
        <v>67</v>
      </c>
      <c r="P1" s="43" t="s">
        <v>68</v>
      </c>
      <c r="Q1" s="43" t="s">
        <v>69</v>
      </c>
      <c r="R1" s="43" t="s">
        <v>70</v>
      </c>
      <c r="S1" s="43" t="str">
        <f t="array" ref="S1:AD1">transpose(A22:A33)</f>
        <v>Q1 26</v>
      </c>
      <c r="T1" s="43" t="s">
        <v>72</v>
      </c>
      <c r="U1" s="43" t="s">
        <v>73</v>
      </c>
      <c r="V1" s="43" t="s">
        <v>74</v>
      </c>
      <c r="W1" s="43" t="s">
        <v>75</v>
      </c>
      <c r="X1" s="43" t="s">
        <v>76</v>
      </c>
      <c r="Y1" s="43" t="s">
        <v>77</v>
      </c>
      <c r="Z1" s="43" t="s">
        <v>78</v>
      </c>
      <c r="AA1" s="43" t="s">
        <v>79</v>
      </c>
      <c r="AB1" s="43" t="s">
        <v>80</v>
      </c>
      <c r="AC1" s="43" t="s">
        <v>81</v>
      </c>
      <c r="AD1" s="43" t="s">
        <v>82</v>
      </c>
      <c r="AE1" s="204"/>
      <c r="AF1" s="43" t="s">
        <v>14</v>
      </c>
      <c r="AG1" s="43" t="s">
        <v>2</v>
      </c>
      <c r="AH1" s="43" t="s">
        <v>3</v>
      </c>
      <c r="AI1" s="43" t="s">
        <v>4</v>
      </c>
      <c r="AJ1" s="43" t="s">
        <v>5</v>
      </c>
      <c r="AK1" s="43" t="s">
        <v>6</v>
      </c>
      <c r="AL1" s="43" t="s">
        <v>7</v>
      </c>
      <c r="AM1" s="43" t="s">
        <v>8</v>
      </c>
      <c r="AN1" s="43" t="s">
        <v>9</v>
      </c>
      <c r="AO1" s="43" t="s">
        <v>10</v>
      </c>
      <c r="AP1" s="43" t="s">
        <v>11</v>
      </c>
      <c r="AQ1" s="43" t="s">
        <v>12</v>
      </c>
      <c r="AR1" s="43" t="s">
        <v>13</v>
      </c>
      <c r="AS1" s="43" t="s">
        <v>63</v>
      </c>
      <c r="AT1" s="43" t="s">
        <v>64</v>
      </c>
      <c r="AU1" s="43" t="s">
        <v>65</v>
      </c>
      <c r="AV1" s="43" t="s">
        <v>66</v>
      </c>
      <c r="AW1" s="43" t="s">
        <v>67</v>
      </c>
      <c r="AX1" s="43" t="s">
        <v>68</v>
      </c>
      <c r="AY1" s="43" t="s">
        <v>69</v>
      </c>
      <c r="AZ1" s="43" t="s">
        <v>70</v>
      </c>
      <c r="BA1" s="43" t="str">
        <f t="array" ref="BA1:BL1">transpose(A22:A33)</f>
        <v>Q1 26</v>
      </c>
      <c r="BB1" s="43" t="s">
        <v>72</v>
      </c>
      <c r="BC1" s="43" t="s">
        <v>73</v>
      </c>
      <c r="BD1" s="43" t="s">
        <v>74</v>
      </c>
      <c r="BE1" s="43" t="s">
        <v>75</v>
      </c>
      <c r="BF1" s="43" t="s">
        <v>76</v>
      </c>
      <c r="BG1" s="43" t="s">
        <v>77</v>
      </c>
      <c r="BH1" s="43" t="s">
        <v>78</v>
      </c>
      <c r="BI1" s="43" t="s">
        <v>79</v>
      </c>
      <c r="BJ1" s="43" t="s">
        <v>80</v>
      </c>
      <c r="BK1" s="43" t="s">
        <v>81</v>
      </c>
      <c r="BL1" s="43" t="s">
        <v>82</v>
      </c>
    </row>
    <row r="2" ht="15.75" customHeight="1">
      <c r="A2" s="43" t="s">
        <v>2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4"/>
      <c r="AF2" s="205"/>
      <c r="AG2" s="206">
        <v>0.14</v>
      </c>
      <c r="AH2" s="206">
        <v>0.33</v>
      </c>
      <c r="AI2" s="206">
        <v>0.25</v>
      </c>
      <c r="AJ2" s="206">
        <v>0.15</v>
      </c>
      <c r="AK2" s="206">
        <v>0.07</v>
      </c>
      <c r="AL2" s="206">
        <v>0.04</v>
      </c>
      <c r="AM2" s="206">
        <v>0.02</v>
      </c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</row>
    <row r="3" ht="15.75" customHeight="1">
      <c r="A3" s="43" t="s">
        <v>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4"/>
      <c r="AF3" s="205"/>
      <c r="AG3" s="205"/>
      <c r="AH3" s="206">
        <v>0.14</v>
      </c>
      <c r="AI3" s="206">
        <v>0.33</v>
      </c>
      <c r="AJ3" s="206">
        <v>0.25</v>
      </c>
      <c r="AK3" s="206">
        <v>0.15</v>
      </c>
      <c r="AL3" s="206">
        <v>0.07</v>
      </c>
      <c r="AM3" s="206">
        <v>0.04</v>
      </c>
      <c r="AN3" s="206">
        <v>0.02</v>
      </c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</row>
    <row r="4" ht="15.75" customHeight="1">
      <c r="A4" s="43" t="s">
        <v>4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4"/>
      <c r="AF4" s="205"/>
      <c r="AG4" s="205"/>
      <c r="AH4" s="205"/>
      <c r="AI4" s="206">
        <v>0.14</v>
      </c>
      <c r="AJ4" s="206">
        <v>0.33</v>
      </c>
      <c r="AK4" s="206">
        <v>0.25</v>
      </c>
      <c r="AL4" s="206">
        <v>0.15</v>
      </c>
      <c r="AM4" s="206">
        <v>0.07</v>
      </c>
      <c r="AN4" s="206">
        <v>0.04</v>
      </c>
      <c r="AO4" s="206">
        <v>0.02</v>
      </c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</row>
    <row r="5" ht="15.75" customHeight="1">
      <c r="A5" s="43" t="s">
        <v>5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4"/>
      <c r="AF5" s="205"/>
      <c r="AG5" s="205"/>
      <c r="AH5" s="205"/>
      <c r="AI5" s="205"/>
      <c r="AJ5" s="206">
        <v>0.14</v>
      </c>
      <c r="AK5" s="206">
        <v>0.33</v>
      </c>
      <c r="AL5" s="206">
        <v>0.25</v>
      </c>
      <c r="AM5" s="206">
        <v>0.15</v>
      </c>
      <c r="AN5" s="206">
        <v>0.07</v>
      </c>
      <c r="AO5" s="206">
        <v>0.04</v>
      </c>
      <c r="AP5" s="206">
        <v>0.02</v>
      </c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</row>
    <row r="6" ht="15.75" customHeight="1">
      <c r="A6" s="43" t="s">
        <v>6</v>
      </c>
      <c r="B6" s="205"/>
      <c r="C6" s="205"/>
      <c r="D6" s="206">
        <v>0.1</v>
      </c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8"/>
      <c r="AF6" s="207"/>
      <c r="AG6" s="207"/>
      <c r="AH6" s="207"/>
      <c r="AI6" s="207"/>
      <c r="AJ6" s="207"/>
      <c r="AK6" s="206">
        <v>0.14</v>
      </c>
      <c r="AL6" s="206">
        <v>0.33</v>
      </c>
      <c r="AM6" s="206">
        <v>0.25</v>
      </c>
      <c r="AN6" s="206">
        <v>0.15</v>
      </c>
      <c r="AO6" s="206">
        <v>0.07</v>
      </c>
      <c r="AP6" s="206">
        <v>0.04</v>
      </c>
      <c r="AQ6" s="206">
        <v>0.02</v>
      </c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</row>
    <row r="7" ht="15.75" customHeight="1">
      <c r="A7" s="43" t="s">
        <v>7</v>
      </c>
      <c r="B7" s="205"/>
      <c r="C7" s="205"/>
      <c r="D7" s="206">
        <f>227/255</f>
        <v>0.8901960784</v>
      </c>
      <c r="E7" s="206">
        <v>0.1</v>
      </c>
      <c r="F7" s="206">
        <v>0.01</v>
      </c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8"/>
      <c r="AF7" s="207"/>
      <c r="AG7" s="207"/>
      <c r="AH7" s="207"/>
      <c r="AI7" s="207"/>
      <c r="AJ7" s="207"/>
      <c r="AK7" s="207"/>
      <c r="AL7" s="206">
        <v>0.14</v>
      </c>
      <c r="AM7" s="206">
        <v>0.33</v>
      </c>
      <c r="AN7" s="206">
        <v>0.25</v>
      </c>
      <c r="AO7" s="206">
        <v>0.15</v>
      </c>
      <c r="AP7" s="206">
        <v>0.07</v>
      </c>
      <c r="AQ7" s="206">
        <v>0.04</v>
      </c>
      <c r="AR7" s="206">
        <v>0.02</v>
      </c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</row>
    <row r="8" ht="15.75" customHeight="1">
      <c r="A8" s="43" t="s">
        <v>8</v>
      </c>
      <c r="B8" s="205"/>
      <c r="C8" s="205"/>
      <c r="D8" s="207"/>
      <c r="E8" s="206">
        <f>227/255</f>
        <v>0.8901960784</v>
      </c>
      <c r="F8" s="206">
        <v>0.1</v>
      </c>
      <c r="G8" s="206">
        <v>0.01</v>
      </c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8"/>
      <c r="AF8" s="207"/>
      <c r="AG8" s="207"/>
      <c r="AH8" s="207"/>
      <c r="AI8" s="207"/>
      <c r="AJ8" s="207"/>
      <c r="AK8" s="207"/>
      <c r="AL8" s="207"/>
      <c r="AM8" s="206">
        <v>0.14</v>
      </c>
      <c r="AN8" s="206">
        <v>0.33</v>
      </c>
      <c r="AO8" s="206">
        <v>0.25</v>
      </c>
      <c r="AP8" s="206">
        <v>0.15</v>
      </c>
      <c r="AQ8" s="206">
        <v>0.07</v>
      </c>
      <c r="AR8" s="206">
        <v>0.04</v>
      </c>
      <c r="AS8" s="206">
        <v>0.02</v>
      </c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</row>
    <row r="9" ht="15.75" customHeight="1">
      <c r="A9" s="43" t="s">
        <v>9</v>
      </c>
      <c r="B9" s="205"/>
      <c r="C9" s="205"/>
      <c r="D9" s="207"/>
      <c r="E9" s="207"/>
      <c r="F9" s="206">
        <f>227/255</f>
        <v>0.8901960784</v>
      </c>
      <c r="G9" s="206">
        <v>0.1</v>
      </c>
      <c r="H9" s="206">
        <v>0.01</v>
      </c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8"/>
      <c r="AF9" s="207"/>
      <c r="AG9" s="207"/>
      <c r="AH9" s="207"/>
      <c r="AI9" s="207"/>
      <c r="AJ9" s="207"/>
      <c r="AK9" s="207"/>
      <c r="AL9" s="207"/>
      <c r="AM9" s="207"/>
      <c r="AN9" s="206">
        <v>0.14</v>
      </c>
      <c r="AO9" s="206">
        <v>0.33</v>
      </c>
      <c r="AP9" s="206">
        <v>0.25</v>
      </c>
      <c r="AQ9" s="206">
        <v>0.15</v>
      </c>
      <c r="AR9" s="206">
        <v>0.07</v>
      </c>
      <c r="AS9" s="206">
        <v>0.04</v>
      </c>
      <c r="AT9" s="206">
        <v>0.02</v>
      </c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</row>
    <row r="10" ht="15.75" customHeight="1">
      <c r="A10" s="43" t="s">
        <v>10</v>
      </c>
      <c r="B10" s="205"/>
      <c r="C10" s="205"/>
      <c r="D10" s="207"/>
      <c r="E10" s="207"/>
      <c r="F10" s="207"/>
      <c r="G10" s="206">
        <f>227/255</f>
        <v>0.8901960784</v>
      </c>
      <c r="H10" s="206">
        <v>0.1</v>
      </c>
      <c r="I10" s="206">
        <v>0.01</v>
      </c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8"/>
      <c r="AF10" s="207"/>
      <c r="AG10" s="207"/>
      <c r="AH10" s="207"/>
      <c r="AI10" s="207"/>
      <c r="AJ10" s="207"/>
      <c r="AK10" s="207"/>
      <c r="AL10" s="207"/>
      <c r="AM10" s="207"/>
      <c r="AN10" s="207"/>
      <c r="AO10" s="206">
        <v>0.14</v>
      </c>
      <c r="AP10" s="206">
        <v>0.33</v>
      </c>
      <c r="AQ10" s="206">
        <v>0.25</v>
      </c>
      <c r="AR10" s="206">
        <v>0.15</v>
      </c>
      <c r="AS10" s="206">
        <v>0.07</v>
      </c>
      <c r="AT10" s="206">
        <v>0.04</v>
      </c>
      <c r="AU10" s="206">
        <v>0.02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</row>
    <row r="11" ht="15.75" customHeight="1">
      <c r="A11" s="43" t="s">
        <v>11</v>
      </c>
      <c r="B11" s="205"/>
      <c r="C11" s="205"/>
      <c r="D11" s="207"/>
      <c r="E11" s="207"/>
      <c r="F11" s="207"/>
      <c r="G11" s="207"/>
      <c r="H11" s="206">
        <f>227/255</f>
        <v>0.8901960784</v>
      </c>
      <c r="I11" s="206">
        <v>0.1</v>
      </c>
      <c r="J11" s="206">
        <v>0.01</v>
      </c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8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6">
        <v>0.14</v>
      </c>
      <c r="AQ11" s="206">
        <v>0.33</v>
      </c>
      <c r="AR11" s="206">
        <v>0.25</v>
      </c>
      <c r="AS11" s="206">
        <v>0.15</v>
      </c>
      <c r="AT11" s="206">
        <v>0.07</v>
      </c>
      <c r="AU11" s="206">
        <v>0.04</v>
      </c>
      <c r="AV11" s="206">
        <v>0.02</v>
      </c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</row>
    <row r="12" ht="15.75" customHeight="1">
      <c r="A12" s="43" t="s">
        <v>12</v>
      </c>
      <c r="B12" s="205"/>
      <c r="C12" s="205"/>
      <c r="D12" s="207"/>
      <c r="E12" s="207"/>
      <c r="F12" s="207"/>
      <c r="G12" s="207"/>
      <c r="H12" s="207"/>
      <c r="I12" s="206">
        <f>227/255</f>
        <v>0.8901960784</v>
      </c>
      <c r="J12" s="206">
        <v>0.1</v>
      </c>
      <c r="K12" s="206">
        <v>0.01</v>
      </c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8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>
        <v>0.14</v>
      </c>
      <c r="AR12" s="206">
        <v>0.33</v>
      </c>
      <c r="AS12" s="206">
        <v>0.25</v>
      </c>
      <c r="AT12" s="206">
        <v>0.15</v>
      </c>
      <c r="AU12" s="206">
        <v>0.07</v>
      </c>
      <c r="AV12" s="206">
        <v>0.04</v>
      </c>
      <c r="AW12" s="206">
        <v>0.02</v>
      </c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</row>
    <row r="13" ht="15.75" customHeight="1">
      <c r="A13" s="43" t="s">
        <v>13</v>
      </c>
      <c r="B13" s="205"/>
      <c r="C13" s="205"/>
      <c r="D13" s="207"/>
      <c r="E13" s="207"/>
      <c r="F13" s="207"/>
      <c r="G13" s="207"/>
      <c r="H13" s="207"/>
      <c r="I13" s="207"/>
      <c r="J13" s="206">
        <f>227/255</f>
        <v>0.8901960784</v>
      </c>
      <c r="K13" s="206">
        <v>0.1</v>
      </c>
      <c r="L13" s="206">
        <v>0.01</v>
      </c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8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6">
        <v>0.14</v>
      </c>
      <c r="AS13" s="206">
        <v>0.33</v>
      </c>
      <c r="AT13" s="206">
        <v>0.25</v>
      </c>
      <c r="AU13" s="206">
        <v>0.15</v>
      </c>
      <c r="AV13" s="206">
        <v>0.07</v>
      </c>
      <c r="AW13" s="206">
        <v>0.04</v>
      </c>
      <c r="AX13" s="206">
        <v>0.02</v>
      </c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</row>
    <row r="14" ht="15.75" customHeight="1">
      <c r="A14" s="43" t="s">
        <v>63</v>
      </c>
      <c r="B14" s="205"/>
      <c r="C14" s="205"/>
      <c r="D14" s="207"/>
      <c r="E14" s="207"/>
      <c r="F14" s="207"/>
      <c r="G14" s="207"/>
      <c r="H14" s="207"/>
      <c r="I14" s="207"/>
      <c r="J14" s="207"/>
      <c r="K14" s="206">
        <f>227/255</f>
        <v>0.8901960784</v>
      </c>
      <c r="L14" s="206">
        <v>0.1</v>
      </c>
      <c r="M14" s="206">
        <v>0.01</v>
      </c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8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6">
        <v>0.14</v>
      </c>
      <c r="AT14" s="206">
        <v>0.33</v>
      </c>
      <c r="AU14" s="206">
        <v>0.25</v>
      </c>
      <c r="AV14" s="206">
        <v>0.15</v>
      </c>
      <c r="AW14" s="206">
        <v>0.07</v>
      </c>
      <c r="AX14" s="206">
        <v>0.04</v>
      </c>
      <c r="AY14" s="206">
        <v>0.02</v>
      </c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</row>
    <row r="15" ht="15.75" customHeight="1">
      <c r="A15" s="43" t="s">
        <v>64</v>
      </c>
      <c r="B15" s="205"/>
      <c r="C15" s="205"/>
      <c r="D15" s="207"/>
      <c r="E15" s="207"/>
      <c r="F15" s="207"/>
      <c r="G15" s="207"/>
      <c r="H15" s="207"/>
      <c r="I15" s="207"/>
      <c r="J15" s="207"/>
      <c r="K15" s="207"/>
      <c r="L15" s="206">
        <f>227/255</f>
        <v>0.8901960784</v>
      </c>
      <c r="M15" s="206">
        <v>0.1</v>
      </c>
      <c r="N15" s="206">
        <v>0.01</v>
      </c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8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6">
        <v>0.14</v>
      </c>
      <c r="AU15" s="206">
        <v>0.33</v>
      </c>
      <c r="AV15" s="206">
        <v>0.25</v>
      </c>
      <c r="AW15" s="206">
        <v>0.15</v>
      </c>
      <c r="AX15" s="206">
        <v>0.07</v>
      </c>
      <c r="AY15" s="206">
        <v>0.04</v>
      </c>
      <c r="AZ15" s="206">
        <v>0.02</v>
      </c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</row>
    <row r="16" ht="15.75" customHeight="1">
      <c r="A16" s="43" t="s">
        <v>65</v>
      </c>
      <c r="B16" s="205"/>
      <c r="C16" s="205"/>
      <c r="D16" s="207"/>
      <c r="E16" s="207"/>
      <c r="F16" s="207"/>
      <c r="G16" s="207"/>
      <c r="H16" s="207"/>
      <c r="I16" s="207"/>
      <c r="J16" s="207"/>
      <c r="K16" s="207"/>
      <c r="L16" s="207"/>
      <c r="M16" s="206">
        <f>227/255</f>
        <v>0.8901960784</v>
      </c>
      <c r="N16" s="206">
        <v>0.1</v>
      </c>
      <c r="O16" s="206">
        <v>0.01</v>
      </c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8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6">
        <v>0.14</v>
      </c>
      <c r="AV16" s="206">
        <v>0.33</v>
      </c>
      <c r="AW16" s="206">
        <v>0.25</v>
      </c>
      <c r="AX16" s="206">
        <v>0.15</v>
      </c>
      <c r="AY16" s="206">
        <v>0.07</v>
      </c>
      <c r="AZ16" s="206">
        <v>0.04</v>
      </c>
      <c r="BA16" s="206">
        <v>0.02</v>
      </c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</row>
    <row r="17" ht="15.75" customHeight="1">
      <c r="A17" s="43" t="s">
        <v>66</v>
      </c>
      <c r="B17" s="205"/>
      <c r="C17" s="205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6">
        <v>0.89</v>
      </c>
      <c r="O17" s="206">
        <v>0.1</v>
      </c>
      <c r="P17" s="206">
        <v>0.01</v>
      </c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8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6">
        <v>0.14</v>
      </c>
      <c r="AW17" s="206">
        <v>0.33</v>
      </c>
      <c r="AX17" s="206">
        <v>0.25</v>
      </c>
      <c r="AY17" s="206">
        <v>0.15</v>
      </c>
      <c r="AZ17" s="206">
        <v>0.07</v>
      </c>
      <c r="BA17" s="206">
        <v>0.04</v>
      </c>
      <c r="BB17" s="206">
        <v>0.02</v>
      </c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</row>
    <row r="18" ht="15.75" customHeight="1">
      <c r="A18" s="43" t="s">
        <v>67</v>
      </c>
      <c r="B18" s="205"/>
      <c r="C18" s="205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6">
        <v>0.89</v>
      </c>
      <c r="P18" s="206">
        <v>0.1</v>
      </c>
      <c r="Q18" s="206">
        <v>0.01</v>
      </c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8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6">
        <v>0.14</v>
      </c>
      <c r="AX18" s="206">
        <v>0.33</v>
      </c>
      <c r="AY18" s="206">
        <v>0.25</v>
      </c>
      <c r="AZ18" s="206">
        <v>0.15</v>
      </c>
      <c r="BA18" s="206">
        <v>0.07</v>
      </c>
      <c r="BB18" s="206">
        <v>0.04</v>
      </c>
      <c r="BC18" s="206">
        <v>0.02</v>
      </c>
      <c r="BD18" s="207"/>
      <c r="BE18" s="207"/>
      <c r="BF18" s="207"/>
      <c r="BG18" s="207"/>
      <c r="BH18" s="207"/>
      <c r="BI18" s="207"/>
      <c r="BJ18" s="207"/>
      <c r="BK18" s="207"/>
      <c r="BL18" s="207"/>
    </row>
    <row r="19" ht="15.75" customHeight="1">
      <c r="A19" s="43" t="s">
        <v>68</v>
      </c>
      <c r="B19" s="205"/>
      <c r="C19" s="205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6">
        <v>0.89</v>
      </c>
      <c r="Q19" s="206">
        <v>0.1</v>
      </c>
      <c r="R19" s="206">
        <v>0.01</v>
      </c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8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6">
        <v>0.14</v>
      </c>
      <c r="AY19" s="206">
        <v>0.33</v>
      </c>
      <c r="AZ19" s="206">
        <v>0.25</v>
      </c>
      <c r="BA19" s="206">
        <v>0.15</v>
      </c>
      <c r="BB19" s="206">
        <v>0.07</v>
      </c>
      <c r="BC19" s="206">
        <v>0.04</v>
      </c>
      <c r="BD19" s="206">
        <v>0.02</v>
      </c>
      <c r="BE19" s="207"/>
      <c r="BF19" s="207"/>
      <c r="BG19" s="207"/>
      <c r="BH19" s="207"/>
      <c r="BI19" s="207"/>
      <c r="BJ19" s="207"/>
      <c r="BK19" s="207"/>
      <c r="BL19" s="207"/>
    </row>
    <row r="20" ht="15.75" customHeight="1">
      <c r="A20" s="43" t="s">
        <v>69</v>
      </c>
      <c r="B20" s="205"/>
      <c r="C20" s="205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6">
        <v>0.89</v>
      </c>
      <c r="R20" s="206">
        <v>0.1</v>
      </c>
      <c r="S20" s="206">
        <v>0.01</v>
      </c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8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6">
        <v>0.14</v>
      </c>
      <c r="AZ20" s="206">
        <v>0.33</v>
      </c>
      <c r="BA20" s="206">
        <v>0.25</v>
      </c>
      <c r="BB20" s="206">
        <v>0.15</v>
      </c>
      <c r="BC20" s="206">
        <v>0.07</v>
      </c>
      <c r="BD20" s="206">
        <v>0.04</v>
      </c>
      <c r="BE20" s="206">
        <v>0.02</v>
      </c>
      <c r="BF20" s="207"/>
      <c r="BG20" s="207"/>
      <c r="BH20" s="207"/>
      <c r="BI20" s="207"/>
      <c r="BJ20" s="207"/>
      <c r="BK20" s="207"/>
      <c r="BL20" s="207"/>
    </row>
    <row r="21" ht="15.75" customHeight="1">
      <c r="A21" s="43" t="s">
        <v>70</v>
      </c>
      <c r="B21" s="205"/>
      <c r="C21" s="205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6">
        <v>0.89</v>
      </c>
      <c r="S21" s="206">
        <v>0.1</v>
      </c>
      <c r="T21" s="206">
        <v>0.01</v>
      </c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8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6">
        <v>0.14</v>
      </c>
      <c r="BA21" s="206">
        <v>0.33</v>
      </c>
      <c r="BB21" s="206">
        <v>0.25</v>
      </c>
      <c r="BC21" s="206">
        <v>0.15</v>
      </c>
      <c r="BD21" s="206">
        <v>0.07</v>
      </c>
      <c r="BE21" s="206">
        <v>0.04</v>
      </c>
      <c r="BF21" s="206">
        <v>0.02</v>
      </c>
      <c r="BG21" s="207"/>
      <c r="BH21" s="207"/>
      <c r="BI21" s="207"/>
      <c r="BJ21" s="207"/>
      <c r="BK21" s="207"/>
      <c r="BL21" s="207"/>
    </row>
    <row r="22" ht="15.75" customHeight="1">
      <c r="A22" s="43" t="s">
        <v>71</v>
      </c>
      <c r="B22" s="205"/>
      <c r="C22" s="205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6">
        <f>227/255</f>
        <v>0.8901960784</v>
      </c>
      <c r="T22" s="206">
        <v>0.1</v>
      </c>
      <c r="U22" s="206">
        <v>0.01</v>
      </c>
      <c r="V22" s="207"/>
      <c r="W22" s="207"/>
      <c r="X22" s="207"/>
      <c r="Y22" s="207"/>
      <c r="Z22" s="207"/>
      <c r="AA22" s="207"/>
      <c r="AB22" s="207"/>
      <c r="AC22" s="207"/>
      <c r="AD22" s="207"/>
      <c r="AE22" s="208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6">
        <v>0.14</v>
      </c>
      <c r="BB22" s="206">
        <v>0.33</v>
      </c>
      <c r="BC22" s="206">
        <v>0.25</v>
      </c>
      <c r="BD22" s="206">
        <v>0.15</v>
      </c>
      <c r="BE22" s="206">
        <v>0.07</v>
      </c>
      <c r="BF22" s="206">
        <v>0.04</v>
      </c>
      <c r="BG22" s="206">
        <v>0.02</v>
      </c>
      <c r="BH22" s="207"/>
      <c r="BI22" s="207"/>
      <c r="BJ22" s="207"/>
      <c r="BK22" s="207"/>
      <c r="BL22" s="207"/>
    </row>
    <row r="23" ht="15.75" customHeight="1">
      <c r="A23" s="43" t="s">
        <v>72</v>
      </c>
      <c r="B23" s="205"/>
      <c r="C23" s="205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6">
        <f>227/255</f>
        <v>0.8901960784</v>
      </c>
      <c r="U23" s="206">
        <v>0.1</v>
      </c>
      <c r="V23" s="206">
        <v>0.01</v>
      </c>
      <c r="W23" s="207"/>
      <c r="X23" s="207"/>
      <c r="Y23" s="207"/>
      <c r="Z23" s="207"/>
      <c r="AA23" s="207"/>
      <c r="AB23" s="207"/>
      <c r="AC23" s="207"/>
      <c r="AD23" s="207"/>
      <c r="AE23" s="208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6">
        <v>0.14</v>
      </c>
      <c r="BC23" s="206">
        <v>0.33</v>
      </c>
      <c r="BD23" s="206">
        <v>0.25</v>
      </c>
      <c r="BE23" s="206">
        <v>0.15</v>
      </c>
      <c r="BF23" s="206">
        <v>0.07</v>
      </c>
      <c r="BG23" s="206">
        <v>0.04</v>
      </c>
      <c r="BH23" s="206">
        <v>0.02</v>
      </c>
      <c r="BI23" s="207"/>
      <c r="BJ23" s="207"/>
      <c r="BK23" s="207"/>
      <c r="BL23" s="207"/>
    </row>
    <row r="24" ht="15.75" customHeight="1">
      <c r="A24" s="43" t="s">
        <v>73</v>
      </c>
      <c r="B24" s="205"/>
      <c r="C24" s="205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6">
        <f>227/255</f>
        <v>0.8901960784</v>
      </c>
      <c r="V24" s="206">
        <v>0.1</v>
      </c>
      <c r="W24" s="206">
        <v>0.01</v>
      </c>
      <c r="X24" s="207"/>
      <c r="Y24" s="207"/>
      <c r="Z24" s="207"/>
      <c r="AA24" s="207"/>
      <c r="AB24" s="207"/>
      <c r="AC24" s="207"/>
      <c r="AD24" s="207"/>
      <c r="AE24" s="208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6">
        <v>0.14</v>
      </c>
      <c r="BD24" s="206">
        <v>0.33</v>
      </c>
      <c r="BE24" s="206">
        <v>0.25</v>
      </c>
      <c r="BF24" s="206">
        <v>0.15</v>
      </c>
      <c r="BG24" s="206">
        <v>0.07</v>
      </c>
      <c r="BH24" s="206">
        <v>0.04</v>
      </c>
      <c r="BI24" s="206">
        <v>0.02</v>
      </c>
      <c r="BJ24" s="207"/>
      <c r="BK24" s="207"/>
      <c r="BL24" s="207"/>
    </row>
    <row r="25" ht="15.75" customHeight="1">
      <c r="A25" s="43" t="s">
        <v>74</v>
      </c>
      <c r="B25" s="205"/>
      <c r="C25" s="205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6">
        <f>227/255</f>
        <v>0.8901960784</v>
      </c>
      <c r="W25" s="206">
        <v>0.1</v>
      </c>
      <c r="X25" s="206">
        <v>0.01</v>
      </c>
      <c r="Y25" s="207"/>
      <c r="Z25" s="207"/>
      <c r="AA25" s="207"/>
      <c r="AB25" s="207"/>
      <c r="AC25" s="207"/>
      <c r="AD25" s="207"/>
      <c r="AE25" s="208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6">
        <v>0.14</v>
      </c>
      <c r="BE25" s="206">
        <v>0.33</v>
      </c>
      <c r="BF25" s="206">
        <v>0.25</v>
      </c>
      <c r="BG25" s="206">
        <v>0.15</v>
      </c>
      <c r="BH25" s="206">
        <v>0.07</v>
      </c>
      <c r="BI25" s="206">
        <v>0.04</v>
      </c>
      <c r="BJ25" s="206">
        <v>0.02</v>
      </c>
      <c r="BK25" s="207"/>
      <c r="BL25" s="207"/>
    </row>
    <row r="26" ht="15.75" customHeight="1">
      <c r="A26" s="43" t="s">
        <v>75</v>
      </c>
      <c r="B26" s="205"/>
      <c r="C26" s="205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6">
        <f>227/255</f>
        <v>0.8901960784</v>
      </c>
      <c r="X26" s="206">
        <v>0.1</v>
      </c>
      <c r="Y26" s="206">
        <v>0.01</v>
      </c>
      <c r="Z26" s="207"/>
      <c r="AA26" s="207"/>
      <c r="AB26" s="207"/>
      <c r="AC26" s="207"/>
      <c r="AD26" s="207"/>
      <c r="AE26" s="208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6">
        <v>0.14</v>
      </c>
      <c r="BF26" s="206">
        <v>0.33</v>
      </c>
      <c r="BG26" s="206">
        <v>0.25</v>
      </c>
      <c r="BH26" s="206">
        <v>0.15</v>
      </c>
      <c r="BI26" s="206">
        <v>0.07</v>
      </c>
      <c r="BJ26" s="206">
        <v>0.04</v>
      </c>
      <c r="BK26" s="206">
        <v>0.02</v>
      </c>
      <c r="BL26" s="207"/>
    </row>
    <row r="27" ht="15.75" customHeight="1">
      <c r="A27" s="43" t="s">
        <v>76</v>
      </c>
      <c r="B27" s="205"/>
      <c r="C27" s="205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6">
        <f>227/255</f>
        <v>0.8901960784</v>
      </c>
      <c r="Y27" s="206">
        <v>0.1</v>
      </c>
      <c r="Z27" s="206">
        <v>0.01</v>
      </c>
      <c r="AA27" s="207"/>
      <c r="AB27" s="207"/>
      <c r="AC27" s="207"/>
      <c r="AD27" s="207"/>
      <c r="AE27" s="208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6">
        <v>0.14</v>
      </c>
      <c r="BG27" s="206">
        <v>0.33</v>
      </c>
      <c r="BH27" s="206">
        <v>0.25</v>
      </c>
      <c r="BI27" s="206">
        <v>0.15</v>
      </c>
      <c r="BJ27" s="206">
        <v>0.07</v>
      </c>
      <c r="BK27" s="206">
        <v>0.04</v>
      </c>
      <c r="BL27" s="206">
        <v>0.02</v>
      </c>
    </row>
    <row r="28" ht="15.75" customHeight="1">
      <c r="A28" s="43" t="s">
        <v>77</v>
      </c>
      <c r="B28" s="205"/>
      <c r="C28" s="205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6">
        <f>227/255</f>
        <v>0.8901960784</v>
      </c>
      <c r="Z28" s="206">
        <v>0.1</v>
      </c>
      <c r="AA28" s="206">
        <v>0.01</v>
      </c>
      <c r="AB28" s="207"/>
      <c r="AC28" s="207"/>
      <c r="AD28" s="207"/>
      <c r="AE28" s="208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6">
        <v>0.14</v>
      </c>
      <c r="BH28" s="206">
        <v>0.33</v>
      </c>
      <c r="BI28" s="206">
        <v>0.25</v>
      </c>
      <c r="BJ28" s="206">
        <v>0.15</v>
      </c>
      <c r="BK28" s="206">
        <v>0.07</v>
      </c>
      <c r="BL28" s="206">
        <v>0.04</v>
      </c>
    </row>
    <row r="29" ht="15.75" customHeight="1">
      <c r="A29" s="43" t="s">
        <v>78</v>
      </c>
      <c r="B29" s="205"/>
      <c r="C29" s="205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6">
        <v>0.89</v>
      </c>
      <c r="AA29" s="206">
        <v>0.1</v>
      </c>
      <c r="AB29" s="206">
        <v>0.01</v>
      </c>
      <c r="AC29" s="207"/>
      <c r="AD29" s="207"/>
      <c r="AE29" s="208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6">
        <v>0.14</v>
      </c>
      <c r="BI29" s="206">
        <v>0.33</v>
      </c>
      <c r="BJ29" s="206">
        <v>0.25</v>
      </c>
      <c r="BK29" s="206">
        <v>0.15</v>
      </c>
      <c r="BL29" s="206">
        <v>0.07</v>
      </c>
    </row>
    <row r="30" ht="15.75" customHeight="1">
      <c r="A30" s="43" t="s">
        <v>79</v>
      </c>
      <c r="B30" s="205"/>
      <c r="C30" s="205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6">
        <v>0.89</v>
      </c>
      <c r="AB30" s="206">
        <v>0.1</v>
      </c>
      <c r="AC30" s="206">
        <v>0.01</v>
      </c>
      <c r="AD30" s="207"/>
      <c r="AE30" s="208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6">
        <v>0.14</v>
      </c>
      <c r="BJ30" s="206">
        <v>0.33</v>
      </c>
      <c r="BK30" s="206">
        <v>0.25</v>
      </c>
      <c r="BL30" s="206">
        <v>0.15</v>
      </c>
    </row>
    <row r="31" ht="15.75" customHeight="1">
      <c r="A31" s="43" t="s">
        <v>80</v>
      </c>
      <c r="B31" s="205"/>
      <c r="C31" s="205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6">
        <v>0.89</v>
      </c>
      <c r="AC31" s="206">
        <v>0.1</v>
      </c>
      <c r="AD31" s="206">
        <v>0.01</v>
      </c>
      <c r="AE31" s="208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6">
        <v>0.14</v>
      </c>
      <c r="BK31" s="206">
        <v>0.33</v>
      </c>
      <c r="BL31" s="206">
        <v>0.25</v>
      </c>
    </row>
    <row r="32" ht="15.75" customHeight="1">
      <c r="A32" s="43" t="s">
        <v>81</v>
      </c>
      <c r="B32" s="205"/>
      <c r="C32" s="205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6">
        <v>0.89</v>
      </c>
      <c r="AD32" s="206">
        <v>0.1</v>
      </c>
      <c r="AE32" s="208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6">
        <v>0.14</v>
      </c>
      <c r="BL32" s="206">
        <v>0.33</v>
      </c>
    </row>
    <row r="33" ht="15.75" customHeight="1">
      <c r="A33" s="43" t="s">
        <v>82</v>
      </c>
      <c r="B33" s="205"/>
      <c r="C33" s="205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6">
        <v>0.89</v>
      </c>
      <c r="AE33" s="208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6">
        <v>0.14</v>
      </c>
    </row>
    <row r="34" ht="15.75" customHeight="1">
      <c r="A34" s="205"/>
      <c r="B34" s="209" t="s">
        <v>54</v>
      </c>
      <c r="C34" s="209" t="s">
        <v>170</v>
      </c>
      <c r="D34" s="209" t="s">
        <v>7</v>
      </c>
      <c r="E34" s="209" t="s">
        <v>8</v>
      </c>
      <c r="F34" s="209" t="s">
        <v>9</v>
      </c>
      <c r="G34" s="209" t="s">
        <v>10</v>
      </c>
      <c r="H34" s="209" t="s">
        <v>11</v>
      </c>
      <c r="I34" s="209" t="s">
        <v>12</v>
      </c>
      <c r="J34" s="209" t="s">
        <v>13</v>
      </c>
      <c r="K34" s="209" t="s">
        <v>63</v>
      </c>
      <c r="L34" s="209" t="s">
        <v>64</v>
      </c>
      <c r="M34" s="209" t="s">
        <v>65</v>
      </c>
      <c r="N34" s="209" t="s">
        <v>66</v>
      </c>
      <c r="O34" s="209" t="s">
        <v>67</v>
      </c>
      <c r="P34" s="209" t="s">
        <v>68</v>
      </c>
      <c r="Q34" s="209" t="s">
        <v>69</v>
      </c>
      <c r="R34" s="209" t="s">
        <v>70</v>
      </c>
      <c r="S34" s="209" t="s">
        <v>71</v>
      </c>
      <c r="T34" s="209" t="s">
        <v>72</v>
      </c>
      <c r="U34" s="209" t="s">
        <v>73</v>
      </c>
      <c r="V34" s="209" t="s">
        <v>74</v>
      </c>
      <c r="W34" s="209" t="s">
        <v>75</v>
      </c>
      <c r="X34" s="209" t="s">
        <v>76</v>
      </c>
      <c r="Y34" s="209" t="s">
        <v>77</v>
      </c>
      <c r="Z34" s="209" t="s">
        <v>78</v>
      </c>
      <c r="AA34" s="209" t="s">
        <v>79</v>
      </c>
      <c r="AB34" s="209" t="s">
        <v>80</v>
      </c>
      <c r="AC34" s="209" t="s">
        <v>81</v>
      </c>
      <c r="AD34" s="209" t="s">
        <v>82</v>
      </c>
      <c r="AE34" s="204"/>
      <c r="AF34" s="209" t="s">
        <v>14</v>
      </c>
      <c r="AG34" s="209" t="s">
        <v>2</v>
      </c>
      <c r="AH34" s="209" t="s">
        <v>3</v>
      </c>
      <c r="AI34" s="209" t="s">
        <v>4</v>
      </c>
      <c r="AJ34" s="209" t="s">
        <v>5</v>
      </c>
      <c r="AK34" s="209" t="s">
        <v>6</v>
      </c>
      <c r="AL34" s="209" t="s">
        <v>7</v>
      </c>
      <c r="AM34" s="209" t="s">
        <v>8</v>
      </c>
      <c r="AN34" s="209" t="s">
        <v>9</v>
      </c>
      <c r="AO34" s="209" t="s">
        <v>10</v>
      </c>
      <c r="AP34" s="209" t="s">
        <v>11</v>
      </c>
      <c r="AQ34" s="209" t="s">
        <v>12</v>
      </c>
      <c r="AR34" s="209" t="s">
        <v>13</v>
      </c>
      <c r="AS34" s="209" t="s">
        <v>63</v>
      </c>
      <c r="AT34" s="209" t="s">
        <v>64</v>
      </c>
      <c r="AU34" s="209" t="s">
        <v>65</v>
      </c>
      <c r="AV34" s="209" t="s">
        <v>66</v>
      </c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</row>
    <row r="35" ht="15.75" customHeight="1">
      <c r="A35" s="209" t="s">
        <v>2</v>
      </c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04"/>
      <c r="AF35" s="212">
        <v>0.0</v>
      </c>
      <c r="AG35" s="53">
        <f t="shared" ref="AG35:AM35" si="1">$AF35*AG2</f>
        <v>0</v>
      </c>
      <c r="AH35" s="53">
        <f t="shared" si="1"/>
        <v>0</v>
      </c>
      <c r="AI35" s="53">
        <f t="shared" si="1"/>
        <v>0</v>
      </c>
      <c r="AJ35" s="53">
        <f t="shared" si="1"/>
        <v>0</v>
      </c>
      <c r="AK35" s="53">
        <f t="shared" si="1"/>
        <v>0</v>
      </c>
      <c r="AL35" s="53">
        <f t="shared" si="1"/>
        <v>0</v>
      </c>
      <c r="AM35" s="53">
        <f t="shared" si="1"/>
        <v>0</v>
      </c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</row>
    <row r="36" ht="15.75" customHeight="1">
      <c r="A36" s="209" t="s">
        <v>3</v>
      </c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04"/>
      <c r="AF36" s="212">
        <v>0.0</v>
      </c>
      <c r="AG36" s="211"/>
      <c r="AH36" s="53">
        <f t="shared" ref="AH36:AN36" si="2">$AF36*AH3</f>
        <v>0</v>
      </c>
      <c r="AI36" s="53">
        <f t="shared" si="2"/>
        <v>0</v>
      </c>
      <c r="AJ36" s="53">
        <f t="shared" si="2"/>
        <v>0</v>
      </c>
      <c r="AK36" s="53">
        <f t="shared" si="2"/>
        <v>0</v>
      </c>
      <c r="AL36" s="53">
        <f t="shared" si="2"/>
        <v>0</v>
      </c>
      <c r="AM36" s="53">
        <f t="shared" si="2"/>
        <v>0</v>
      </c>
      <c r="AN36" s="53">
        <f t="shared" si="2"/>
        <v>0</v>
      </c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</row>
    <row r="37" ht="15.75" customHeight="1">
      <c r="A37" s="209" t="s">
        <v>4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04"/>
      <c r="AF37" s="212">
        <v>0.0</v>
      </c>
      <c r="AG37" s="207"/>
      <c r="AH37" s="211"/>
      <c r="AI37" s="53">
        <f t="shared" ref="AI37:AO37" si="3">$AF37*AI4</f>
        <v>0</v>
      </c>
      <c r="AJ37" s="53">
        <f t="shared" si="3"/>
        <v>0</v>
      </c>
      <c r="AK37" s="53">
        <f t="shared" si="3"/>
        <v>0</v>
      </c>
      <c r="AL37" s="53">
        <f t="shared" si="3"/>
        <v>0</v>
      </c>
      <c r="AM37" s="53">
        <f t="shared" si="3"/>
        <v>0</v>
      </c>
      <c r="AN37" s="53">
        <f t="shared" si="3"/>
        <v>0</v>
      </c>
      <c r="AO37" s="53">
        <f t="shared" si="3"/>
        <v>0</v>
      </c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</row>
    <row r="38" ht="15.75" customHeight="1">
      <c r="A38" s="209" t="s">
        <v>5</v>
      </c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04"/>
      <c r="AF38" s="212">
        <v>0.0</v>
      </c>
      <c r="AG38" s="207"/>
      <c r="AH38" s="211"/>
      <c r="AI38" s="211"/>
      <c r="AJ38" s="53">
        <f t="shared" ref="AJ38:AP38" si="4">$AF38*AJ5</f>
        <v>0</v>
      </c>
      <c r="AK38" s="53">
        <f t="shared" si="4"/>
        <v>0</v>
      </c>
      <c r="AL38" s="53">
        <f t="shared" si="4"/>
        <v>0</v>
      </c>
      <c r="AM38" s="53">
        <f t="shared" si="4"/>
        <v>0</v>
      </c>
      <c r="AN38" s="53">
        <f t="shared" si="4"/>
        <v>0</v>
      </c>
      <c r="AO38" s="53">
        <f t="shared" si="4"/>
        <v>0</v>
      </c>
      <c r="AP38" s="53">
        <f t="shared" si="4"/>
        <v>0</v>
      </c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</row>
    <row r="39" ht="15.75" customHeight="1">
      <c r="A39" s="209" t="s">
        <v>6</v>
      </c>
      <c r="B39" s="213">
        <v>18.0</v>
      </c>
      <c r="C39" s="214">
        <v>0.45</v>
      </c>
      <c r="D39" s="53">
        <f>$B39*D6</f>
        <v>1.8</v>
      </c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04"/>
      <c r="AF39" s="212">
        <v>0.0</v>
      </c>
      <c r="AG39" s="207"/>
      <c r="AH39" s="211"/>
      <c r="AI39" s="211"/>
      <c r="AJ39" s="211"/>
      <c r="AK39" s="53">
        <f t="shared" ref="AK39:AQ39" si="5">$AF39*AK6</f>
        <v>0</v>
      </c>
      <c r="AL39" s="53">
        <f t="shared" si="5"/>
        <v>0</v>
      </c>
      <c r="AM39" s="53">
        <f t="shared" si="5"/>
        <v>0</v>
      </c>
      <c r="AN39" s="53">
        <f t="shared" si="5"/>
        <v>0</v>
      </c>
      <c r="AO39" s="53">
        <f t="shared" si="5"/>
        <v>0</v>
      </c>
      <c r="AP39" s="53">
        <f t="shared" si="5"/>
        <v>0</v>
      </c>
      <c r="AQ39" s="53">
        <f t="shared" si="5"/>
        <v>0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</row>
    <row r="40" ht="15.75" customHeight="1">
      <c r="A40" s="209" t="s">
        <v>7</v>
      </c>
      <c r="B40" s="213">
        <v>18.0</v>
      </c>
      <c r="C40" s="214">
        <v>0.46</v>
      </c>
      <c r="D40" s="53">
        <f t="shared" ref="D40:F40" si="6">$B40*D7*$C40</f>
        <v>7.370823529</v>
      </c>
      <c r="E40" s="53">
        <f t="shared" si="6"/>
        <v>0.828</v>
      </c>
      <c r="F40" s="53">
        <f t="shared" si="6"/>
        <v>0.0828</v>
      </c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5"/>
      <c r="AF40" s="216">
        <f t="array" ref="AF40:AF66">transpose(D67:AD67)</f>
        <v>9.170823529</v>
      </c>
      <c r="AG40" s="207"/>
      <c r="AH40" s="211"/>
      <c r="AI40" s="211"/>
      <c r="AJ40" s="211"/>
      <c r="AK40" s="211"/>
      <c r="AL40" s="53">
        <f t="shared" ref="AL40:AR40" si="7">$AF40*AL7</f>
        <v>1.283915294</v>
      </c>
      <c r="AM40" s="53">
        <f t="shared" si="7"/>
        <v>3.026371765</v>
      </c>
      <c r="AN40" s="53">
        <f t="shared" si="7"/>
        <v>2.292705882</v>
      </c>
      <c r="AO40" s="53">
        <f t="shared" si="7"/>
        <v>1.375623529</v>
      </c>
      <c r="AP40" s="53">
        <f t="shared" si="7"/>
        <v>0.6419576471</v>
      </c>
      <c r="AQ40" s="53">
        <f t="shared" si="7"/>
        <v>0.3668329412</v>
      </c>
      <c r="AR40" s="53">
        <f t="shared" si="7"/>
        <v>0.1834164706</v>
      </c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</row>
    <row r="41" ht="15.75" customHeight="1">
      <c r="A41" s="209" t="s">
        <v>8</v>
      </c>
      <c r="B41" s="213">
        <v>18.0</v>
      </c>
      <c r="C41" s="214">
        <v>0.46</v>
      </c>
      <c r="D41" s="211"/>
      <c r="E41" s="53">
        <f t="shared" ref="E41:G41" si="8">$B41*E8*$C41</f>
        <v>7.370823529</v>
      </c>
      <c r="F41" s="53">
        <f t="shared" si="8"/>
        <v>0.828</v>
      </c>
      <c r="G41" s="53">
        <f t="shared" si="8"/>
        <v>0.0828</v>
      </c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7"/>
      <c r="AF41" s="53">
        <v>8.198823529411765</v>
      </c>
      <c r="AG41" s="207"/>
      <c r="AH41" s="211"/>
      <c r="AI41" s="211"/>
      <c r="AJ41" s="211"/>
      <c r="AK41" s="211"/>
      <c r="AL41" s="211"/>
      <c r="AM41" s="53">
        <f t="shared" ref="AM41:AS41" si="9">$AF41*AM8</f>
        <v>1.147835294</v>
      </c>
      <c r="AN41" s="53">
        <f t="shared" si="9"/>
        <v>2.705611765</v>
      </c>
      <c r="AO41" s="53">
        <f t="shared" si="9"/>
        <v>2.049705882</v>
      </c>
      <c r="AP41" s="53">
        <f t="shared" si="9"/>
        <v>1.229823529</v>
      </c>
      <c r="AQ41" s="53">
        <f t="shared" si="9"/>
        <v>0.5739176471</v>
      </c>
      <c r="AR41" s="53">
        <f t="shared" si="9"/>
        <v>0.3279529412</v>
      </c>
      <c r="AS41" s="53">
        <f t="shared" si="9"/>
        <v>0.1639764706</v>
      </c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</row>
    <row r="42" ht="15.75" customHeight="1">
      <c r="A42" s="209" t="s">
        <v>9</v>
      </c>
      <c r="B42" s="213">
        <v>18.0</v>
      </c>
      <c r="C42" s="214">
        <v>0.46</v>
      </c>
      <c r="D42" s="205"/>
      <c r="E42" s="211"/>
      <c r="F42" s="53">
        <f t="shared" ref="F42:H42" si="10">$B42*F9*$C42</f>
        <v>7.370823529</v>
      </c>
      <c r="G42" s="53">
        <f t="shared" si="10"/>
        <v>0.828</v>
      </c>
      <c r="H42" s="53">
        <f t="shared" si="10"/>
        <v>0.0828</v>
      </c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7"/>
      <c r="AF42" s="53">
        <v>8.281623529411764</v>
      </c>
      <c r="AG42" s="207"/>
      <c r="AH42" s="211"/>
      <c r="AI42" s="211"/>
      <c r="AJ42" s="211"/>
      <c r="AK42" s="211"/>
      <c r="AL42" s="211"/>
      <c r="AM42" s="211"/>
      <c r="AN42" s="53">
        <f t="shared" ref="AN42:AT42" si="11">$AF42*AN9</f>
        <v>1.159427294</v>
      </c>
      <c r="AO42" s="53">
        <f t="shared" si="11"/>
        <v>2.732935765</v>
      </c>
      <c r="AP42" s="53">
        <f t="shared" si="11"/>
        <v>2.070405882</v>
      </c>
      <c r="AQ42" s="53">
        <f t="shared" si="11"/>
        <v>1.242243529</v>
      </c>
      <c r="AR42" s="53">
        <f t="shared" si="11"/>
        <v>0.5797136471</v>
      </c>
      <c r="AS42" s="53">
        <f t="shared" si="11"/>
        <v>0.3312649412</v>
      </c>
      <c r="AT42" s="53">
        <f t="shared" si="11"/>
        <v>0.1656324706</v>
      </c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</row>
    <row r="43" ht="15.75" customHeight="1">
      <c r="A43" s="209" t="s">
        <v>10</v>
      </c>
      <c r="B43" s="213">
        <v>18.0</v>
      </c>
      <c r="C43" s="214">
        <v>0.65</v>
      </c>
      <c r="D43" s="205"/>
      <c r="E43" s="205"/>
      <c r="F43" s="211"/>
      <c r="G43" s="53">
        <f t="shared" ref="G43:I43" si="12">$B43*G10*$C43</f>
        <v>10.41529412</v>
      </c>
      <c r="H43" s="53">
        <f t="shared" si="12"/>
        <v>1.17</v>
      </c>
      <c r="I43" s="53">
        <f t="shared" si="12"/>
        <v>0.117</v>
      </c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7"/>
      <c r="AF43" s="53">
        <v>11.32609411764706</v>
      </c>
      <c r="AG43" s="207"/>
      <c r="AH43" s="211"/>
      <c r="AI43" s="211"/>
      <c r="AJ43" s="211"/>
      <c r="AK43" s="211"/>
      <c r="AL43" s="211"/>
      <c r="AM43" s="211"/>
      <c r="AN43" s="211"/>
      <c r="AO43" s="53">
        <f t="shared" ref="AO43:AU43" si="13">$AF43*AO10</f>
        <v>1.585653176</v>
      </c>
      <c r="AP43" s="53">
        <f t="shared" si="13"/>
        <v>3.737611059</v>
      </c>
      <c r="AQ43" s="53">
        <f t="shared" si="13"/>
        <v>2.831523529</v>
      </c>
      <c r="AR43" s="53">
        <f t="shared" si="13"/>
        <v>1.698914118</v>
      </c>
      <c r="AS43" s="53">
        <f t="shared" si="13"/>
        <v>0.7928265882</v>
      </c>
      <c r="AT43" s="53">
        <f t="shared" si="13"/>
        <v>0.4530437647</v>
      </c>
      <c r="AU43" s="53">
        <f t="shared" si="13"/>
        <v>0.2265218824</v>
      </c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</row>
    <row r="44" ht="15.75" customHeight="1">
      <c r="A44" s="209" t="s">
        <v>11</v>
      </c>
      <c r="B44" s="213">
        <v>18.0</v>
      </c>
      <c r="C44" s="214">
        <v>0.48</v>
      </c>
      <c r="D44" s="205"/>
      <c r="E44" s="205"/>
      <c r="F44" s="205"/>
      <c r="G44" s="205"/>
      <c r="H44" s="53">
        <f t="shared" ref="H44:J44" si="14">$B44*H11*$C44</f>
        <v>7.691294118</v>
      </c>
      <c r="I44" s="53">
        <f t="shared" si="14"/>
        <v>0.864</v>
      </c>
      <c r="J44" s="53">
        <f t="shared" si="14"/>
        <v>0.0864</v>
      </c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7"/>
      <c r="AF44" s="53">
        <v>8.944094117647058</v>
      </c>
      <c r="AG44" s="207"/>
      <c r="AH44" s="211"/>
      <c r="AI44" s="211"/>
      <c r="AJ44" s="211"/>
      <c r="AK44" s="211"/>
      <c r="AL44" s="211"/>
      <c r="AM44" s="211"/>
      <c r="AN44" s="211"/>
      <c r="AO44" s="211"/>
      <c r="AP44" s="53">
        <f t="shared" ref="AP44:AV44" si="15">$AF44*AP11</f>
        <v>1.252173176</v>
      </c>
      <c r="AQ44" s="53">
        <f t="shared" si="15"/>
        <v>2.951551059</v>
      </c>
      <c r="AR44" s="53">
        <f t="shared" si="15"/>
        <v>2.236023529</v>
      </c>
      <c r="AS44" s="53">
        <f t="shared" si="15"/>
        <v>1.341614118</v>
      </c>
      <c r="AT44" s="53">
        <f t="shared" si="15"/>
        <v>0.6260865882</v>
      </c>
      <c r="AU44" s="53">
        <f t="shared" si="15"/>
        <v>0.3577637647</v>
      </c>
      <c r="AV44" s="53">
        <f t="shared" si="15"/>
        <v>0.1788818824</v>
      </c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</row>
    <row r="45" ht="15.75" customHeight="1">
      <c r="A45" s="209" t="s">
        <v>12</v>
      </c>
      <c r="B45" s="213">
        <v>18.0</v>
      </c>
      <c r="C45" s="214">
        <v>0.55</v>
      </c>
      <c r="D45" s="205"/>
      <c r="E45" s="205"/>
      <c r="F45" s="205"/>
      <c r="G45" s="205"/>
      <c r="H45" s="205"/>
      <c r="I45" s="53">
        <f t="shared" ref="I45:K45" si="16">$B45*I12*$C45</f>
        <v>8.812941176</v>
      </c>
      <c r="J45" s="53">
        <f t="shared" si="16"/>
        <v>0.99</v>
      </c>
      <c r="K45" s="53">
        <f t="shared" si="16"/>
        <v>0.099</v>
      </c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7"/>
      <c r="AF45" s="53">
        <v>9.79394117647059</v>
      </c>
      <c r="AG45" s="207"/>
      <c r="AH45" s="211"/>
      <c r="AI45" s="211"/>
      <c r="AJ45" s="211"/>
      <c r="AK45" s="211"/>
      <c r="AL45" s="211"/>
      <c r="AM45" s="211"/>
      <c r="AN45" s="211"/>
      <c r="AO45" s="211"/>
      <c r="AP45" s="211"/>
      <c r="AQ45" s="53">
        <f t="shared" ref="AQ45:AW45" si="17">$AF45*AQ12</f>
        <v>1.371151765</v>
      </c>
      <c r="AR45" s="53">
        <f t="shared" si="17"/>
        <v>3.232000588</v>
      </c>
      <c r="AS45" s="53">
        <f t="shared" si="17"/>
        <v>2.448485294</v>
      </c>
      <c r="AT45" s="53">
        <f t="shared" si="17"/>
        <v>1.469091176</v>
      </c>
      <c r="AU45" s="53">
        <f t="shared" si="17"/>
        <v>0.6855758824</v>
      </c>
      <c r="AV45" s="53">
        <f t="shared" si="17"/>
        <v>0.3917576471</v>
      </c>
      <c r="AW45" s="53">
        <f t="shared" si="17"/>
        <v>0.1958788235</v>
      </c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</row>
    <row r="46" ht="15.75" customHeight="1">
      <c r="A46" s="209" t="s">
        <v>13</v>
      </c>
      <c r="B46" s="213">
        <v>18.0</v>
      </c>
      <c r="C46" s="214">
        <v>0.48</v>
      </c>
      <c r="D46" s="205"/>
      <c r="E46" s="205"/>
      <c r="F46" s="205"/>
      <c r="G46" s="205"/>
      <c r="H46" s="205"/>
      <c r="I46" s="205"/>
      <c r="J46" s="53">
        <f t="shared" ref="J46:L46" si="18">$B46*J13*$C46</f>
        <v>7.691294118</v>
      </c>
      <c r="K46" s="53">
        <f t="shared" si="18"/>
        <v>0.864</v>
      </c>
      <c r="L46" s="53">
        <f t="shared" si="18"/>
        <v>0.0864</v>
      </c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7"/>
      <c r="AF46" s="53">
        <v>8.767694117647059</v>
      </c>
      <c r="AG46" s="207"/>
      <c r="AH46" s="211"/>
      <c r="AI46" s="211"/>
      <c r="AJ46" s="211"/>
      <c r="AK46" s="211"/>
      <c r="AL46" s="211"/>
      <c r="AM46" s="211"/>
      <c r="AN46" s="211"/>
      <c r="AO46" s="211"/>
      <c r="AP46" s="207"/>
      <c r="AQ46" s="211"/>
      <c r="AR46" s="53">
        <f t="shared" ref="AR46:AX46" si="19">$AF46*AR13</f>
        <v>1.227477176</v>
      </c>
      <c r="AS46" s="53">
        <f t="shared" si="19"/>
        <v>2.893339059</v>
      </c>
      <c r="AT46" s="53">
        <f t="shared" si="19"/>
        <v>2.191923529</v>
      </c>
      <c r="AU46" s="53">
        <f t="shared" si="19"/>
        <v>1.315154118</v>
      </c>
      <c r="AV46" s="53">
        <f t="shared" si="19"/>
        <v>0.6137385882</v>
      </c>
      <c r="AW46" s="53">
        <f t="shared" si="19"/>
        <v>0.3507077647</v>
      </c>
      <c r="AX46" s="53">
        <f t="shared" si="19"/>
        <v>0.1753538824</v>
      </c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</row>
    <row r="47" ht="15.75" customHeight="1">
      <c r="A47" s="209" t="s">
        <v>63</v>
      </c>
      <c r="B47" s="213">
        <v>18.0</v>
      </c>
      <c r="C47" s="214">
        <v>0.6</v>
      </c>
      <c r="D47" s="205"/>
      <c r="E47" s="205"/>
      <c r="F47" s="205"/>
      <c r="G47" s="205"/>
      <c r="H47" s="205"/>
      <c r="I47" s="205"/>
      <c r="J47" s="211"/>
      <c r="K47" s="53">
        <f t="shared" ref="K47:M47" si="20">$B47*K14*$C47</f>
        <v>9.614117647</v>
      </c>
      <c r="L47" s="53">
        <f t="shared" si="20"/>
        <v>1.08</v>
      </c>
      <c r="M47" s="53">
        <f t="shared" si="20"/>
        <v>0.108</v>
      </c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7"/>
      <c r="AF47" s="53">
        <v>10.577117647058822</v>
      </c>
      <c r="AG47" s="207"/>
      <c r="AH47" s="211"/>
      <c r="AI47" s="211"/>
      <c r="AJ47" s="211"/>
      <c r="AK47" s="211"/>
      <c r="AL47" s="211"/>
      <c r="AM47" s="211"/>
      <c r="AN47" s="211"/>
      <c r="AO47" s="211"/>
      <c r="AP47" s="207"/>
      <c r="AQ47" s="211"/>
      <c r="AR47" s="211"/>
      <c r="AS47" s="53">
        <f t="shared" ref="AS47:AY47" si="21">$AF47*AS14</f>
        <v>1.480796471</v>
      </c>
      <c r="AT47" s="53">
        <f t="shared" si="21"/>
        <v>3.490448824</v>
      </c>
      <c r="AU47" s="53">
        <f t="shared" si="21"/>
        <v>2.644279412</v>
      </c>
      <c r="AV47" s="53">
        <f t="shared" si="21"/>
        <v>1.586567647</v>
      </c>
      <c r="AW47" s="53">
        <f t="shared" si="21"/>
        <v>0.7403982353</v>
      </c>
      <c r="AX47" s="53">
        <f t="shared" si="21"/>
        <v>0.4230847059</v>
      </c>
      <c r="AY47" s="53">
        <f t="shared" si="21"/>
        <v>0.2115423529</v>
      </c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</row>
    <row r="48" ht="15.75" customHeight="1">
      <c r="A48" s="209" t="s">
        <v>64</v>
      </c>
      <c r="B48" s="213">
        <v>18.0</v>
      </c>
      <c r="C48" s="214">
        <v>0.56</v>
      </c>
      <c r="D48" s="205"/>
      <c r="E48" s="205"/>
      <c r="F48" s="205"/>
      <c r="G48" s="205"/>
      <c r="H48" s="205"/>
      <c r="I48" s="205"/>
      <c r="J48" s="211"/>
      <c r="K48" s="211"/>
      <c r="L48" s="53">
        <f t="shared" ref="L48:N48" si="22">$B48*L15*$C48</f>
        <v>8.973176471</v>
      </c>
      <c r="M48" s="53">
        <f t="shared" si="22"/>
        <v>1.008</v>
      </c>
      <c r="N48" s="53">
        <f t="shared" si="22"/>
        <v>0.1008</v>
      </c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7"/>
      <c r="AF48" s="53">
        <v>10.139576470588235</v>
      </c>
      <c r="AG48" s="207"/>
      <c r="AH48" s="211"/>
      <c r="AI48" s="211"/>
      <c r="AJ48" s="211"/>
      <c r="AK48" s="211"/>
      <c r="AL48" s="211"/>
      <c r="AM48" s="211"/>
      <c r="AN48" s="211"/>
      <c r="AO48" s="211"/>
      <c r="AP48" s="207"/>
      <c r="AQ48" s="211"/>
      <c r="AR48" s="211"/>
      <c r="AS48" s="211"/>
      <c r="AT48" s="53">
        <f t="shared" ref="AT48:AZ48" si="23">$AF48*AT15</f>
        <v>1.419540706</v>
      </c>
      <c r="AU48" s="53">
        <f t="shared" si="23"/>
        <v>3.346060235</v>
      </c>
      <c r="AV48" s="53">
        <f t="shared" si="23"/>
        <v>2.534894118</v>
      </c>
      <c r="AW48" s="53">
        <f t="shared" si="23"/>
        <v>1.520936471</v>
      </c>
      <c r="AX48" s="53">
        <f t="shared" si="23"/>
        <v>0.7097703529</v>
      </c>
      <c r="AY48" s="53">
        <f t="shared" si="23"/>
        <v>0.4055830588</v>
      </c>
      <c r="AZ48" s="53">
        <f t="shared" si="23"/>
        <v>0.2027915294</v>
      </c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</row>
    <row r="49" ht="15.75" customHeight="1">
      <c r="A49" s="209" t="s">
        <v>65</v>
      </c>
      <c r="B49" s="213">
        <v>18.0</v>
      </c>
      <c r="C49" s="214">
        <v>0.53</v>
      </c>
      <c r="D49" s="205"/>
      <c r="E49" s="205"/>
      <c r="F49" s="205"/>
      <c r="G49" s="205"/>
      <c r="H49" s="205"/>
      <c r="I49" s="205"/>
      <c r="J49" s="211"/>
      <c r="K49" s="211"/>
      <c r="L49" s="211"/>
      <c r="M49" s="53">
        <f t="shared" ref="M49:O49" si="24">$B49*M16*$C49</f>
        <v>8.492470588</v>
      </c>
      <c r="N49" s="53">
        <f t="shared" si="24"/>
        <v>0.954</v>
      </c>
      <c r="O49" s="53">
        <f t="shared" si="24"/>
        <v>0.0954</v>
      </c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7"/>
      <c r="AF49" s="53">
        <v>9.608470588235294</v>
      </c>
      <c r="AG49" s="207"/>
      <c r="AH49" s="211"/>
      <c r="AI49" s="211"/>
      <c r="AJ49" s="211"/>
      <c r="AK49" s="211"/>
      <c r="AL49" s="211"/>
      <c r="AM49" s="211"/>
      <c r="AN49" s="211"/>
      <c r="AO49" s="211"/>
      <c r="AP49" s="207"/>
      <c r="AQ49" s="211"/>
      <c r="AR49" s="211"/>
      <c r="AS49" s="211"/>
      <c r="AT49" s="211"/>
      <c r="AU49" s="53">
        <f t="shared" ref="AU49:BA49" si="25">$AF49*AU16</f>
        <v>1.345185882</v>
      </c>
      <c r="AV49" s="53">
        <f t="shared" si="25"/>
        <v>3.170795294</v>
      </c>
      <c r="AW49" s="53">
        <f t="shared" si="25"/>
        <v>2.402117647</v>
      </c>
      <c r="AX49" s="53">
        <f t="shared" si="25"/>
        <v>1.441270588</v>
      </c>
      <c r="AY49" s="53">
        <f t="shared" si="25"/>
        <v>0.6725929412</v>
      </c>
      <c r="AZ49" s="53">
        <f t="shared" si="25"/>
        <v>0.3843388235</v>
      </c>
      <c r="BA49" s="53">
        <f t="shared" si="25"/>
        <v>0.1921694118</v>
      </c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</row>
    <row r="50" ht="15.75" customHeight="1">
      <c r="A50" s="209" t="s">
        <v>66</v>
      </c>
      <c r="B50" s="213">
        <v>18.0</v>
      </c>
      <c r="C50" s="214">
        <v>0.5</v>
      </c>
      <c r="D50" s="205"/>
      <c r="E50" s="205"/>
      <c r="F50" s="205"/>
      <c r="G50" s="205"/>
      <c r="H50" s="205"/>
      <c r="I50" s="205"/>
      <c r="J50" s="211"/>
      <c r="K50" s="211"/>
      <c r="L50" s="211"/>
      <c r="M50" s="211"/>
      <c r="N50" s="53">
        <f t="shared" ref="N50:P50" si="26">$B50*N17*$C50</f>
        <v>8.01</v>
      </c>
      <c r="O50" s="53">
        <f t="shared" si="26"/>
        <v>0.9</v>
      </c>
      <c r="P50" s="53">
        <f t="shared" si="26"/>
        <v>0.09</v>
      </c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7"/>
      <c r="AF50" s="53">
        <v>9.0648</v>
      </c>
      <c r="AG50" s="207"/>
      <c r="AH50" s="211"/>
      <c r="AI50" s="211"/>
      <c r="AJ50" s="211"/>
      <c r="AK50" s="211"/>
      <c r="AL50" s="211"/>
      <c r="AM50" s="211"/>
      <c r="AN50" s="211"/>
      <c r="AO50" s="211"/>
      <c r="AP50" s="207"/>
      <c r="AQ50" s="211"/>
      <c r="AR50" s="211"/>
      <c r="AS50" s="211"/>
      <c r="AT50" s="211"/>
      <c r="AU50" s="211"/>
      <c r="AV50" s="53">
        <f t="shared" ref="AV50:BB50" si="27">$AF50*AV17</f>
        <v>1.269072</v>
      </c>
      <c r="AW50" s="53">
        <f t="shared" si="27"/>
        <v>2.991384</v>
      </c>
      <c r="AX50" s="53">
        <f t="shared" si="27"/>
        <v>2.2662</v>
      </c>
      <c r="AY50" s="53">
        <f t="shared" si="27"/>
        <v>1.35972</v>
      </c>
      <c r="AZ50" s="53">
        <f t="shared" si="27"/>
        <v>0.634536</v>
      </c>
      <c r="BA50" s="53">
        <f t="shared" si="27"/>
        <v>0.362592</v>
      </c>
      <c r="BB50" s="53">
        <f t="shared" si="27"/>
        <v>0.181296</v>
      </c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</row>
    <row r="51" ht="15.75" customHeight="1">
      <c r="A51" s="209" t="s">
        <v>67</v>
      </c>
      <c r="B51" s="213">
        <v>18.0</v>
      </c>
      <c r="C51" s="214">
        <v>0.5</v>
      </c>
      <c r="D51" s="205"/>
      <c r="E51" s="205"/>
      <c r="F51" s="205"/>
      <c r="G51" s="205"/>
      <c r="H51" s="205"/>
      <c r="I51" s="205"/>
      <c r="J51" s="211"/>
      <c r="K51" s="211"/>
      <c r="L51" s="211"/>
      <c r="M51" s="211"/>
      <c r="N51" s="211"/>
      <c r="O51" s="53">
        <f t="shared" ref="O51:Q51" si="28">$B51*O18*$C51</f>
        <v>8.01</v>
      </c>
      <c r="P51" s="53">
        <f t="shared" si="28"/>
        <v>0.9</v>
      </c>
      <c r="Q51" s="53">
        <f t="shared" si="28"/>
        <v>0.09</v>
      </c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7"/>
      <c r="AF51" s="53">
        <v>9.0054</v>
      </c>
      <c r="AG51" s="207"/>
      <c r="AH51" s="211"/>
      <c r="AI51" s="211"/>
      <c r="AJ51" s="211"/>
      <c r="AK51" s="211"/>
      <c r="AL51" s="211"/>
      <c r="AM51" s="211"/>
      <c r="AN51" s="211"/>
      <c r="AO51" s="211"/>
      <c r="AP51" s="207"/>
      <c r="AQ51" s="211"/>
      <c r="AR51" s="211"/>
      <c r="AS51" s="211"/>
      <c r="AT51" s="211"/>
      <c r="AU51" s="211"/>
      <c r="AV51" s="211"/>
      <c r="AW51" s="53">
        <f t="shared" ref="AW51:BC51" si="29">$AF51*AW18</f>
        <v>1.260756</v>
      </c>
      <c r="AX51" s="53">
        <f t="shared" si="29"/>
        <v>2.971782</v>
      </c>
      <c r="AY51" s="53">
        <f t="shared" si="29"/>
        <v>2.25135</v>
      </c>
      <c r="AZ51" s="53">
        <f t="shared" si="29"/>
        <v>1.35081</v>
      </c>
      <c r="BA51" s="53">
        <f t="shared" si="29"/>
        <v>0.630378</v>
      </c>
      <c r="BB51" s="53">
        <f t="shared" si="29"/>
        <v>0.360216</v>
      </c>
      <c r="BC51" s="53">
        <f t="shared" si="29"/>
        <v>0.180108</v>
      </c>
      <c r="BD51" s="211"/>
      <c r="BE51" s="211"/>
      <c r="BF51" s="211"/>
      <c r="BG51" s="211"/>
      <c r="BH51" s="211"/>
      <c r="BI51" s="211"/>
      <c r="BJ51" s="211"/>
      <c r="BK51" s="211"/>
      <c r="BL51" s="211"/>
    </row>
    <row r="52" ht="15.75" customHeight="1">
      <c r="A52" s="209" t="s">
        <v>68</v>
      </c>
      <c r="B52" s="213">
        <v>24.0</v>
      </c>
      <c r="C52" s="214">
        <v>0.5</v>
      </c>
      <c r="D52" s="205"/>
      <c r="E52" s="205"/>
      <c r="F52" s="205"/>
      <c r="G52" s="205"/>
      <c r="H52" s="205"/>
      <c r="I52" s="205"/>
      <c r="J52" s="211"/>
      <c r="K52" s="211"/>
      <c r="L52" s="211"/>
      <c r="M52" s="211"/>
      <c r="N52" s="211"/>
      <c r="O52" s="211"/>
      <c r="P52" s="53">
        <f t="shared" ref="P52:R52" si="30">$B52*P19*$C52</f>
        <v>10.68</v>
      </c>
      <c r="Q52" s="53">
        <f t="shared" si="30"/>
        <v>1.2</v>
      </c>
      <c r="R52" s="53">
        <f t="shared" si="30"/>
        <v>0.12</v>
      </c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7"/>
      <c r="AF52" s="53">
        <v>11.67</v>
      </c>
      <c r="AG52" s="211"/>
      <c r="AH52" s="211"/>
      <c r="AI52" s="211"/>
      <c r="AJ52" s="211"/>
      <c r="AK52" s="211"/>
      <c r="AL52" s="211"/>
      <c r="AM52" s="211"/>
      <c r="AN52" s="211"/>
      <c r="AO52" s="211"/>
      <c r="AP52" s="207"/>
      <c r="AQ52" s="211"/>
      <c r="AR52" s="211"/>
      <c r="AS52" s="211"/>
      <c r="AT52" s="211"/>
      <c r="AU52" s="211"/>
      <c r="AV52" s="211"/>
      <c r="AW52" s="211"/>
      <c r="AX52" s="53">
        <f t="shared" ref="AX52:BD52" si="31">$AF52*AX19</f>
        <v>1.6338</v>
      </c>
      <c r="AY52" s="53">
        <f t="shared" si="31"/>
        <v>3.8511</v>
      </c>
      <c r="AZ52" s="53">
        <f t="shared" si="31"/>
        <v>2.9175</v>
      </c>
      <c r="BA52" s="53">
        <f t="shared" si="31"/>
        <v>1.7505</v>
      </c>
      <c r="BB52" s="53">
        <f t="shared" si="31"/>
        <v>0.8169</v>
      </c>
      <c r="BC52" s="53">
        <f t="shared" si="31"/>
        <v>0.4668</v>
      </c>
      <c r="BD52" s="53">
        <f t="shared" si="31"/>
        <v>0.2334</v>
      </c>
      <c r="BE52" s="211"/>
      <c r="BF52" s="211"/>
      <c r="BG52" s="211"/>
      <c r="BH52" s="211"/>
      <c r="BI52" s="211"/>
      <c r="BJ52" s="211"/>
      <c r="BK52" s="211"/>
      <c r="BL52" s="211"/>
    </row>
    <row r="53" ht="15.75" customHeight="1">
      <c r="A53" s="209" t="s">
        <v>69</v>
      </c>
      <c r="B53" s="213" t="str">
        <f>average($B$48:$B$52)*1.2+'Brand Rollout'!D18/2</f>
        <v>#REF!</v>
      </c>
      <c r="C53" s="214">
        <v>0.55</v>
      </c>
      <c r="D53" s="205"/>
      <c r="E53" s="205"/>
      <c r="F53" s="205"/>
      <c r="G53" s="205"/>
      <c r="H53" s="205"/>
      <c r="I53" s="205"/>
      <c r="J53" s="211"/>
      <c r="K53" s="211"/>
      <c r="L53" s="211"/>
      <c r="M53" s="211"/>
      <c r="N53" s="211"/>
      <c r="O53" s="211"/>
      <c r="P53" s="211"/>
      <c r="Q53" s="53" t="str">
        <f t="shared" ref="Q53:S53" si="32">$B53*Q20*$C53</f>
        <v>#REF!</v>
      </c>
      <c r="R53" s="53" t="str">
        <f t="shared" si="32"/>
        <v>#REF!</v>
      </c>
      <c r="S53" s="53" t="str">
        <f t="shared" si="32"/>
        <v>#REF!</v>
      </c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7"/>
      <c r="AF53" s="53" t="e">
        <v>#REF!</v>
      </c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53" t="str">
        <f t="shared" ref="AY53:BE53" si="33">$AF53*AY20</f>
        <v>#REF!</v>
      </c>
      <c r="AZ53" s="53" t="str">
        <f t="shared" si="33"/>
        <v>#REF!</v>
      </c>
      <c r="BA53" s="53" t="str">
        <f t="shared" si="33"/>
        <v>#REF!</v>
      </c>
      <c r="BB53" s="53" t="str">
        <f t="shared" si="33"/>
        <v>#REF!</v>
      </c>
      <c r="BC53" s="53" t="str">
        <f t="shared" si="33"/>
        <v>#REF!</v>
      </c>
      <c r="BD53" s="53" t="str">
        <f t="shared" si="33"/>
        <v>#REF!</v>
      </c>
      <c r="BE53" s="53" t="str">
        <f t="shared" si="33"/>
        <v>#REF!</v>
      </c>
      <c r="BF53" s="211"/>
      <c r="BG53" s="211"/>
      <c r="BH53" s="211"/>
      <c r="BI53" s="211"/>
      <c r="BJ53" s="211"/>
      <c r="BK53" s="211"/>
      <c r="BL53" s="211"/>
    </row>
    <row r="54" ht="15.75" customHeight="1">
      <c r="A54" s="218" t="s">
        <v>70</v>
      </c>
      <c r="B54" s="213" t="str">
        <f t="shared" ref="B54:B56" si="36">average($B$48:$B$52)*1.5+'Brand Rollout'!D19/2</f>
        <v>#REF!</v>
      </c>
      <c r="C54" s="214">
        <v>0.55</v>
      </c>
      <c r="D54" s="205"/>
      <c r="E54" s="205"/>
      <c r="F54" s="205"/>
      <c r="G54" s="205"/>
      <c r="H54" s="205"/>
      <c r="I54" s="205"/>
      <c r="J54" s="211"/>
      <c r="K54" s="211"/>
      <c r="L54" s="211"/>
      <c r="M54" s="211"/>
      <c r="N54" s="211"/>
      <c r="O54" s="211"/>
      <c r="P54" s="211"/>
      <c r="Q54" s="211"/>
      <c r="R54" s="53" t="str">
        <f t="shared" ref="R54:T54" si="34">$B54*R21*$C54</f>
        <v>#REF!</v>
      </c>
      <c r="S54" s="53" t="str">
        <f t="shared" si="34"/>
        <v>#REF!</v>
      </c>
      <c r="T54" s="53" t="str">
        <f t="shared" si="34"/>
        <v>#REF!</v>
      </c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7"/>
      <c r="AF54" s="53" t="e">
        <v>#REF!</v>
      </c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53" t="str">
        <f t="shared" ref="AZ54:BF54" si="35">$AF54*AZ21</f>
        <v>#REF!</v>
      </c>
      <c r="BA54" s="53" t="str">
        <f t="shared" si="35"/>
        <v>#REF!</v>
      </c>
      <c r="BB54" s="53" t="str">
        <f t="shared" si="35"/>
        <v>#REF!</v>
      </c>
      <c r="BC54" s="53" t="str">
        <f t="shared" si="35"/>
        <v>#REF!</v>
      </c>
      <c r="BD54" s="53" t="str">
        <f t="shared" si="35"/>
        <v>#REF!</v>
      </c>
      <c r="BE54" s="53" t="str">
        <f t="shared" si="35"/>
        <v>#REF!</v>
      </c>
      <c r="BF54" s="53" t="str">
        <f t="shared" si="35"/>
        <v>#REF!</v>
      </c>
      <c r="BG54" s="211"/>
      <c r="BH54" s="211"/>
      <c r="BI54" s="211"/>
      <c r="BJ54" s="211"/>
      <c r="BK54" s="211"/>
      <c r="BL54" s="211"/>
    </row>
    <row r="55" ht="15.75" customHeight="1">
      <c r="A55" s="209" t="s">
        <v>71</v>
      </c>
      <c r="B55" s="213" t="str">
        <f t="shared" si="36"/>
        <v>#REF!</v>
      </c>
      <c r="C55" s="214">
        <v>0.55</v>
      </c>
      <c r="D55" s="205"/>
      <c r="E55" s="205"/>
      <c r="F55" s="205"/>
      <c r="G55" s="205"/>
      <c r="H55" s="205"/>
      <c r="I55" s="205"/>
      <c r="J55" s="211"/>
      <c r="K55" s="211"/>
      <c r="L55" s="211"/>
      <c r="M55" s="211"/>
      <c r="N55" s="211"/>
      <c r="O55" s="211"/>
      <c r="P55" s="211"/>
      <c r="Q55" s="211"/>
      <c r="R55" s="211"/>
      <c r="S55" s="53" t="str">
        <f t="shared" ref="S55:U55" si="37">$B55*S22*$C55</f>
        <v>#REF!</v>
      </c>
      <c r="T55" s="53" t="str">
        <f t="shared" si="37"/>
        <v>#REF!</v>
      </c>
      <c r="U55" s="53" t="str">
        <f t="shared" si="37"/>
        <v>#REF!</v>
      </c>
      <c r="V55" s="211"/>
      <c r="W55" s="211"/>
      <c r="X55" s="211"/>
      <c r="Y55" s="211"/>
      <c r="Z55" s="211"/>
      <c r="AA55" s="211"/>
      <c r="AB55" s="211"/>
      <c r="AC55" s="211"/>
      <c r="AD55" s="211"/>
      <c r="AE55" s="217"/>
      <c r="AF55" s="53" t="e">
        <v>#REF!</v>
      </c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07"/>
      <c r="AZ55" s="211"/>
      <c r="BA55" s="53" t="str">
        <f t="shared" ref="BA55:BG55" si="38">$AF55*BA22</f>
        <v>#REF!</v>
      </c>
      <c r="BB55" s="53" t="str">
        <f t="shared" si="38"/>
        <v>#REF!</v>
      </c>
      <c r="BC55" s="53" t="str">
        <f t="shared" si="38"/>
        <v>#REF!</v>
      </c>
      <c r="BD55" s="53" t="str">
        <f t="shared" si="38"/>
        <v>#REF!</v>
      </c>
      <c r="BE55" s="53" t="str">
        <f t="shared" si="38"/>
        <v>#REF!</v>
      </c>
      <c r="BF55" s="53" t="str">
        <f t="shared" si="38"/>
        <v>#REF!</v>
      </c>
      <c r="BG55" s="53" t="str">
        <f t="shared" si="38"/>
        <v>#REF!</v>
      </c>
      <c r="BH55" s="211"/>
      <c r="BI55" s="211"/>
      <c r="BJ55" s="211"/>
      <c r="BK55" s="211"/>
      <c r="BL55" s="211"/>
    </row>
    <row r="56" ht="15.75" customHeight="1">
      <c r="A56" s="209" t="s">
        <v>72</v>
      </c>
      <c r="B56" s="213" t="str">
        <f t="shared" si="36"/>
        <v>#REF!</v>
      </c>
      <c r="C56" s="214">
        <v>0.55</v>
      </c>
      <c r="D56" s="205"/>
      <c r="E56" s="205"/>
      <c r="F56" s="205"/>
      <c r="G56" s="205"/>
      <c r="H56" s="205"/>
      <c r="I56" s="205"/>
      <c r="J56" s="211"/>
      <c r="K56" s="211"/>
      <c r="L56" s="211"/>
      <c r="M56" s="211"/>
      <c r="N56" s="211"/>
      <c r="O56" s="211"/>
      <c r="P56" s="211"/>
      <c r="Q56" s="211"/>
      <c r="R56" s="211"/>
      <c r="S56" s="205"/>
      <c r="T56" s="53" t="str">
        <f t="shared" ref="T56:V56" si="39">$B56*T23*$C56</f>
        <v>#REF!</v>
      </c>
      <c r="U56" s="53" t="str">
        <f t="shared" si="39"/>
        <v>#REF!</v>
      </c>
      <c r="V56" s="53" t="str">
        <f t="shared" si="39"/>
        <v>#REF!</v>
      </c>
      <c r="W56" s="211"/>
      <c r="X56" s="211"/>
      <c r="Y56" s="211"/>
      <c r="Z56" s="211"/>
      <c r="AA56" s="211"/>
      <c r="AB56" s="211"/>
      <c r="AC56" s="211"/>
      <c r="AD56" s="211"/>
      <c r="AE56" s="217"/>
      <c r="AF56" s="53" t="e">
        <v>#REF!</v>
      </c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07"/>
      <c r="AZ56" s="211"/>
      <c r="BA56" s="211"/>
      <c r="BB56" s="53" t="str">
        <f t="shared" ref="BB56:BH56" si="40">$AF56*BB23</f>
        <v>#REF!</v>
      </c>
      <c r="BC56" s="53" t="str">
        <f t="shared" si="40"/>
        <v>#REF!</v>
      </c>
      <c r="BD56" s="53" t="str">
        <f t="shared" si="40"/>
        <v>#REF!</v>
      </c>
      <c r="BE56" s="53" t="str">
        <f t="shared" si="40"/>
        <v>#REF!</v>
      </c>
      <c r="BF56" s="53" t="str">
        <f t="shared" si="40"/>
        <v>#REF!</v>
      </c>
      <c r="BG56" s="53" t="str">
        <f t="shared" si="40"/>
        <v>#REF!</v>
      </c>
      <c r="BH56" s="53" t="str">
        <f t="shared" si="40"/>
        <v>#REF!</v>
      </c>
      <c r="BI56" s="211"/>
      <c r="BJ56" s="211"/>
      <c r="BK56" s="211"/>
      <c r="BL56" s="211"/>
    </row>
    <row r="57" ht="15.75" customHeight="1">
      <c r="A57" s="209" t="s">
        <v>73</v>
      </c>
      <c r="B57" s="213" t="str">
        <f t="shared" ref="B57:B60" si="43">average($B$48:$B$52)*1.7+'Brand Rollout'!D22/2</f>
        <v>#REF!</v>
      </c>
      <c r="C57" s="214">
        <v>0.55</v>
      </c>
      <c r="D57" s="205"/>
      <c r="E57" s="205"/>
      <c r="F57" s="205"/>
      <c r="G57" s="205"/>
      <c r="H57" s="205"/>
      <c r="I57" s="205"/>
      <c r="J57" s="211"/>
      <c r="K57" s="211"/>
      <c r="L57" s="211"/>
      <c r="M57" s="211"/>
      <c r="N57" s="211"/>
      <c r="O57" s="211"/>
      <c r="P57" s="211"/>
      <c r="Q57" s="211"/>
      <c r="R57" s="211"/>
      <c r="S57" s="205"/>
      <c r="T57" s="205"/>
      <c r="U57" s="53" t="str">
        <f t="shared" ref="U57:W57" si="41">$B57*U24*$C57</f>
        <v>#REF!</v>
      </c>
      <c r="V57" s="53" t="str">
        <f t="shared" si="41"/>
        <v>#REF!</v>
      </c>
      <c r="W57" s="53" t="str">
        <f t="shared" si="41"/>
        <v>#REF!</v>
      </c>
      <c r="X57" s="211"/>
      <c r="Y57" s="211"/>
      <c r="Z57" s="211"/>
      <c r="AA57" s="211"/>
      <c r="AB57" s="211"/>
      <c r="AC57" s="211"/>
      <c r="AD57" s="211"/>
      <c r="AE57" s="217"/>
      <c r="AF57" s="53" t="e">
        <v>#REF!</v>
      </c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07"/>
      <c r="AZ57" s="211"/>
      <c r="BA57" s="211"/>
      <c r="BB57" s="211"/>
      <c r="BC57" s="53" t="str">
        <f t="shared" ref="BC57:BI57" si="42">$AF57*BC24</f>
        <v>#REF!</v>
      </c>
      <c r="BD57" s="53" t="str">
        <f t="shared" si="42"/>
        <v>#REF!</v>
      </c>
      <c r="BE57" s="53" t="str">
        <f t="shared" si="42"/>
        <v>#REF!</v>
      </c>
      <c r="BF57" s="53" t="str">
        <f t="shared" si="42"/>
        <v>#REF!</v>
      </c>
      <c r="BG57" s="53" t="str">
        <f t="shared" si="42"/>
        <v>#REF!</v>
      </c>
      <c r="BH57" s="53" t="str">
        <f t="shared" si="42"/>
        <v>#REF!</v>
      </c>
      <c r="BI57" s="53" t="str">
        <f t="shared" si="42"/>
        <v>#REF!</v>
      </c>
      <c r="BJ57" s="211"/>
      <c r="BK57" s="211"/>
      <c r="BL57" s="211"/>
    </row>
    <row r="58" ht="15.75" customHeight="1">
      <c r="A58" s="209" t="s">
        <v>74</v>
      </c>
      <c r="B58" s="213" t="str">
        <f t="shared" si="43"/>
        <v>#REF!</v>
      </c>
      <c r="C58" s="214">
        <v>0.55</v>
      </c>
      <c r="D58" s="205"/>
      <c r="E58" s="205"/>
      <c r="F58" s="205"/>
      <c r="G58" s="205"/>
      <c r="H58" s="205"/>
      <c r="I58" s="205"/>
      <c r="J58" s="211"/>
      <c r="K58" s="211"/>
      <c r="L58" s="211"/>
      <c r="M58" s="211"/>
      <c r="N58" s="211"/>
      <c r="O58" s="211"/>
      <c r="P58" s="211"/>
      <c r="Q58" s="211"/>
      <c r="R58" s="211"/>
      <c r="S58" s="205"/>
      <c r="T58" s="205"/>
      <c r="U58" s="205"/>
      <c r="V58" s="53" t="str">
        <f t="shared" ref="V58:X58" si="44">$B58*V25*$C58</f>
        <v>#REF!</v>
      </c>
      <c r="W58" s="53" t="str">
        <f t="shared" si="44"/>
        <v>#REF!</v>
      </c>
      <c r="X58" s="53" t="str">
        <f t="shared" si="44"/>
        <v>#REF!</v>
      </c>
      <c r="Y58" s="211"/>
      <c r="Z58" s="211"/>
      <c r="AA58" s="211"/>
      <c r="AB58" s="211"/>
      <c r="AC58" s="211"/>
      <c r="AD58" s="211"/>
      <c r="AE58" s="217"/>
      <c r="AF58" s="53" t="e">
        <v>#REF!</v>
      </c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07"/>
      <c r="AZ58" s="211"/>
      <c r="BA58" s="211"/>
      <c r="BB58" s="211"/>
      <c r="BC58" s="211"/>
      <c r="BD58" s="53" t="str">
        <f t="shared" ref="BD58:BJ58" si="45">$AF58*BD25</f>
        <v>#REF!</v>
      </c>
      <c r="BE58" s="53" t="str">
        <f t="shared" si="45"/>
        <v>#REF!</v>
      </c>
      <c r="BF58" s="53" t="str">
        <f t="shared" si="45"/>
        <v>#REF!</v>
      </c>
      <c r="BG58" s="53" t="str">
        <f t="shared" si="45"/>
        <v>#REF!</v>
      </c>
      <c r="BH58" s="53" t="str">
        <f t="shared" si="45"/>
        <v>#REF!</v>
      </c>
      <c r="BI58" s="53" t="str">
        <f t="shared" si="45"/>
        <v>#REF!</v>
      </c>
      <c r="BJ58" s="53" t="str">
        <f t="shared" si="45"/>
        <v>#REF!</v>
      </c>
      <c r="BK58" s="211"/>
      <c r="BL58" s="211"/>
    </row>
    <row r="59" ht="15.75" customHeight="1">
      <c r="A59" s="209" t="s">
        <v>75</v>
      </c>
      <c r="B59" s="213" t="str">
        <f t="shared" si="43"/>
        <v>#REF!</v>
      </c>
      <c r="C59" s="214">
        <v>0.55</v>
      </c>
      <c r="D59" s="205"/>
      <c r="E59" s="205"/>
      <c r="F59" s="205"/>
      <c r="G59" s="205"/>
      <c r="H59" s="205"/>
      <c r="I59" s="205"/>
      <c r="J59" s="211"/>
      <c r="K59" s="211"/>
      <c r="L59" s="211"/>
      <c r="M59" s="211"/>
      <c r="N59" s="211"/>
      <c r="O59" s="211"/>
      <c r="P59" s="211"/>
      <c r="Q59" s="211"/>
      <c r="R59" s="211"/>
      <c r="S59" s="205"/>
      <c r="T59" s="205"/>
      <c r="U59" s="205"/>
      <c r="V59" s="211"/>
      <c r="W59" s="53" t="str">
        <f t="shared" ref="W59:Y59" si="46">$B59*W26*$C59</f>
        <v>#REF!</v>
      </c>
      <c r="X59" s="53" t="str">
        <f t="shared" si="46"/>
        <v>#REF!</v>
      </c>
      <c r="Y59" s="53" t="str">
        <f t="shared" si="46"/>
        <v>#REF!</v>
      </c>
      <c r="Z59" s="211"/>
      <c r="AA59" s="211"/>
      <c r="AB59" s="211"/>
      <c r="AC59" s="211"/>
      <c r="AD59" s="211"/>
      <c r="AE59" s="217"/>
      <c r="AF59" s="53" t="e">
        <v>#REF!</v>
      </c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07"/>
      <c r="AZ59" s="211"/>
      <c r="BA59" s="211"/>
      <c r="BB59" s="211"/>
      <c r="BC59" s="211"/>
      <c r="BD59" s="211"/>
      <c r="BE59" s="53" t="str">
        <f t="shared" ref="BE59:BK59" si="47">$AF59*BE26</f>
        <v>#REF!</v>
      </c>
      <c r="BF59" s="53" t="str">
        <f t="shared" si="47"/>
        <v>#REF!</v>
      </c>
      <c r="BG59" s="53" t="str">
        <f t="shared" si="47"/>
        <v>#REF!</v>
      </c>
      <c r="BH59" s="53" t="str">
        <f t="shared" si="47"/>
        <v>#REF!</v>
      </c>
      <c r="BI59" s="53" t="str">
        <f t="shared" si="47"/>
        <v>#REF!</v>
      </c>
      <c r="BJ59" s="53" t="str">
        <f t="shared" si="47"/>
        <v>#REF!</v>
      </c>
      <c r="BK59" s="53" t="str">
        <f t="shared" si="47"/>
        <v>#REF!</v>
      </c>
      <c r="BL59" s="211"/>
    </row>
    <row r="60" ht="15.75" customHeight="1">
      <c r="A60" s="209" t="s">
        <v>76</v>
      </c>
      <c r="B60" s="213" t="str">
        <f t="shared" si="43"/>
        <v>#REF!</v>
      </c>
      <c r="C60" s="214">
        <v>0.55</v>
      </c>
      <c r="D60" s="205"/>
      <c r="E60" s="205"/>
      <c r="F60" s="205"/>
      <c r="G60" s="205"/>
      <c r="H60" s="205"/>
      <c r="I60" s="205"/>
      <c r="J60" s="211"/>
      <c r="K60" s="211"/>
      <c r="L60" s="211"/>
      <c r="M60" s="211"/>
      <c r="N60" s="211"/>
      <c r="O60" s="211"/>
      <c r="P60" s="211"/>
      <c r="Q60" s="211"/>
      <c r="R60" s="211"/>
      <c r="S60" s="205"/>
      <c r="T60" s="205"/>
      <c r="U60" s="205"/>
      <c r="V60" s="211"/>
      <c r="W60" s="211"/>
      <c r="X60" s="53" t="str">
        <f t="shared" ref="X60:Z60" si="48">$B60*X27*$C60</f>
        <v>#REF!</v>
      </c>
      <c r="Y60" s="53" t="str">
        <f t="shared" si="48"/>
        <v>#REF!</v>
      </c>
      <c r="Z60" s="53" t="str">
        <f t="shared" si="48"/>
        <v>#REF!</v>
      </c>
      <c r="AA60" s="211"/>
      <c r="AB60" s="211"/>
      <c r="AC60" s="211"/>
      <c r="AD60" s="211"/>
      <c r="AE60" s="217"/>
      <c r="AF60" s="53" t="e">
        <v>#REF!</v>
      </c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07"/>
      <c r="AZ60" s="211"/>
      <c r="BA60" s="211"/>
      <c r="BB60" s="211"/>
      <c r="BC60" s="211"/>
      <c r="BD60" s="211"/>
      <c r="BE60" s="211"/>
      <c r="BF60" s="53" t="str">
        <f t="shared" ref="BF60:BL60" si="49">$AF60*BF27</f>
        <v>#REF!</v>
      </c>
      <c r="BG60" s="53" t="str">
        <f t="shared" si="49"/>
        <v>#REF!</v>
      </c>
      <c r="BH60" s="53" t="str">
        <f t="shared" si="49"/>
        <v>#REF!</v>
      </c>
      <c r="BI60" s="53" t="str">
        <f t="shared" si="49"/>
        <v>#REF!</v>
      </c>
      <c r="BJ60" s="53" t="str">
        <f t="shared" si="49"/>
        <v>#REF!</v>
      </c>
      <c r="BK60" s="53" t="str">
        <f t="shared" si="49"/>
        <v>#REF!</v>
      </c>
      <c r="BL60" s="53" t="str">
        <f t="shared" si="49"/>
        <v>#REF!</v>
      </c>
    </row>
    <row r="61" ht="15.75" customHeight="1">
      <c r="A61" s="209" t="s">
        <v>77</v>
      </c>
      <c r="B61" s="213" t="str">
        <f t="shared" ref="B61:B66" si="52">average($B$48:$B$52)*2.2+'Brand Rollout'!D26/2</f>
        <v>#REF!</v>
      </c>
      <c r="C61" s="214">
        <v>0.55</v>
      </c>
      <c r="D61" s="205"/>
      <c r="E61" s="205"/>
      <c r="F61" s="205"/>
      <c r="G61" s="205"/>
      <c r="H61" s="205"/>
      <c r="I61" s="205"/>
      <c r="J61" s="211"/>
      <c r="K61" s="211"/>
      <c r="L61" s="211"/>
      <c r="M61" s="211"/>
      <c r="N61" s="211"/>
      <c r="O61" s="211"/>
      <c r="P61" s="211"/>
      <c r="Q61" s="211"/>
      <c r="R61" s="211"/>
      <c r="S61" s="205"/>
      <c r="T61" s="205"/>
      <c r="U61" s="205"/>
      <c r="V61" s="211"/>
      <c r="W61" s="211"/>
      <c r="X61" s="211"/>
      <c r="Y61" s="53" t="str">
        <f t="shared" ref="Y61:AA61" si="50">$B61*Y28*$C61</f>
        <v>#REF!</v>
      </c>
      <c r="Z61" s="53" t="str">
        <f t="shared" si="50"/>
        <v>#REF!</v>
      </c>
      <c r="AA61" s="53" t="str">
        <f t="shared" si="50"/>
        <v>#REF!</v>
      </c>
      <c r="AB61" s="211"/>
      <c r="AC61" s="211"/>
      <c r="AD61" s="211"/>
      <c r="AE61" s="217"/>
      <c r="AF61" s="53" t="e">
        <v>#REF!</v>
      </c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07"/>
      <c r="AZ61" s="211"/>
      <c r="BA61" s="211"/>
      <c r="BB61" s="211"/>
      <c r="BC61" s="211"/>
      <c r="BD61" s="211"/>
      <c r="BE61" s="211"/>
      <c r="BF61" s="211"/>
      <c r="BG61" s="53" t="str">
        <f t="shared" ref="BG61:BL61" si="51">$AF61*BG28</f>
        <v>#REF!</v>
      </c>
      <c r="BH61" s="53" t="str">
        <f t="shared" si="51"/>
        <v>#REF!</v>
      </c>
      <c r="BI61" s="53" t="str">
        <f t="shared" si="51"/>
        <v>#REF!</v>
      </c>
      <c r="BJ61" s="53" t="str">
        <f t="shared" si="51"/>
        <v>#REF!</v>
      </c>
      <c r="BK61" s="53" t="str">
        <f t="shared" si="51"/>
        <v>#REF!</v>
      </c>
      <c r="BL61" s="53" t="str">
        <f t="shared" si="51"/>
        <v>#REF!</v>
      </c>
    </row>
    <row r="62" ht="15.75" customHeight="1">
      <c r="A62" s="209" t="s">
        <v>78</v>
      </c>
      <c r="B62" s="213" t="str">
        <f t="shared" si="52"/>
        <v>#REF!</v>
      </c>
      <c r="C62" s="214">
        <v>0.55</v>
      </c>
      <c r="D62" s="205"/>
      <c r="E62" s="205"/>
      <c r="F62" s="205"/>
      <c r="G62" s="205"/>
      <c r="H62" s="205"/>
      <c r="I62" s="205"/>
      <c r="J62" s="211"/>
      <c r="K62" s="211"/>
      <c r="L62" s="211"/>
      <c r="M62" s="211"/>
      <c r="N62" s="211"/>
      <c r="O62" s="211"/>
      <c r="P62" s="211"/>
      <c r="Q62" s="211"/>
      <c r="R62" s="211"/>
      <c r="S62" s="205"/>
      <c r="T62" s="205"/>
      <c r="U62" s="205"/>
      <c r="V62" s="211"/>
      <c r="W62" s="211"/>
      <c r="X62" s="211"/>
      <c r="Y62" s="211"/>
      <c r="Z62" s="53" t="str">
        <f t="shared" ref="Z62:AB62" si="53">$B62*Z29*$C62</f>
        <v>#REF!</v>
      </c>
      <c r="AA62" s="53" t="str">
        <f t="shared" si="53"/>
        <v>#REF!</v>
      </c>
      <c r="AB62" s="53" t="str">
        <f t="shared" si="53"/>
        <v>#REF!</v>
      </c>
      <c r="AC62" s="211"/>
      <c r="AD62" s="211"/>
      <c r="AE62" s="217"/>
      <c r="AF62" s="53" t="e">
        <v>#REF!</v>
      </c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53" t="str">
        <f t="shared" ref="BH62:BL62" si="54">$AF62*BH29</f>
        <v>#REF!</v>
      </c>
      <c r="BI62" s="53" t="str">
        <f t="shared" si="54"/>
        <v>#REF!</v>
      </c>
      <c r="BJ62" s="53" t="str">
        <f t="shared" si="54"/>
        <v>#REF!</v>
      </c>
      <c r="BK62" s="53" t="str">
        <f t="shared" si="54"/>
        <v>#REF!</v>
      </c>
      <c r="BL62" s="53" t="str">
        <f t="shared" si="54"/>
        <v>#REF!</v>
      </c>
    </row>
    <row r="63" ht="15.75" customHeight="1">
      <c r="A63" s="209" t="s">
        <v>79</v>
      </c>
      <c r="B63" s="213" t="str">
        <f t="shared" si="52"/>
        <v>#REF!</v>
      </c>
      <c r="C63" s="214">
        <v>0.55</v>
      </c>
      <c r="D63" s="205"/>
      <c r="E63" s="205"/>
      <c r="F63" s="205"/>
      <c r="G63" s="205"/>
      <c r="H63" s="205"/>
      <c r="I63" s="205"/>
      <c r="J63" s="211"/>
      <c r="K63" s="211"/>
      <c r="L63" s="211"/>
      <c r="M63" s="211"/>
      <c r="N63" s="211"/>
      <c r="O63" s="211"/>
      <c r="P63" s="211"/>
      <c r="Q63" s="211"/>
      <c r="R63" s="211"/>
      <c r="S63" s="205"/>
      <c r="T63" s="205"/>
      <c r="U63" s="205"/>
      <c r="V63" s="211"/>
      <c r="W63" s="211"/>
      <c r="X63" s="211"/>
      <c r="Y63" s="211"/>
      <c r="Z63" s="211"/>
      <c r="AA63" s="53" t="str">
        <f t="shared" ref="AA63:AC63" si="55">$B63*AA30*$C63</f>
        <v>#REF!</v>
      </c>
      <c r="AB63" s="53" t="str">
        <f t="shared" si="55"/>
        <v>#REF!</v>
      </c>
      <c r="AC63" s="53" t="str">
        <f t="shared" si="55"/>
        <v>#REF!</v>
      </c>
      <c r="AD63" s="211"/>
      <c r="AE63" s="217"/>
      <c r="AF63" s="53" t="e">
        <v>#REF!</v>
      </c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53" t="str">
        <f t="shared" ref="BI63:BL63" si="56">$AF63*BI30</f>
        <v>#REF!</v>
      </c>
      <c r="BJ63" s="53" t="str">
        <f t="shared" si="56"/>
        <v>#REF!</v>
      </c>
      <c r="BK63" s="53" t="str">
        <f t="shared" si="56"/>
        <v>#REF!</v>
      </c>
      <c r="BL63" s="53" t="str">
        <f t="shared" si="56"/>
        <v>#REF!</v>
      </c>
    </row>
    <row r="64" ht="15.75" customHeight="1">
      <c r="A64" s="209" t="s">
        <v>80</v>
      </c>
      <c r="B64" s="213" t="str">
        <f t="shared" si="52"/>
        <v>#REF!</v>
      </c>
      <c r="C64" s="214">
        <v>0.55</v>
      </c>
      <c r="D64" s="205"/>
      <c r="E64" s="205"/>
      <c r="F64" s="205"/>
      <c r="G64" s="205"/>
      <c r="H64" s="205"/>
      <c r="I64" s="205"/>
      <c r="J64" s="211"/>
      <c r="K64" s="211"/>
      <c r="L64" s="211"/>
      <c r="M64" s="211"/>
      <c r="N64" s="211"/>
      <c r="O64" s="211"/>
      <c r="P64" s="211"/>
      <c r="Q64" s="211"/>
      <c r="R64" s="211"/>
      <c r="S64" s="205"/>
      <c r="T64" s="205"/>
      <c r="U64" s="205"/>
      <c r="V64" s="211"/>
      <c r="W64" s="211"/>
      <c r="X64" s="211"/>
      <c r="Y64" s="211"/>
      <c r="Z64" s="211"/>
      <c r="AA64" s="211"/>
      <c r="AB64" s="53" t="str">
        <f t="shared" ref="AB64:AD64" si="57">$B64*AB31*$C64</f>
        <v>#REF!</v>
      </c>
      <c r="AC64" s="53" t="str">
        <f t="shared" si="57"/>
        <v>#REF!</v>
      </c>
      <c r="AD64" s="53" t="str">
        <f t="shared" si="57"/>
        <v>#REF!</v>
      </c>
      <c r="AE64" s="217"/>
      <c r="AF64" s="53" t="e">
        <v>#REF!</v>
      </c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53" t="str">
        <f t="shared" ref="BJ64:BL64" si="58">$AF64*BJ31</f>
        <v>#REF!</v>
      </c>
      <c r="BK64" s="53" t="str">
        <f t="shared" si="58"/>
        <v>#REF!</v>
      </c>
      <c r="BL64" s="53" t="str">
        <f t="shared" si="58"/>
        <v>#REF!</v>
      </c>
    </row>
    <row r="65" ht="15.75" customHeight="1">
      <c r="A65" s="209" t="s">
        <v>81</v>
      </c>
      <c r="B65" s="213" t="str">
        <f t="shared" si="52"/>
        <v>#REF!</v>
      </c>
      <c r="C65" s="214">
        <v>0.55</v>
      </c>
      <c r="D65" s="205"/>
      <c r="E65" s="205"/>
      <c r="F65" s="205"/>
      <c r="G65" s="205"/>
      <c r="H65" s="205"/>
      <c r="I65" s="205"/>
      <c r="J65" s="211"/>
      <c r="K65" s="211"/>
      <c r="L65" s="211"/>
      <c r="M65" s="211"/>
      <c r="N65" s="211"/>
      <c r="O65" s="211"/>
      <c r="P65" s="211"/>
      <c r="Q65" s="211"/>
      <c r="R65" s="211"/>
      <c r="S65" s="205"/>
      <c r="T65" s="205"/>
      <c r="U65" s="205"/>
      <c r="V65" s="211"/>
      <c r="W65" s="211"/>
      <c r="X65" s="211"/>
      <c r="Y65" s="211"/>
      <c r="Z65" s="211"/>
      <c r="AA65" s="211"/>
      <c r="AB65" s="211"/>
      <c r="AC65" s="53" t="str">
        <f t="shared" ref="AC65:AD65" si="59">$B65*AC32*$C65</f>
        <v>#REF!</v>
      </c>
      <c r="AD65" s="53" t="str">
        <f t="shared" si="59"/>
        <v>#REF!</v>
      </c>
      <c r="AE65" s="217"/>
      <c r="AF65" s="53" t="e">
        <v>#REF!</v>
      </c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53" t="str">
        <f t="shared" ref="BK65:BL65" si="60">$AF65*BK32</f>
        <v>#REF!</v>
      </c>
      <c r="BL65" s="53" t="str">
        <f t="shared" si="60"/>
        <v>#REF!</v>
      </c>
    </row>
    <row r="66" ht="15.75" customHeight="1">
      <c r="A66" s="209" t="s">
        <v>82</v>
      </c>
      <c r="B66" s="213" t="str">
        <f t="shared" si="52"/>
        <v>#REF!</v>
      </c>
      <c r="C66" s="214">
        <v>0.55</v>
      </c>
      <c r="D66" s="205"/>
      <c r="E66" s="205"/>
      <c r="F66" s="219"/>
      <c r="G66" s="219"/>
      <c r="H66" s="219"/>
      <c r="I66" s="219"/>
      <c r="J66" s="220"/>
      <c r="K66" s="220"/>
      <c r="L66" s="220"/>
      <c r="M66" s="220"/>
      <c r="N66" s="220"/>
      <c r="O66" s="221"/>
      <c r="P66" s="221"/>
      <c r="Q66" s="221"/>
      <c r="R66" s="221"/>
      <c r="S66" s="205"/>
      <c r="T66" s="205"/>
      <c r="U66" s="205"/>
      <c r="V66" s="211"/>
      <c r="W66" s="211"/>
      <c r="X66" s="211"/>
      <c r="Y66" s="211"/>
      <c r="Z66" s="211"/>
      <c r="AA66" s="211"/>
      <c r="AB66" s="211"/>
      <c r="AC66" s="211"/>
      <c r="AD66" s="53" t="str">
        <f>$B66*AD33*$C66</f>
        <v>#REF!</v>
      </c>
      <c r="AE66" s="222"/>
      <c r="AF66" s="53" t="e">
        <v>#REF!</v>
      </c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3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53" t="str">
        <f>$AF66*BL33</f>
        <v>#REF!</v>
      </c>
    </row>
    <row r="67" ht="15.75" customHeight="1">
      <c r="A67" s="224" t="s">
        <v>171</v>
      </c>
      <c r="B67" s="225"/>
      <c r="C67" s="225"/>
      <c r="D67" s="118">
        <f t="shared" ref="D67:AD67" si="61">sum(D39:D66)</f>
        <v>9.170823529</v>
      </c>
      <c r="E67" s="118">
        <f t="shared" si="61"/>
        <v>8.198823529</v>
      </c>
      <c r="F67" s="118">
        <f t="shared" si="61"/>
        <v>8.281623529</v>
      </c>
      <c r="G67" s="118">
        <f t="shared" si="61"/>
        <v>11.32609412</v>
      </c>
      <c r="H67" s="118">
        <f t="shared" si="61"/>
        <v>8.944094118</v>
      </c>
      <c r="I67" s="118">
        <f t="shared" si="61"/>
        <v>9.793941176</v>
      </c>
      <c r="J67" s="118">
        <f t="shared" si="61"/>
        <v>8.767694118</v>
      </c>
      <c r="K67" s="118">
        <f t="shared" si="61"/>
        <v>10.57711765</v>
      </c>
      <c r="L67" s="118">
        <f t="shared" si="61"/>
        <v>10.13957647</v>
      </c>
      <c r="M67" s="118">
        <f t="shared" si="61"/>
        <v>9.608470588</v>
      </c>
      <c r="N67" s="118">
        <f t="shared" si="61"/>
        <v>9.0648</v>
      </c>
      <c r="O67" s="118">
        <f t="shared" si="61"/>
        <v>9.0054</v>
      </c>
      <c r="P67" s="118">
        <f t="shared" si="61"/>
        <v>11.67</v>
      </c>
      <c r="Q67" s="118" t="str">
        <f t="shared" si="61"/>
        <v>#REF!</v>
      </c>
      <c r="R67" s="118" t="str">
        <f t="shared" si="61"/>
        <v>#REF!</v>
      </c>
      <c r="S67" s="118" t="str">
        <f t="shared" si="61"/>
        <v>#REF!</v>
      </c>
      <c r="T67" s="118" t="str">
        <f t="shared" si="61"/>
        <v>#REF!</v>
      </c>
      <c r="U67" s="118" t="str">
        <f t="shared" si="61"/>
        <v>#REF!</v>
      </c>
      <c r="V67" s="118" t="str">
        <f t="shared" si="61"/>
        <v>#REF!</v>
      </c>
      <c r="W67" s="118" t="str">
        <f t="shared" si="61"/>
        <v>#REF!</v>
      </c>
      <c r="X67" s="118" t="str">
        <f t="shared" si="61"/>
        <v>#REF!</v>
      </c>
      <c r="Y67" s="118" t="str">
        <f t="shared" si="61"/>
        <v>#REF!</v>
      </c>
      <c r="Z67" s="118" t="str">
        <f t="shared" si="61"/>
        <v>#REF!</v>
      </c>
      <c r="AA67" s="118" t="str">
        <f t="shared" si="61"/>
        <v>#REF!</v>
      </c>
      <c r="AB67" s="118" t="str">
        <f t="shared" si="61"/>
        <v>#REF!</v>
      </c>
      <c r="AC67" s="118" t="str">
        <f t="shared" si="61"/>
        <v>#REF!</v>
      </c>
      <c r="AD67" s="118" t="str">
        <f t="shared" si="61"/>
        <v>#REF!</v>
      </c>
      <c r="AE67" s="226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7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9"/>
    </row>
    <row r="68" ht="15.75" customHeight="1">
      <c r="A68" s="230" t="s">
        <v>172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2"/>
      <c r="AF68" s="231"/>
      <c r="AG68" s="60">
        <f t="shared" ref="AG68:BL68" si="62">sum(AG35:AG66)</f>
        <v>0</v>
      </c>
      <c r="AH68" s="60">
        <f t="shared" si="62"/>
        <v>0</v>
      </c>
      <c r="AI68" s="60">
        <f t="shared" si="62"/>
        <v>0</v>
      </c>
      <c r="AJ68" s="60">
        <f t="shared" si="62"/>
        <v>0</v>
      </c>
      <c r="AK68" s="60">
        <f t="shared" si="62"/>
        <v>0</v>
      </c>
      <c r="AL68" s="60">
        <f t="shared" si="62"/>
        <v>1.283915294</v>
      </c>
      <c r="AM68" s="60">
        <f t="shared" si="62"/>
        <v>4.174207059</v>
      </c>
      <c r="AN68" s="60">
        <f t="shared" si="62"/>
        <v>6.157744941</v>
      </c>
      <c r="AO68" s="60">
        <f t="shared" si="62"/>
        <v>7.743918353</v>
      </c>
      <c r="AP68" s="60">
        <f t="shared" si="62"/>
        <v>8.931971294</v>
      </c>
      <c r="AQ68" s="60">
        <f t="shared" si="62"/>
        <v>9.337220471</v>
      </c>
      <c r="AR68" s="60">
        <f t="shared" si="62"/>
        <v>9.485498471</v>
      </c>
      <c r="AS68" s="60">
        <f t="shared" si="62"/>
        <v>9.452302941</v>
      </c>
      <c r="AT68" s="60">
        <f t="shared" si="62"/>
        <v>9.815767059</v>
      </c>
      <c r="AU68" s="60">
        <f t="shared" si="62"/>
        <v>9.920541176</v>
      </c>
      <c r="AV68" s="60">
        <f t="shared" si="62"/>
        <v>9.745707176</v>
      </c>
      <c r="AW68" s="60">
        <f t="shared" si="62"/>
        <v>9.462178941</v>
      </c>
      <c r="AX68" s="60">
        <f t="shared" si="62"/>
        <v>9.621261529</v>
      </c>
      <c r="AY68" s="60" t="str">
        <f t="shared" si="62"/>
        <v>#REF!</v>
      </c>
      <c r="AZ68" s="60" t="str">
        <f t="shared" si="62"/>
        <v>#REF!</v>
      </c>
      <c r="BA68" s="60" t="str">
        <f t="shared" si="62"/>
        <v>#REF!</v>
      </c>
      <c r="BB68" s="60" t="str">
        <f t="shared" si="62"/>
        <v>#REF!</v>
      </c>
      <c r="BC68" s="60" t="str">
        <f t="shared" si="62"/>
        <v>#REF!</v>
      </c>
      <c r="BD68" s="60" t="str">
        <f t="shared" si="62"/>
        <v>#REF!</v>
      </c>
      <c r="BE68" s="60" t="str">
        <f t="shared" si="62"/>
        <v>#REF!</v>
      </c>
      <c r="BF68" s="60" t="str">
        <f t="shared" si="62"/>
        <v>#REF!</v>
      </c>
      <c r="BG68" s="60" t="str">
        <f t="shared" si="62"/>
        <v>#REF!</v>
      </c>
      <c r="BH68" s="60" t="str">
        <f t="shared" si="62"/>
        <v>#REF!</v>
      </c>
      <c r="BI68" s="60" t="str">
        <f t="shared" si="62"/>
        <v>#REF!</v>
      </c>
      <c r="BJ68" s="60" t="str">
        <f t="shared" si="62"/>
        <v>#REF!</v>
      </c>
      <c r="BK68" s="60" t="str">
        <f t="shared" si="62"/>
        <v>#REF!</v>
      </c>
      <c r="BL68" s="60" t="str">
        <f t="shared" si="62"/>
        <v>#REF!</v>
      </c>
    </row>
    <row r="69" ht="15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233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234">
        <v>10.0</v>
      </c>
      <c r="AX69" s="234">
        <v>13.0</v>
      </c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</row>
    <row r="70" ht="15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233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</row>
    <row r="71" ht="15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233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</row>
    <row r="72" ht="15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23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233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</row>
    <row r="73" ht="15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23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233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</row>
    <row r="74" ht="15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23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233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233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233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</row>
    <row r="77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233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</row>
    <row r="78" ht="15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233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</row>
    <row r="79" ht="15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233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</row>
    <row r="80" ht="15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233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</row>
    <row r="81" ht="15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233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</row>
    <row r="82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233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</row>
    <row r="83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233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</row>
    <row r="84" ht="15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233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</row>
    <row r="85" ht="15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233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</row>
    <row r="86" ht="15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233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</row>
    <row r="87" ht="15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233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</row>
    <row r="88" ht="15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233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</row>
    <row r="89" ht="15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233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</row>
    <row r="90" ht="15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233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</row>
    <row r="91" ht="15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233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</row>
    <row r="92" ht="15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233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</row>
    <row r="93" ht="15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233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</row>
    <row r="94" ht="15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233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</row>
    <row r="95" ht="15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233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</row>
    <row r="96" ht="15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233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</row>
    <row r="97" ht="15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233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</row>
    <row r="98" ht="15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233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</row>
    <row r="99" ht="15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233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</row>
    <row r="100" ht="15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233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</row>
    <row r="101" ht="15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233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</row>
    <row r="102" ht="15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233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</row>
    <row r="103" ht="15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233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</row>
    <row r="104" ht="15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233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</row>
    <row r="105" ht="15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233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</row>
    <row r="106" ht="15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233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</row>
    <row r="107" ht="15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233"/>
      <c r="AF107" s="185"/>
      <c r="AG107" s="185"/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</row>
    <row r="108" ht="15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233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</row>
    <row r="109" ht="15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233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</row>
    <row r="110" ht="15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233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</row>
    <row r="111" ht="15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233"/>
      <c r="AF111" s="185"/>
      <c r="AG111" s="185"/>
      <c r="AH111" s="185"/>
      <c r="AI111" s="185"/>
      <c r="AJ111" s="185"/>
      <c r="AK111" s="185"/>
      <c r="AL111" s="185"/>
      <c r="AM111" s="185"/>
      <c r="AN111" s="185"/>
      <c r="AO111" s="185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</row>
    <row r="112" ht="15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233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</row>
    <row r="113" ht="15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233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</row>
    <row r="114" ht="15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233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</row>
    <row r="115" ht="15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233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185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</row>
    <row r="116" ht="15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233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</row>
    <row r="117" ht="15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233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185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</row>
    <row r="118" ht="15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233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185"/>
      <c r="BI118" s="185"/>
      <c r="BJ118" s="185"/>
      <c r="BK118" s="185"/>
      <c r="BL118" s="185"/>
    </row>
    <row r="119" ht="15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233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5"/>
      <c r="BL119" s="185"/>
    </row>
    <row r="120" ht="15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233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  <c r="BK120" s="185"/>
      <c r="BL120" s="185"/>
    </row>
    <row r="121" ht="15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233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</row>
    <row r="122" ht="15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233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  <c r="BH122" s="185"/>
      <c r="BI122" s="185"/>
      <c r="BJ122" s="185"/>
      <c r="BK122" s="185"/>
      <c r="BL122" s="185"/>
    </row>
    <row r="123" ht="15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233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</row>
    <row r="124" ht="15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233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  <c r="BH124" s="185"/>
      <c r="BI124" s="185"/>
      <c r="BJ124" s="185"/>
      <c r="BK124" s="185"/>
      <c r="BL124" s="185"/>
    </row>
    <row r="125" ht="15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233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</row>
    <row r="126" ht="15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233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</row>
    <row r="127" ht="15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233"/>
      <c r="AF127" s="185"/>
      <c r="AG127" s="185"/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5"/>
    </row>
    <row r="128" ht="15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233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  <c r="BD128" s="185"/>
      <c r="BE128" s="185"/>
      <c r="BF128" s="185"/>
      <c r="BG128" s="185"/>
      <c r="BH128" s="185"/>
      <c r="BI128" s="185"/>
      <c r="BJ128" s="185"/>
      <c r="BK128" s="185"/>
      <c r="BL128" s="185"/>
    </row>
    <row r="129" ht="15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233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5"/>
      <c r="BF129" s="185"/>
      <c r="BG129" s="185"/>
      <c r="BH129" s="185"/>
      <c r="BI129" s="185"/>
      <c r="BJ129" s="185"/>
      <c r="BK129" s="185"/>
      <c r="BL129" s="185"/>
    </row>
    <row r="130" ht="15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233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233"/>
      <c r="AF131" s="185"/>
      <c r="AG131" s="185"/>
      <c r="AH131" s="185"/>
      <c r="AI131" s="185"/>
      <c r="AJ131" s="185"/>
      <c r="AK131" s="185"/>
      <c r="AL131" s="185"/>
      <c r="AM131" s="185"/>
      <c r="AN131" s="185"/>
      <c r="AO131" s="185"/>
      <c r="AP131" s="185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  <c r="BA131" s="185"/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233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  <c r="AP132" s="185"/>
      <c r="AQ132" s="185"/>
      <c r="AR132" s="185"/>
      <c r="AS132" s="185"/>
      <c r="AT132" s="185"/>
      <c r="AU132" s="185"/>
      <c r="AV132" s="185"/>
      <c r="AW132" s="185"/>
      <c r="AX132" s="185"/>
      <c r="AY132" s="185"/>
      <c r="AZ132" s="185"/>
      <c r="BA132" s="185"/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233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233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233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233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5"/>
      <c r="AP136" s="185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233"/>
      <c r="AF137" s="185"/>
      <c r="AG137" s="185"/>
      <c r="AH137" s="185"/>
      <c r="AI137" s="185"/>
      <c r="AJ137" s="185"/>
      <c r="AK137" s="185"/>
      <c r="AL137" s="185"/>
      <c r="AM137" s="185"/>
      <c r="AN137" s="185"/>
      <c r="AO137" s="185"/>
      <c r="AP137" s="185"/>
      <c r="AQ137" s="185"/>
      <c r="AR137" s="185"/>
      <c r="AS137" s="185"/>
      <c r="AT137" s="185"/>
      <c r="AU137" s="185"/>
      <c r="AV137" s="185"/>
      <c r="AW137" s="185"/>
      <c r="AX137" s="185"/>
      <c r="AY137" s="185"/>
      <c r="AZ137" s="185"/>
      <c r="BA137" s="185"/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233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/>
      <c r="AT138" s="185"/>
      <c r="AU138" s="185"/>
      <c r="AV138" s="185"/>
      <c r="AW138" s="185"/>
      <c r="AX138" s="185"/>
      <c r="AY138" s="185"/>
      <c r="AZ138" s="185"/>
      <c r="BA138" s="185"/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233"/>
      <c r="AF139" s="185"/>
      <c r="AG139" s="185"/>
      <c r="AH139" s="185"/>
      <c r="AI139" s="185"/>
      <c r="AJ139" s="185"/>
      <c r="AK139" s="185"/>
      <c r="AL139" s="185"/>
      <c r="AM139" s="185"/>
      <c r="AN139" s="185"/>
      <c r="AO139" s="185"/>
      <c r="AP139" s="185"/>
      <c r="AQ139" s="185"/>
      <c r="AR139" s="185"/>
      <c r="AS139" s="185"/>
      <c r="AT139" s="185"/>
      <c r="AU139" s="185"/>
      <c r="AV139" s="185"/>
      <c r="AW139" s="185"/>
      <c r="AX139" s="185"/>
      <c r="AY139" s="185"/>
      <c r="AZ139" s="185"/>
      <c r="BA139" s="185"/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233"/>
      <c r="AF140" s="185"/>
      <c r="AG140" s="185"/>
      <c r="AH140" s="185"/>
      <c r="AI140" s="185"/>
      <c r="AJ140" s="185"/>
      <c r="AK140" s="185"/>
      <c r="AL140" s="185"/>
      <c r="AM140" s="185"/>
      <c r="AN140" s="185"/>
      <c r="AO140" s="185"/>
      <c r="AP140" s="185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233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233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233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  <c r="AP143" s="185"/>
      <c r="AQ143" s="185"/>
      <c r="AR143" s="185"/>
      <c r="AS143" s="185"/>
      <c r="AT143" s="185"/>
      <c r="AU143" s="185"/>
      <c r="AV143" s="185"/>
      <c r="AW143" s="185"/>
      <c r="AX143" s="185"/>
      <c r="AY143" s="185"/>
      <c r="AZ143" s="185"/>
      <c r="BA143" s="185"/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233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  <c r="AP144" s="185"/>
      <c r="AQ144" s="185"/>
      <c r="AR144" s="185"/>
      <c r="AS144" s="185"/>
      <c r="AT144" s="185"/>
      <c r="AU144" s="185"/>
      <c r="AV144" s="185"/>
      <c r="AW144" s="185"/>
      <c r="AX144" s="185"/>
      <c r="AY144" s="185"/>
      <c r="AZ144" s="185"/>
      <c r="BA144" s="185"/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233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/>
      <c r="AT145" s="185"/>
      <c r="AU145" s="185"/>
      <c r="AV145" s="185"/>
      <c r="AW145" s="185"/>
      <c r="AX145" s="185"/>
      <c r="AY145" s="185"/>
      <c r="AZ145" s="185"/>
      <c r="BA145" s="185"/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233"/>
      <c r="AF146" s="185"/>
      <c r="AG146" s="185"/>
      <c r="AH146" s="185"/>
      <c r="AI146" s="185"/>
      <c r="AJ146" s="185"/>
      <c r="AK146" s="185"/>
      <c r="AL146" s="185"/>
      <c r="AM146" s="185"/>
      <c r="AN146" s="185"/>
      <c r="AO146" s="185"/>
      <c r="AP146" s="185"/>
      <c r="AQ146" s="185"/>
      <c r="AR146" s="185"/>
      <c r="AS146" s="185"/>
      <c r="AT146" s="185"/>
      <c r="AU146" s="185"/>
      <c r="AV146" s="185"/>
      <c r="AW146" s="185"/>
      <c r="AX146" s="185"/>
      <c r="AY146" s="185"/>
      <c r="AZ146" s="185"/>
      <c r="BA146" s="185"/>
      <c r="BB146" s="185"/>
      <c r="BC146" s="185"/>
      <c r="BD146" s="185"/>
      <c r="BE146" s="185"/>
      <c r="BF146" s="185"/>
      <c r="BG146" s="185"/>
      <c r="BH146" s="185"/>
      <c r="BI146" s="185"/>
      <c r="BJ146" s="185"/>
      <c r="BK146" s="185"/>
      <c r="BL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233"/>
      <c r="AF147" s="185"/>
      <c r="AG147" s="185"/>
      <c r="AH147" s="185"/>
      <c r="AI147" s="185"/>
      <c r="AJ147" s="185"/>
      <c r="AK147" s="185"/>
      <c r="AL147" s="185"/>
      <c r="AM147" s="185"/>
      <c r="AN147" s="185"/>
      <c r="AO147" s="185"/>
      <c r="AP147" s="185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  <c r="BA147" s="185"/>
      <c r="BB147" s="185"/>
      <c r="BC147" s="185"/>
      <c r="BD147" s="185"/>
      <c r="BE147" s="185"/>
      <c r="BF147" s="185"/>
      <c r="BG147" s="185"/>
      <c r="BH147" s="185"/>
      <c r="BI147" s="185"/>
      <c r="BJ147" s="185"/>
      <c r="BK147" s="185"/>
      <c r="BL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233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  <c r="AP148" s="185"/>
      <c r="AQ148" s="185"/>
      <c r="AR148" s="185"/>
      <c r="AS148" s="185"/>
      <c r="AT148" s="185"/>
      <c r="AU148" s="185"/>
      <c r="AV148" s="185"/>
      <c r="AW148" s="185"/>
      <c r="AX148" s="185"/>
      <c r="AY148" s="185"/>
      <c r="AZ148" s="185"/>
      <c r="BA148" s="185"/>
      <c r="BB148" s="185"/>
      <c r="BC148" s="185"/>
      <c r="BD148" s="185"/>
      <c r="BE148" s="185"/>
      <c r="BF148" s="185"/>
      <c r="BG148" s="185"/>
      <c r="BH148" s="185"/>
      <c r="BI148" s="185"/>
      <c r="BJ148" s="185"/>
      <c r="BK148" s="185"/>
      <c r="BL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233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185"/>
      <c r="BD149" s="185"/>
      <c r="BE149" s="185"/>
      <c r="BF149" s="185"/>
      <c r="BG149" s="185"/>
      <c r="BH149" s="185"/>
      <c r="BI149" s="185"/>
      <c r="BJ149" s="185"/>
      <c r="BK149" s="185"/>
      <c r="BL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233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185"/>
      <c r="BE150" s="185"/>
      <c r="BF150" s="185"/>
      <c r="BG150" s="185"/>
      <c r="BH150" s="185"/>
      <c r="BI150" s="185"/>
      <c r="BJ150" s="185"/>
      <c r="BK150" s="185"/>
      <c r="BL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233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5"/>
      <c r="BF151" s="185"/>
      <c r="BG151" s="185"/>
      <c r="BH151" s="185"/>
      <c r="BI151" s="185"/>
      <c r="BJ151" s="185"/>
      <c r="BK151" s="185"/>
      <c r="BL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233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185"/>
      <c r="BE152" s="185"/>
      <c r="BF152" s="185"/>
      <c r="BG152" s="185"/>
      <c r="BH152" s="185"/>
      <c r="BI152" s="185"/>
      <c r="BJ152" s="185"/>
      <c r="BK152" s="185"/>
      <c r="BL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233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185"/>
      <c r="BE153" s="185"/>
      <c r="BF153" s="185"/>
      <c r="BG153" s="185"/>
      <c r="BH153" s="185"/>
      <c r="BI153" s="185"/>
      <c r="BJ153" s="185"/>
      <c r="BK153" s="185"/>
      <c r="BL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233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185"/>
      <c r="BE154" s="185"/>
      <c r="BF154" s="185"/>
      <c r="BG154" s="185"/>
      <c r="BH154" s="185"/>
      <c r="BI154" s="185"/>
      <c r="BJ154" s="185"/>
      <c r="BK154" s="185"/>
      <c r="BL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233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185"/>
      <c r="BE155" s="185"/>
      <c r="BF155" s="185"/>
      <c r="BG155" s="185"/>
      <c r="BH155" s="185"/>
      <c r="BI155" s="185"/>
      <c r="BJ155" s="185"/>
      <c r="BK155" s="185"/>
      <c r="BL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233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233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185"/>
      <c r="BE157" s="185"/>
      <c r="BF157" s="185"/>
      <c r="BG157" s="185"/>
      <c r="BH157" s="185"/>
      <c r="BI157" s="185"/>
      <c r="BJ157" s="185"/>
      <c r="BK157" s="185"/>
      <c r="BL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233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185"/>
      <c r="BE158" s="185"/>
      <c r="BF158" s="185"/>
      <c r="BG158" s="185"/>
      <c r="BH158" s="185"/>
      <c r="BI158" s="185"/>
      <c r="BJ158" s="185"/>
      <c r="BK158" s="185"/>
      <c r="BL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233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185"/>
      <c r="BE159" s="185"/>
      <c r="BF159" s="185"/>
      <c r="BG159" s="185"/>
      <c r="BH159" s="185"/>
      <c r="BI159" s="185"/>
      <c r="BJ159" s="185"/>
      <c r="BK159" s="185"/>
      <c r="BL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233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185"/>
      <c r="BE160" s="185"/>
      <c r="BF160" s="185"/>
      <c r="BG160" s="185"/>
      <c r="BH160" s="185"/>
      <c r="BI160" s="185"/>
      <c r="BJ160" s="185"/>
      <c r="BK160" s="185"/>
      <c r="BL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233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5"/>
      <c r="BF161" s="185"/>
      <c r="BG161" s="185"/>
      <c r="BH161" s="185"/>
      <c r="BI161" s="185"/>
      <c r="BJ161" s="185"/>
      <c r="BK161" s="185"/>
      <c r="BL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233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233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233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233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233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233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233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233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233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233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233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233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233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233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233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233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233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185"/>
      <c r="BE178" s="185"/>
      <c r="BF178" s="185"/>
      <c r="BG178" s="185"/>
      <c r="BH178" s="185"/>
      <c r="BI178" s="185"/>
      <c r="BJ178" s="185"/>
      <c r="BK178" s="185"/>
      <c r="BL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233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185"/>
      <c r="BI179" s="185"/>
      <c r="BJ179" s="185"/>
      <c r="BK179" s="185"/>
      <c r="BL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233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185"/>
      <c r="BI180" s="185"/>
      <c r="BJ180" s="185"/>
      <c r="BK180" s="185"/>
      <c r="BL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233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5"/>
      <c r="BF181" s="185"/>
      <c r="BG181" s="185"/>
      <c r="BH181" s="185"/>
      <c r="BI181" s="185"/>
      <c r="BJ181" s="185"/>
      <c r="BK181" s="185"/>
      <c r="BL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233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185"/>
      <c r="BI182" s="185"/>
      <c r="BJ182" s="185"/>
      <c r="BK182" s="185"/>
      <c r="BL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233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185"/>
      <c r="BI183" s="185"/>
      <c r="BJ183" s="185"/>
      <c r="BK183" s="185"/>
      <c r="BL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233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185"/>
      <c r="BI184" s="185"/>
      <c r="BJ184" s="185"/>
      <c r="BK184" s="185"/>
      <c r="BL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233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233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233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185"/>
      <c r="BE187" s="185"/>
      <c r="BF187" s="185"/>
      <c r="BG187" s="185"/>
      <c r="BH187" s="185"/>
      <c r="BI187" s="185"/>
      <c r="BJ187" s="185"/>
      <c r="BK187" s="185"/>
      <c r="BL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233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185"/>
      <c r="BE188" s="185"/>
      <c r="BF188" s="185"/>
      <c r="BG188" s="185"/>
      <c r="BH188" s="185"/>
      <c r="BI188" s="185"/>
      <c r="BJ188" s="185"/>
      <c r="BK188" s="185"/>
      <c r="BL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233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185"/>
      <c r="BE189" s="185"/>
      <c r="BF189" s="185"/>
      <c r="BG189" s="185"/>
      <c r="BH189" s="185"/>
      <c r="BI189" s="185"/>
      <c r="BJ189" s="185"/>
      <c r="BK189" s="185"/>
      <c r="BL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233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185"/>
      <c r="BE190" s="185"/>
      <c r="BF190" s="185"/>
      <c r="BG190" s="185"/>
      <c r="BH190" s="185"/>
      <c r="BI190" s="185"/>
      <c r="BJ190" s="185"/>
      <c r="BK190" s="185"/>
      <c r="BL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233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5"/>
      <c r="BF191" s="185"/>
      <c r="BG191" s="185"/>
      <c r="BH191" s="185"/>
      <c r="BI191" s="185"/>
      <c r="BJ191" s="185"/>
      <c r="BK191" s="185"/>
      <c r="BL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233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185"/>
      <c r="BE192" s="185"/>
      <c r="BF192" s="185"/>
      <c r="BG192" s="185"/>
      <c r="BH192" s="185"/>
      <c r="BI192" s="185"/>
      <c r="BJ192" s="185"/>
      <c r="BK192" s="185"/>
      <c r="BL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233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185"/>
      <c r="BE193" s="185"/>
      <c r="BF193" s="185"/>
      <c r="BG193" s="185"/>
      <c r="BH193" s="185"/>
      <c r="BI193" s="185"/>
      <c r="BJ193" s="185"/>
      <c r="BK193" s="185"/>
      <c r="BL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233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233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233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233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233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233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233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</row>
    <row r="201" ht="15.7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233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185"/>
      <c r="BE201" s="185"/>
      <c r="BF201" s="185"/>
      <c r="BG201" s="185"/>
      <c r="BH201" s="185"/>
      <c r="BI201" s="185"/>
      <c r="BJ201" s="185"/>
      <c r="BK201" s="185"/>
      <c r="BL201" s="185"/>
    </row>
    <row r="202" ht="15.7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233"/>
      <c r="AF202" s="185"/>
      <c r="AG202" s="185"/>
      <c r="AH202" s="185"/>
      <c r="AI202" s="185"/>
      <c r="AJ202" s="185"/>
      <c r="AK202" s="185"/>
      <c r="AL202" s="185"/>
      <c r="AM202" s="185"/>
      <c r="AN202" s="185"/>
      <c r="AO202" s="185"/>
      <c r="AP202" s="185"/>
      <c r="AQ202" s="185"/>
      <c r="AR202" s="185"/>
      <c r="AS202" s="185"/>
      <c r="AT202" s="185"/>
      <c r="AU202" s="185"/>
      <c r="AV202" s="185"/>
      <c r="AW202" s="185"/>
      <c r="AX202" s="185"/>
      <c r="AY202" s="185"/>
      <c r="AZ202" s="185"/>
      <c r="BA202" s="185"/>
      <c r="BB202" s="185"/>
      <c r="BC202" s="185"/>
      <c r="BD202" s="185"/>
      <c r="BE202" s="185"/>
      <c r="BF202" s="185"/>
      <c r="BG202" s="185"/>
      <c r="BH202" s="185"/>
      <c r="BI202" s="185"/>
      <c r="BJ202" s="185"/>
      <c r="BK202" s="185"/>
      <c r="BL202" s="185"/>
    </row>
    <row r="203" ht="15.7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233"/>
      <c r="AF203" s="185"/>
      <c r="AG203" s="185"/>
      <c r="AH203" s="185"/>
      <c r="AI203" s="185"/>
      <c r="AJ203" s="185"/>
      <c r="AK203" s="185"/>
      <c r="AL203" s="185"/>
      <c r="AM203" s="185"/>
      <c r="AN203" s="185"/>
      <c r="AO203" s="185"/>
      <c r="AP203" s="185"/>
      <c r="AQ203" s="185"/>
      <c r="AR203" s="185"/>
      <c r="AS203" s="185"/>
      <c r="AT203" s="185"/>
      <c r="AU203" s="185"/>
      <c r="AV203" s="185"/>
      <c r="AW203" s="185"/>
      <c r="AX203" s="185"/>
      <c r="AY203" s="185"/>
      <c r="AZ203" s="185"/>
      <c r="BA203" s="185"/>
      <c r="BB203" s="185"/>
      <c r="BC203" s="185"/>
      <c r="BD203" s="185"/>
      <c r="BE203" s="185"/>
      <c r="BF203" s="185"/>
      <c r="BG203" s="185"/>
      <c r="BH203" s="185"/>
      <c r="BI203" s="185"/>
      <c r="BJ203" s="185"/>
      <c r="BK203" s="185"/>
      <c r="BL203" s="185"/>
    </row>
    <row r="204" ht="15.7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233"/>
      <c r="AF204" s="185"/>
      <c r="AG204" s="185"/>
      <c r="AH204" s="185"/>
      <c r="AI204" s="185"/>
      <c r="AJ204" s="185"/>
      <c r="AK204" s="185"/>
      <c r="AL204" s="185"/>
      <c r="AM204" s="185"/>
      <c r="AN204" s="185"/>
      <c r="AO204" s="185"/>
      <c r="AP204" s="185"/>
      <c r="AQ204" s="185"/>
      <c r="AR204" s="185"/>
      <c r="AS204" s="185"/>
      <c r="AT204" s="185"/>
      <c r="AU204" s="185"/>
      <c r="AV204" s="185"/>
      <c r="AW204" s="185"/>
      <c r="AX204" s="185"/>
      <c r="AY204" s="185"/>
      <c r="AZ204" s="185"/>
      <c r="BA204" s="185"/>
      <c r="BB204" s="185"/>
      <c r="BC204" s="185"/>
      <c r="BD204" s="185"/>
      <c r="BE204" s="185"/>
      <c r="BF204" s="185"/>
      <c r="BG204" s="185"/>
      <c r="BH204" s="185"/>
      <c r="BI204" s="185"/>
      <c r="BJ204" s="185"/>
      <c r="BK204" s="185"/>
      <c r="BL204" s="185"/>
    </row>
    <row r="205" ht="15.7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233"/>
      <c r="AF205" s="185"/>
      <c r="AG205" s="185"/>
      <c r="AH205" s="185"/>
      <c r="AI205" s="185"/>
      <c r="AJ205" s="185"/>
      <c r="AK205" s="185"/>
      <c r="AL205" s="185"/>
      <c r="AM205" s="185"/>
      <c r="AN205" s="185"/>
      <c r="AO205" s="185"/>
      <c r="AP205" s="185"/>
      <c r="AQ205" s="185"/>
      <c r="AR205" s="185"/>
      <c r="AS205" s="185"/>
      <c r="AT205" s="185"/>
      <c r="AU205" s="185"/>
      <c r="AV205" s="185"/>
      <c r="AW205" s="185"/>
      <c r="AX205" s="185"/>
      <c r="AY205" s="185"/>
      <c r="AZ205" s="185"/>
      <c r="BA205" s="185"/>
      <c r="BB205" s="185"/>
      <c r="BC205" s="185"/>
      <c r="BD205" s="185"/>
      <c r="BE205" s="185"/>
      <c r="BF205" s="185"/>
      <c r="BG205" s="185"/>
      <c r="BH205" s="185"/>
      <c r="BI205" s="185"/>
      <c r="BJ205" s="185"/>
      <c r="BK205" s="185"/>
      <c r="BL205" s="185"/>
    </row>
    <row r="206" ht="15.7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233"/>
      <c r="AF206" s="185"/>
      <c r="AG206" s="185"/>
      <c r="AH206" s="185"/>
      <c r="AI206" s="185"/>
      <c r="AJ206" s="185"/>
      <c r="AK206" s="185"/>
      <c r="AL206" s="185"/>
      <c r="AM206" s="185"/>
      <c r="AN206" s="185"/>
      <c r="AO206" s="185"/>
      <c r="AP206" s="185"/>
      <c r="AQ206" s="185"/>
      <c r="AR206" s="185"/>
      <c r="AS206" s="185"/>
      <c r="AT206" s="185"/>
      <c r="AU206" s="185"/>
      <c r="AV206" s="185"/>
      <c r="AW206" s="185"/>
      <c r="AX206" s="185"/>
      <c r="AY206" s="185"/>
      <c r="AZ206" s="185"/>
      <c r="BA206" s="185"/>
      <c r="BB206" s="185"/>
      <c r="BC206" s="185"/>
      <c r="BD206" s="185"/>
      <c r="BE206" s="185"/>
      <c r="BF206" s="185"/>
      <c r="BG206" s="185"/>
      <c r="BH206" s="185"/>
      <c r="BI206" s="185"/>
      <c r="BJ206" s="185"/>
      <c r="BK206" s="185"/>
      <c r="BL206" s="185"/>
    </row>
    <row r="207" ht="15.7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233"/>
      <c r="AF207" s="185"/>
      <c r="AG207" s="185"/>
      <c r="AH207" s="185"/>
      <c r="AI207" s="185"/>
      <c r="AJ207" s="185"/>
      <c r="AK207" s="185"/>
      <c r="AL207" s="185"/>
      <c r="AM207" s="185"/>
      <c r="AN207" s="185"/>
      <c r="AO207" s="185"/>
      <c r="AP207" s="185"/>
      <c r="AQ207" s="185"/>
      <c r="AR207" s="185"/>
      <c r="AS207" s="185"/>
      <c r="AT207" s="185"/>
      <c r="AU207" s="185"/>
      <c r="AV207" s="185"/>
      <c r="AW207" s="185"/>
      <c r="AX207" s="185"/>
      <c r="AY207" s="185"/>
      <c r="AZ207" s="185"/>
      <c r="BA207" s="185"/>
      <c r="BB207" s="185"/>
      <c r="BC207" s="185"/>
      <c r="BD207" s="185"/>
      <c r="BE207" s="185"/>
      <c r="BF207" s="185"/>
      <c r="BG207" s="185"/>
      <c r="BH207" s="185"/>
      <c r="BI207" s="185"/>
      <c r="BJ207" s="185"/>
      <c r="BK207" s="185"/>
      <c r="BL207" s="185"/>
    </row>
    <row r="208" ht="15.7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233"/>
      <c r="AF208" s="185"/>
      <c r="AG208" s="185"/>
      <c r="AH208" s="185"/>
      <c r="AI208" s="185"/>
      <c r="AJ208" s="185"/>
      <c r="AK208" s="185"/>
      <c r="AL208" s="185"/>
      <c r="AM208" s="185"/>
      <c r="AN208" s="185"/>
      <c r="AO208" s="185"/>
      <c r="AP208" s="185"/>
      <c r="AQ208" s="185"/>
      <c r="AR208" s="185"/>
      <c r="AS208" s="185"/>
      <c r="AT208" s="185"/>
      <c r="AU208" s="185"/>
      <c r="AV208" s="185"/>
      <c r="AW208" s="185"/>
      <c r="AX208" s="185"/>
      <c r="AY208" s="185"/>
      <c r="AZ208" s="185"/>
      <c r="BA208" s="185"/>
      <c r="BB208" s="185"/>
      <c r="BC208" s="185"/>
      <c r="BD208" s="185"/>
      <c r="BE208" s="185"/>
      <c r="BF208" s="185"/>
      <c r="BG208" s="185"/>
      <c r="BH208" s="185"/>
      <c r="BI208" s="185"/>
      <c r="BJ208" s="185"/>
      <c r="BK208" s="185"/>
      <c r="BL208" s="185"/>
    </row>
    <row r="209" ht="15.7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233"/>
      <c r="AF209" s="185"/>
      <c r="AG209" s="185"/>
      <c r="AH209" s="185"/>
      <c r="AI209" s="185"/>
      <c r="AJ209" s="185"/>
      <c r="AK209" s="185"/>
      <c r="AL209" s="185"/>
      <c r="AM209" s="185"/>
      <c r="AN209" s="185"/>
      <c r="AO209" s="185"/>
      <c r="AP209" s="185"/>
      <c r="AQ209" s="185"/>
      <c r="AR209" s="185"/>
      <c r="AS209" s="185"/>
      <c r="AT209" s="185"/>
      <c r="AU209" s="185"/>
      <c r="AV209" s="185"/>
      <c r="AW209" s="185"/>
      <c r="AX209" s="185"/>
      <c r="AY209" s="185"/>
      <c r="AZ209" s="185"/>
      <c r="BA209" s="185"/>
      <c r="BB209" s="185"/>
      <c r="BC209" s="185"/>
      <c r="BD209" s="185"/>
      <c r="BE209" s="185"/>
      <c r="BF209" s="185"/>
      <c r="BG209" s="185"/>
      <c r="BH209" s="185"/>
      <c r="BI209" s="185"/>
      <c r="BJ209" s="185"/>
      <c r="BK209" s="185"/>
      <c r="BL209" s="185"/>
    </row>
    <row r="210" ht="15.7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233"/>
      <c r="AF210" s="185"/>
      <c r="AG210" s="185"/>
      <c r="AH210" s="185"/>
      <c r="AI210" s="185"/>
      <c r="AJ210" s="185"/>
      <c r="AK210" s="185"/>
      <c r="AL210" s="185"/>
      <c r="AM210" s="185"/>
      <c r="AN210" s="185"/>
      <c r="AO210" s="185"/>
      <c r="AP210" s="185"/>
      <c r="AQ210" s="185"/>
      <c r="AR210" s="185"/>
      <c r="AS210" s="185"/>
      <c r="AT210" s="185"/>
      <c r="AU210" s="185"/>
      <c r="AV210" s="185"/>
      <c r="AW210" s="185"/>
      <c r="AX210" s="185"/>
      <c r="AY210" s="185"/>
      <c r="AZ210" s="185"/>
      <c r="BA210" s="185"/>
      <c r="BB210" s="185"/>
      <c r="BC210" s="185"/>
      <c r="BD210" s="185"/>
      <c r="BE210" s="185"/>
      <c r="BF210" s="185"/>
      <c r="BG210" s="185"/>
      <c r="BH210" s="185"/>
      <c r="BI210" s="185"/>
      <c r="BJ210" s="185"/>
      <c r="BK210" s="185"/>
      <c r="BL210" s="185"/>
    </row>
    <row r="211" ht="15.7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233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  <c r="BA211" s="185"/>
      <c r="BB211" s="185"/>
      <c r="BC211" s="185"/>
      <c r="BD211" s="185"/>
      <c r="BE211" s="185"/>
      <c r="BF211" s="185"/>
      <c r="BG211" s="185"/>
      <c r="BH211" s="185"/>
      <c r="BI211" s="185"/>
      <c r="BJ211" s="185"/>
      <c r="BK211" s="185"/>
      <c r="BL211" s="185"/>
    </row>
    <row r="212" ht="15.7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233"/>
      <c r="AF212" s="185"/>
      <c r="AG212" s="185"/>
      <c r="AH212" s="185"/>
      <c r="AI212" s="185"/>
      <c r="AJ212" s="185"/>
      <c r="AK212" s="185"/>
      <c r="AL212" s="185"/>
      <c r="AM212" s="185"/>
      <c r="AN212" s="185"/>
      <c r="AO212" s="185"/>
      <c r="AP212" s="185"/>
      <c r="AQ212" s="185"/>
      <c r="AR212" s="185"/>
      <c r="AS212" s="185"/>
      <c r="AT212" s="185"/>
      <c r="AU212" s="185"/>
      <c r="AV212" s="185"/>
      <c r="AW212" s="185"/>
      <c r="AX212" s="185"/>
      <c r="AY212" s="185"/>
      <c r="AZ212" s="185"/>
      <c r="BA212" s="185"/>
      <c r="BB212" s="185"/>
      <c r="BC212" s="185"/>
      <c r="BD212" s="185"/>
      <c r="BE212" s="185"/>
      <c r="BF212" s="185"/>
      <c r="BG212" s="185"/>
      <c r="BH212" s="185"/>
      <c r="BI212" s="185"/>
      <c r="BJ212" s="185"/>
      <c r="BK212" s="185"/>
      <c r="BL212" s="185"/>
    </row>
    <row r="213" ht="15.7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233"/>
      <c r="AF213" s="185"/>
      <c r="AG213" s="185"/>
      <c r="AH213" s="185"/>
      <c r="AI213" s="185"/>
      <c r="AJ213" s="185"/>
      <c r="AK213" s="185"/>
      <c r="AL213" s="185"/>
      <c r="AM213" s="185"/>
      <c r="AN213" s="185"/>
      <c r="AO213" s="185"/>
      <c r="AP213" s="185"/>
      <c r="AQ213" s="185"/>
      <c r="AR213" s="185"/>
      <c r="AS213" s="185"/>
      <c r="AT213" s="185"/>
      <c r="AU213" s="185"/>
      <c r="AV213" s="185"/>
      <c r="AW213" s="185"/>
      <c r="AX213" s="185"/>
      <c r="AY213" s="185"/>
      <c r="AZ213" s="185"/>
      <c r="BA213" s="185"/>
      <c r="BB213" s="185"/>
      <c r="BC213" s="185"/>
      <c r="BD213" s="185"/>
      <c r="BE213" s="185"/>
      <c r="BF213" s="185"/>
      <c r="BG213" s="185"/>
      <c r="BH213" s="185"/>
      <c r="BI213" s="185"/>
      <c r="BJ213" s="185"/>
      <c r="BK213" s="185"/>
      <c r="BL213" s="185"/>
    </row>
    <row r="214" ht="15.7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233"/>
      <c r="AF214" s="185"/>
      <c r="AG214" s="185"/>
      <c r="AH214" s="185"/>
      <c r="AI214" s="185"/>
      <c r="AJ214" s="185"/>
      <c r="AK214" s="185"/>
      <c r="AL214" s="185"/>
      <c r="AM214" s="185"/>
      <c r="AN214" s="185"/>
      <c r="AO214" s="185"/>
      <c r="AP214" s="185"/>
      <c r="AQ214" s="185"/>
      <c r="AR214" s="185"/>
      <c r="AS214" s="185"/>
      <c r="AT214" s="185"/>
      <c r="AU214" s="185"/>
      <c r="AV214" s="185"/>
      <c r="AW214" s="185"/>
      <c r="AX214" s="185"/>
      <c r="AY214" s="185"/>
      <c r="AZ214" s="185"/>
      <c r="BA214" s="185"/>
      <c r="BB214" s="185"/>
      <c r="BC214" s="185"/>
      <c r="BD214" s="185"/>
      <c r="BE214" s="185"/>
      <c r="BF214" s="185"/>
      <c r="BG214" s="185"/>
      <c r="BH214" s="185"/>
      <c r="BI214" s="185"/>
      <c r="BJ214" s="185"/>
      <c r="BK214" s="185"/>
      <c r="BL214" s="185"/>
    </row>
    <row r="215" ht="15.7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233"/>
      <c r="AF215" s="185"/>
      <c r="AG215" s="185"/>
      <c r="AH215" s="185"/>
      <c r="AI215" s="185"/>
      <c r="AJ215" s="185"/>
      <c r="AK215" s="185"/>
      <c r="AL215" s="185"/>
      <c r="AM215" s="185"/>
      <c r="AN215" s="185"/>
      <c r="AO215" s="185"/>
      <c r="AP215" s="185"/>
      <c r="AQ215" s="185"/>
      <c r="AR215" s="185"/>
      <c r="AS215" s="185"/>
      <c r="AT215" s="185"/>
      <c r="AU215" s="185"/>
      <c r="AV215" s="185"/>
      <c r="AW215" s="185"/>
      <c r="AX215" s="185"/>
      <c r="AY215" s="185"/>
      <c r="AZ215" s="185"/>
      <c r="BA215" s="185"/>
      <c r="BB215" s="185"/>
      <c r="BC215" s="185"/>
      <c r="BD215" s="185"/>
      <c r="BE215" s="185"/>
      <c r="BF215" s="185"/>
      <c r="BG215" s="185"/>
      <c r="BH215" s="185"/>
      <c r="BI215" s="185"/>
      <c r="BJ215" s="185"/>
      <c r="BK215" s="185"/>
      <c r="BL215" s="185"/>
    </row>
    <row r="216" ht="15.7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233"/>
      <c r="AF216" s="185"/>
      <c r="AG216" s="185"/>
      <c r="AH216" s="185"/>
      <c r="AI216" s="185"/>
      <c r="AJ216" s="185"/>
      <c r="AK216" s="185"/>
      <c r="AL216" s="185"/>
      <c r="AM216" s="185"/>
      <c r="AN216" s="185"/>
      <c r="AO216" s="185"/>
      <c r="AP216" s="185"/>
      <c r="AQ216" s="185"/>
      <c r="AR216" s="185"/>
      <c r="AS216" s="185"/>
      <c r="AT216" s="185"/>
      <c r="AU216" s="185"/>
      <c r="AV216" s="185"/>
      <c r="AW216" s="185"/>
      <c r="AX216" s="185"/>
      <c r="AY216" s="185"/>
      <c r="AZ216" s="185"/>
      <c r="BA216" s="185"/>
      <c r="BB216" s="185"/>
      <c r="BC216" s="185"/>
      <c r="BD216" s="185"/>
      <c r="BE216" s="185"/>
      <c r="BF216" s="185"/>
      <c r="BG216" s="185"/>
      <c r="BH216" s="185"/>
      <c r="BI216" s="185"/>
      <c r="BJ216" s="185"/>
      <c r="BK216" s="185"/>
      <c r="BL216" s="185"/>
    </row>
    <row r="217" ht="15.7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233"/>
      <c r="AF217" s="185"/>
      <c r="AG217" s="185"/>
      <c r="AH217" s="185"/>
      <c r="AI217" s="185"/>
      <c r="AJ217" s="185"/>
      <c r="AK217" s="185"/>
      <c r="AL217" s="185"/>
      <c r="AM217" s="185"/>
      <c r="AN217" s="185"/>
      <c r="AO217" s="185"/>
      <c r="AP217" s="185"/>
      <c r="AQ217" s="185"/>
      <c r="AR217" s="185"/>
      <c r="AS217" s="185"/>
      <c r="AT217" s="185"/>
      <c r="AU217" s="185"/>
      <c r="AV217" s="185"/>
      <c r="AW217" s="185"/>
      <c r="AX217" s="185"/>
      <c r="AY217" s="185"/>
      <c r="AZ217" s="185"/>
      <c r="BA217" s="185"/>
      <c r="BB217" s="185"/>
      <c r="BC217" s="185"/>
      <c r="BD217" s="185"/>
      <c r="BE217" s="185"/>
      <c r="BF217" s="185"/>
      <c r="BG217" s="185"/>
      <c r="BH217" s="185"/>
      <c r="BI217" s="185"/>
      <c r="BJ217" s="185"/>
      <c r="BK217" s="185"/>
      <c r="BL217" s="185"/>
    </row>
    <row r="218" ht="15.7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233"/>
      <c r="AF218" s="185"/>
      <c r="AG218" s="185"/>
      <c r="AH218" s="185"/>
      <c r="AI218" s="185"/>
      <c r="AJ218" s="185"/>
      <c r="AK218" s="185"/>
      <c r="AL218" s="185"/>
      <c r="AM218" s="185"/>
      <c r="AN218" s="185"/>
      <c r="AO218" s="185"/>
      <c r="AP218" s="185"/>
      <c r="AQ218" s="185"/>
      <c r="AR218" s="185"/>
      <c r="AS218" s="185"/>
      <c r="AT218" s="185"/>
      <c r="AU218" s="185"/>
      <c r="AV218" s="185"/>
      <c r="AW218" s="185"/>
      <c r="AX218" s="185"/>
      <c r="AY218" s="185"/>
      <c r="AZ218" s="185"/>
      <c r="BA218" s="185"/>
      <c r="BB218" s="185"/>
      <c r="BC218" s="185"/>
      <c r="BD218" s="185"/>
      <c r="BE218" s="185"/>
      <c r="BF218" s="185"/>
      <c r="BG218" s="185"/>
      <c r="BH218" s="185"/>
      <c r="BI218" s="185"/>
      <c r="BJ218" s="185"/>
      <c r="BK218" s="185"/>
      <c r="BL218" s="185"/>
    </row>
    <row r="219" ht="15.7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233"/>
      <c r="AF219" s="185"/>
      <c r="AG219" s="185"/>
      <c r="AH219" s="185"/>
      <c r="AI219" s="185"/>
      <c r="AJ219" s="185"/>
      <c r="AK219" s="185"/>
      <c r="AL219" s="185"/>
      <c r="AM219" s="185"/>
      <c r="AN219" s="185"/>
      <c r="AO219" s="185"/>
      <c r="AP219" s="185"/>
      <c r="AQ219" s="185"/>
      <c r="AR219" s="185"/>
      <c r="AS219" s="185"/>
      <c r="AT219" s="185"/>
      <c r="AU219" s="185"/>
      <c r="AV219" s="185"/>
      <c r="AW219" s="185"/>
      <c r="AX219" s="185"/>
      <c r="AY219" s="185"/>
      <c r="AZ219" s="185"/>
      <c r="BA219" s="185"/>
      <c r="BB219" s="185"/>
      <c r="BC219" s="185"/>
      <c r="BD219" s="185"/>
      <c r="BE219" s="185"/>
      <c r="BF219" s="185"/>
      <c r="BG219" s="185"/>
      <c r="BH219" s="185"/>
      <c r="BI219" s="185"/>
      <c r="BJ219" s="185"/>
      <c r="BK219" s="185"/>
      <c r="BL219" s="185"/>
    </row>
    <row r="220" ht="15.7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233"/>
      <c r="AF220" s="185"/>
      <c r="AG220" s="185"/>
      <c r="AH220" s="185"/>
      <c r="AI220" s="185"/>
      <c r="AJ220" s="185"/>
      <c r="AK220" s="185"/>
      <c r="AL220" s="185"/>
      <c r="AM220" s="185"/>
      <c r="AN220" s="185"/>
      <c r="AO220" s="185"/>
      <c r="AP220" s="185"/>
      <c r="AQ220" s="185"/>
      <c r="AR220" s="185"/>
      <c r="AS220" s="185"/>
      <c r="AT220" s="185"/>
      <c r="AU220" s="185"/>
      <c r="AV220" s="185"/>
      <c r="AW220" s="185"/>
      <c r="AX220" s="185"/>
      <c r="AY220" s="185"/>
      <c r="AZ220" s="185"/>
      <c r="BA220" s="185"/>
      <c r="BB220" s="185"/>
      <c r="BC220" s="185"/>
      <c r="BD220" s="185"/>
      <c r="BE220" s="185"/>
      <c r="BF220" s="185"/>
      <c r="BG220" s="185"/>
      <c r="BH220" s="185"/>
      <c r="BI220" s="185"/>
      <c r="BJ220" s="185"/>
      <c r="BK220" s="185"/>
      <c r="BL220" s="185"/>
    </row>
    <row r="221" ht="15.7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233"/>
      <c r="AF221" s="185"/>
      <c r="AG221" s="185"/>
      <c r="AH221" s="185"/>
      <c r="AI221" s="185"/>
      <c r="AJ221" s="185"/>
      <c r="AK221" s="185"/>
      <c r="AL221" s="185"/>
      <c r="AM221" s="185"/>
      <c r="AN221" s="185"/>
      <c r="AO221" s="185"/>
      <c r="AP221" s="185"/>
      <c r="AQ221" s="185"/>
      <c r="AR221" s="185"/>
      <c r="AS221" s="185"/>
      <c r="AT221" s="185"/>
      <c r="AU221" s="185"/>
      <c r="AV221" s="185"/>
      <c r="AW221" s="185"/>
      <c r="AX221" s="185"/>
      <c r="AY221" s="185"/>
      <c r="AZ221" s="185"/>
      <c r="BA221" s="185"/>
      <c r="BB221" s="185"/>
      <c r="BC221" s="185"/>
      <c r="BD221" s="185"/>
      <c r="BE221" s="185"/>
      <c r="BF221" s="185"/>
      <c r="BG221" s="185"/>
      <c r="BH221" s="185"/>
      <c r="BI221" s="185"/>
      <c r="BJ221" s="185"/>
      <c r="BK221" s="185"/>
      <c r="BL221" s="185"/>
    </row>
    <row r="222" ht="15.7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233"/>
      <c r="AF222" s="185"/>
      <c r="AG222" s="185"/>
      <c r="AH222" s="185"/>
      <c r="AI222" s="185"/>
      <c r="AJ222" s="185"/>
      <c r="AK222" s="185"/>
      <c r="AL222" s="185"/>
      <c r="AM222" s="185"/>
      <c r="AN222" s="185"/>
      <c r="AO222" s="185"/>
      <c r="AP222" s="185"/>
      <c r="AQ222" s="185"/>
      <c r="AR222" s="185"/>
      <c r="AS222" s="185"/>
      <c r="AT222" s="185"/>
      <c r="AU222" s="185"/>
      <c r="AV222" s="185"/>
      <c r="AW222" s="185"/>
      <c r="AX222" s="185"/>
      <c r="AY222" s="185"/>
      <c r="AZ222" s="185"/>
      <c r="BA222" s="185"/>
      <c r="BB222" s="185"/>
      <c r="BC222" s="185"/>
      <c r="BD222" s="185"/>
      <c r="BE222" s="185"/>
      <c r="BF222" s="185"/>
      <c r="BG222" s="185"/>
      <c r="BH222" s="185"/>
      <c r="BI222" s="185"/>
      <c r="BJ222" s="185"/>
      <c r="BK222" s="185"/>
      <c r="BL222" s="185"/>
    </row>
    <row r="223" ht="15.7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233"/>
      <c r="AF223" s="185"/>
      <c r="AG223" s="185"/>
      <c r="AH223" s="185"/>
      <c r="AI223" s="185"/>
      <c r="AJ223" s="185"/>
      <c r="AK223" s="185"/>
      <c r="AL223" s="185"/>
      <c r="AM223" s="185"/>
      <c r="AN223" s="185"/>
      <c r="AO223" s="185"/>
      <c r="AP223" s="185"/>
      <c r="AQ223" s="185"/>
      <c r="AR223" s="185"/>
      <c r="AS223" s="185"/>
      <c r="AT223" s="185"/>
      <c r="AU223" s="185"/>
      <c r="AV223" s="185"/>
      <c r="AW223" s="185"/>
      <c r="AX223" s="185"/>
      <c r="AY223" s="185"/>
      <c r="AZ223" s="185"/>
      <c r="BA223" s="185"/>
      <c r="BB223" s="185"/>
      <c r="BC223" s="185"/>
      <c r="BD223" s="185"/>
      <c r="BE223" s="185"/>
      <c r="BF223" s="185"/>
      <c r="BG223" s="185"/>
      <c r="BH223" s="185"/>
      <c r="BI223" s="185"/>
      <c r="BJ223" s="185"/>
      <c r="BK223" s="185"/>
      <c r="BL223" s="185"/>
    </row>
    <row r="224" ht="15.7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233"/>
      <c r="AF224" s="185"/>
      <c r="AG224" s="185"/>
      <c r="AH224" s="185"/>
      <c r="AI224" s="185"/>
      <c r="AJ224" s="185"/>
      <c r="AK224" s="185"/>
      <c r="AL224" s="185"/>
      <c r="AM224" s="185"/>
      <c r="AN224" s="185"/>
      <c r="AO224" s="185"/>
      <c r="AP224" s="185"/>
      <c r="AQ224" s="185"/>
      <c r="AR224" s="185"/>
      <c r="AS224" s="185"/>
      <c r="AT224" s="185"/>
      <c r="AU224" s="185"/>
      <c r="AV224" s="185"/>
      <c r="AW224" s="185"/>
      <c r="AX224" s="185"/>
      <c r="AY224" s="185"/>
      <c r="AZ224" s="185"/>
      <c r="BA224" s="185"/>
      <c r="BB224" s="185"/>
      <c r="BC224" s="185"/>
      <c r="BD224" s="185"/>
      <c r="BE224" s="185"/>
      <c r="BF224" s="185"/>
      <c r="BG224" s="185"/>
      <c r="BH224" s="185"/>
      <c r="BI224" s="185"/>
      <c r="BJ224" s="185"/>
      <c r="BK224" s="185"/>
      <c r="BL224" s="185"/>
    </row>
    <row r="225" ht="15.7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233"/>
      <c r="AF225" s="185"/>
      <c r="AG225" s="185"/>
      <c r="AH225" s="185"/>
      <c r="AI225" s="185"/>
      <c r="AJ225" s="185"/>
      <c r="AK225" s="185"/>
      <c r="AL225" s="185"/>
      <c r="AM225" s="185"/>
      <c r="AN225" s="185"/>
      <c r="AO225" s="185"/>
      <c r="AP225" s="185"/>
      <c r="AQ225" s="185"/>
      <c r="AR225" s="185"/>
      <c r="AS225" s="185"/>
      <c r="AT225" s="185"/>
      <c r="AU225" s="185"/>
      <c r="AV225" s="185"/>
      <c r="AW225" s="185"/>
      <c r="AX225" s="185"/>
      <c r="AY225" s="185"/>
      <c r="AZ225" s="185"/>
      <c r="BA225" s="185"/>
      <c r="BB225" s="185"/>
      <c r="BC225" s="185"/>
      <c r="BD225" s="185"/>
      <c r="BE225" s="185"/>
      <c r="BF225" s="185"/>
      <c r="BG225" s="185"/>
      <c r="BH225" s="185"/>
      <c r="BI225" s="185"/>
      <c r="BJ225" s="185"/>
      <c r="BK225" s="185"/>
      <c r="BL225" s="185"/>
    </row>
    <row r="226" ht="15.7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233"/>
      <c r="AF226" s="185"/>
      <c r="AG226" s="185"/>
      <c r="AH226" s="185"/>
      <c r="AI226" s="185"/>
      <c r="AJ226" s="185"/>
      <c r="AK226" s="185"/>
      <c r="AL226" s="185"/>
      <c r="AM226" s="185"/>
      <c r="AN226" s="185"/>
      <c r="AO226" s="185"/>
      <c r="AP226" s="185"/>
      <c r="AQ226" s="185"/>
      <c r="AR226" s="185"/>
      <c r="AS226" s="185"/>
      <c r="AT226" s="185"/>
      <c r="AU226" s="185"/>
      <c r="AV226" s="185"/>
      <c r="AW226" s="185"/>
      <c r="AX226" s="185"/>
      <c r="AY226" s="185"/>
      <c r="AZ226" s="185"/>
      <c r="BA226" s="185"/>
      <c r="BB226" s="185"/>
      <c r="BC226" s="185"/>
      <c r="BD226" s="185"/>
      <c r="BE226" s="185"/>
      <c r="BF226" s="185"/>
      <c r="BG226" s="185"/>
      <c r="BH226" s="185"/>
      <c r="BI226" s="185"/>
      <c r="BJ226" s="185"/>
      <c r="BK226" s="185"/>
      <c r="BL226" s="185"/>
    </row>
    <row r="227" ht="15.7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233"/>
      <c r="AF227" s="185"/>
      <c r="AG227" s="185"/>
      <c r="AH227" s="185"/>
      <c r="AI227" s="185"/>
      <c r="AJ227" s="185"/>
      <c r="AK227" s="185"/>
      <c r="AL227" s="185"/>
      <c r="AM227" s="185"/>
      <c r="AN227" s="185"/>
      <c r="AO227" s="185"/>
      <c r="AP227" s="185"/>
      <c r="AQ227" s="185"/>
      <c r="AR227" s="185"/>
      <c r="AS227" s="185"/>
      <c r="AT227" s="185"/>
      <c r="AU227" s="185"/>
      <c r="AV227" s="185"/>
      <c r="AW227" s="185"/>
      <c r="AX227" s="185"/>
      <c r="AY227" s="185"/>
      <c r="AZ227" s="185"/>
      <c r="BA227" s="185"/>
      <c r="BB227" s="185"/>
      <c r="BC227" s="185"/>
      <c r="BD227" s="185"/>
      <c r="BE227" s="185"/>
      <c r="BF227" s="185"/>
      <c r="BG227" s="185"/>
      <c r="BH227" s="185"/>
      <c r="BI227" s="185"/>
      <c r="BJ227" s="185"/>
      <c r="BK227" s="185"/>
      <c r="BL227" s="185"/>
    </row>
    <row r="228" ht="15.7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233"/>
      <c r="AF228" s="185"/>
      <c r="AG228" s="185"/>
      <c r="AH228" s="185"/>
      <c r="AI228" s="185"/>
      <c r="AJ228" s="185"/>
      <c r="AK228" s="185"/>
      <c r="AL228" s="185"/>
      <c r="AM228" s="185"/>
      <c r="AN228" s="185"/>
      <c r="AO228" s="185"/>
      <c r="AP228" s="185"/>
      <c r="AQ228" s="185"/>
      <c r="AR228" s="185"/>
      <c r="AS228" s="185"/>
      <c r="AT228" s="185"/>
      <c r="AU228" s="185"/>
      <c r="AV228" s="185"/>
      <c r="AW228" s="185"/>
      <c r="AX228" s="185"/>
      <c r="AY228" s="185"/>
      <c r="AZ228" s="185"/>
      <c r="BA228" s="185"/>
      <c r="BB228" s="185"/>
      <c r="BC228" s="185"/>
      <c r="BD228" s="185"/>
      <c r="BE228" s="185"/>
      <c r="BF228" s="185"/>
      <c r="BG228" s="185"/>
      <c r="BH228" s="185"/>
      <c r="BI228" s="185"/>
      <c r="BJ228" s="185"/>
      <c r="BK228" s="185"/>
      <c r="BL228" s="185"/>
    </row>
    <row r="229" ht="15.7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233"/>
      <c r="AF229" s="185"/>
      <c r="AG229" s="185"/>
      <c r="AH229" s="185"/>
      <c r="AI229" s="185"/>
      <c r="AJ229" s="185"/>
      <c r="AK229" s="185"/>
      <c r="AL229" s="185"/>
      <c r="AM229" s="185"/>
      <c r="AN229" s="185"/>
      <c r="AO229" s="185"/>
      <c r="AP229" s="185"/>
      <c r="AQ229" s="185"/>
      <c r="AR229" s="185"/>
      <c r="AS229" s="185"/>
      <c r="AT229" s="185"/>
      <c r="AU229" s="185"/>
      <c r="AV229" s="185"/>
      <c r="AW229" s="185"/>
      <c r="AX229" s="185"/>
      <c r="AY229" s="185"/>
      <c r="AZ229" s="185"/>
      <c r="BA229" s="185"/>
      <c r="BB229" s="185"/>
      <c r="BC229" s="185"/>
      <c r="BD229" s="185"/>
      <c r="BE229" s="185"/>
      <c r="BF229" s="185"/>
      <c r="BG229" s="185"/>
      <c r="BH229" s="185"/>
      <c r="BI229" s="185"/>
      <c r="BJ229" s="185"/>
      <c r="BK229" s="185"/>
      <c r="BL229" s="185"/>
    </row>
    <row r="230" ht="15.7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233"/>
      <c r="AF230" s="185"/>
      <c r="AG230" s="185"/>
      <c r="AH230" s="185"/>
      <c r="AI230" s="185"/>
      <c r="AJ230" s="185"/>
      <c r="AK230" s="185"/>
      <c r="AL230" s="185"/>
      <c r="AM230" s="185"/>
      <c r="AN230" s="185"/>
      <c r="AO230" s="185"/>
      <c r="AP230" s="185"/>
      <c r="AQ230" s="185"/>
      <c r="AR230" s="185"/>
      <c r="AS230" s="185"/>
      <c r="AT230" s="185"/>
      <c r="AU230" s="185"/>
      <c r="AV230" s="185"/>
      <c r="AW230" s="185"/>
      <c r="AX230" s="185"/>
      <c r="AY230" s="185"/>
      <c r="AZ230" s="185"/>
      <c r="BA230" s="185"/>
      <c r="BB230" s="185"/>
      <c r="BC230" s="185"/>
      <c r="BD230" s="185"/>
      <c r="BE230" s="185"/>
      <c r="BF230" s="185"/>
      <c r="BG230" s="185"/>
      <c r="BH230" s="185"/>
      <c r="BI230" s="185"/>
      <c r="BJ230" s="185"/>
      <c r="BK230" s="185"/>
      <c r="BL230" s="185"/>
    </row>
    <row r="231" ht="15.7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233"/>
      <c r="AF231" s="185"/>
      <c r="AG231" s="185"/>
      <c r="AH231" s="185"/>
      <c r="AI231" s="185"/>
      <c r="AJ231" s="185"/>
      <c r="AK231" s="185"/>
      <c r="AL231" s="185"/>
      <c r="AM231" s="185"/>
      <c r="AN231" s="185"/>
      <c r="AO231" s="185"/>
      <c r="AP231" s="185"/>
      <c r="AQ231" s="185"/>
      <c r="AR231" s="185"/>
      <c r="AS231" s="185"/>
      <c r="AT231" s="185"/>
      <c r="AU231" s="185"/>
      <c r="AV231" s="185"/>
      <c r="AW231" s="185"/>
      <c r="AX231" s="185"/>
      <c r="AY231" s="185"/>
      <c r="AZ231" s="185"/>
      <c r="BA231" s="185"/>
      <c r="BB231" s="185"/>
      <c r="BC231" s="185"/>
      <c r="BD231" s="185"/>
      <c r="BE231" s="185"/>
      <c r="BF231" s="185"/>
      <c r="BG231" s="185"/>
      <c r="BH231" s="185"/>
      <c r="BI231" s="185"/>
      <c r="BJ231" s="185"/>
      <c r="BK231" s="185"/>
      <c r="BL231" s="185"/>
    </row>
    <row r="232" ht="15.7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233"/>
      <c r="AF232" s="185"/>
      <c r="AG232" s="185"/>
      <c r="AH232" s="185"/>
      <c r="AI232" s="185"/>
      <c r="AJ232" s="185"/>
      <c r="AK232" s="185"/>
      <c r="AL232" s="185"/>
      <c r="AM232" s="185"/>
      <c r="AN232" s="185"/>
      <c r="AO232" s="185"/>
      <c r="AP232" s="185"/>
      <c r="AQ232" s="185"/>
      <c r="AR232" s="185"/>
      <c r="AS232" s="185"/>
      <c r="AT232" s="185"/>
      <c r="AU232" s="185"/>
      <c r="AV232" s="185"/>
      <c r="AW232" s="185"/>
      <c r="AX232" s="185"/>
      <c r="AY232" s="185"/>
      <c r="AZ232" s="185"/>
      <c r="BA232" s="185"/>
      <c r="BB232" s="185"/>
      <c r="BC232" s="185"/>
      <c r="BD232" s="185"/>
      <c r="BE232" s="185"/>
      <c r="BF232" s="185"/>
      <c r="BG232" s="185"/>
      <c r="BH232" s="185"/>
      <c r="BI232" s="185"/>
      <c r="BJ232" s="185"/>
      <c r="BK232" s="185"/>
      <c r="BL232" s="185"/>
    </row>
    <row r="233" ht="15.7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233"/>
      <c r="AF233" s="185"/>
      <c r="AG233" s="185"/>
      <c r="AH233" s="185"/>
      <c r="AI233" s="185"/>
      <c r="AJ233" s="185"/>
      <c r="AK233" s="185"/>
      <c r="AL233" s="185"/>
      <c r="AM233" s="185"/>
      <c r="AN233" s="185"/>
      <c r="AO233" s="185"/>
      <c r="AP233" s="185"/>
      <c r="AQ233" s="185"/>
      <c r="AR233" s="185"/>
      <c r="AS233" s="185"/>
      <c r="AT233" s="185"/>
      <c r="AU233" s="185"/>
      <c r="AV233" s="185"/>
      <c r="AW233" s="185"/>
      <c r="AX233" s="185"/>
      <c r="AY233" s="185"/>
      <c r="AZ233" s="185"/>
      <c r="BA233" s="185"/>
      <c r="BB233" s="185"/>
      <c r="BC233" s="185"/>
      <c r="BD233" s="185"/>
      <c r="BE233" s="185"/>
      <c r="BF233" s="185"/>
      <c r="BG233" s="185"/>
      <c r="BH233" s="185"/>
      <c r="BI233" s="185"/>
      <c r="BJ233" s="185"/>
      <c r="BK233" s="185"/>
      <c r="BL233" s="185"/>
    </row>
    <row r="234" ht="15.7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233"/>
      <c r="AF234" s="185"/>
      <c r="AG234" s="185"/>
      <c r="AH234" s="185"/>
      <c r="AI234" s="185"/>
      <c r="AJ234" s="185"/>
      <c r="AK234" s="185"/>
      <c r="AL234" s="185"/>
      <c r="AM234" s="185"/>
      <c r="AN234" s="185"/>
      <c r="AO234" s="185"/>
      <c r="AP234" s="185"/>
      <c r="AQ234" s="185"/>
      <c r="AR234" s="185"/>
      <c r="AS234" s="185"/>
      <c r="AT234" s="185"/>
      <c r="AU234" s="185"/>
      <c r="AV234" s="185"/>
      <c r="AW234" s="185"/>
      <c r="AX234" s="185"/>
      <c r="AY234" s="185"/>
      <c r="AZ234" s="185"/>
      <c r="BA234" s="185"/>
      <c r="BB234" s="185"/>
      <c r="BC234" s="185"/>
      <c r="BD234" s="185"/>
      <c r="BE234" s="185"/>
      <c r="BF234" s="185"/>
      <c r="BG234" s="185"/>
      <c r="BH234" s="185"/>
      <c r="BI234" s="185"/>
      <c r="BJ234" s="185"/>
      <c r="BK234" s="185"/>
      <c r="BL234" s="185"/>
    </row>
    <row r="235" ht="15.7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233"/>
      <c r="AF235" s="185"/>
      <c r="AG235" s="185"/>
      <c r="AH235" s="185"/>
      <c r="AI235" s="185"/>
      <c r="AJ235" s="185"/>
      <c r="AK235" s="185"/>
      <c r="AL235" s="185"/>
      <c r="AM235" s="185"/>
      <c r="AN235" s="185"/>
      <c r="AO235" s="185"/>
      <c r="AP235" s="185"/>
      <c r="AQ235" s="185"/>
      <c r="AR235" s="185"/>
      <c r="AS235" s="185"/>
      <c r="AT235" s="185"/>
      <c r="AU235" s="185"/>
      <c r="AV235" s="185"/>
      <c r="AW235" s="185"/>
      <c r="AX235" s="185"/>
      <c r="AY235" s="185"/>
      <c r="AZ235" s="185"/>
      <c r="BA235" s="185"/>
      <c r="BB235" s="185"/>
      <c r="BC235" s="185"/>
      <c r="BD235" s="185"/>
      <c r="BE235" s="185"/>
      <c r="BF235" s="185"/>
      <c r="BG235" s="185"/>
      <c r="BH235" s="185"/>
      <c r="BI235" s="185"/>
      <c r="BJ235" s="185"/>
      <c r="BK235" s="185"/>
      <c r="BL235" s="185"/>
    </row>
    <row r="236" ht="15.7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233"/>
      <c r="AF236" s="185"/>
      <c r="AG236" s="185"/>
      <c r="AH236" s="185"/>
      <c r="AI236" s="185"/>
      <c r="AJ236" s="185"/>
      <c r="AK236" s="185"/>
      <c r="AL236" s="185"/>
      <c r="AM236" s="185"/>
      <c r="AN236" s="185"/>
      <c r="AO236" s="185"/>
      <c r="AP236" s="185"/>
      <c r="AQ236" s="185"/>
      <c r="AR236" s="185"/>
      <c r="AS236" s="185"/>
      <c r="AT236" s="185"/>
      <c r="AU236" s="185"/>
      <c r="AV236" s="185"/>
      <c r="AW236" s="185"/>
      <c r="AX236" s="185"/>
      <c r="AY236" s="185"/>
      <c r="AZ236" s="185"/>
      <c r="BA236" s="185"/>
      <c r="BB236" s="185"/>
      <c r="BC236" s="185"/>
      <c r="BD236" s="185"/>
      <c r="BE236" s="185"/>
      <c r="BF236" s="185"/>
      <c r="BG236" s="185"/>
      <c r="BH236" s="185"/>
      <c r="BI236" s="185"/>
      <c r="BJ236" s="185"/>
      <c r="BK236" s="185"/>
      <c r="BL236" s="185"/>
    </row>
    <row r="237" ht="15.7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233"/>
      <c r="AF237" s="185"/>
      <c r="AG237" s="185"/>
      <c r="AH237" s="185"/>
      <c r="AI237" s="185"/>
      <c r="AJ237" s="185"/>
      <c r="AK237" s="185"/>
      <c r="AL237" s="185"/>
      <c r="AM237" s="185"/>
      <c r="AN237" s="185"/>
      <c r="AO237" s="185"/>
      <c r="AP237" s="185"/>
      <c r="AQ237" s="185"/>
      <c r="AR237" s="185"/>
      <c r="AS237" s="185"/>
      <c r="AT237" s="185"/>
      <c r="AU237" s="185"/>
      <c r="AV237" s="185"/>
      <c r="AW237" s="185"/>
      <c r="AX237" s="185"/>
      <c r="AY237" s="185"/>
      <c r="AZ237" s="185"/>
      <c r="BA237" s="185"/>
      <c r="BB237" s="185"/>
      <c r="BC237" s="185"/>
      <c r="BD237" s="185"/>
      <c r="BE237" s="185"/>
      <c r="BF237" s="185"/>
      <c r="BG237" s="185"/>
      <c r="BH237" s="185"/>
      <c r="BI237" s="185"/>
      <c r="BJ237" s="185"/>
      <c r="BK237" s="185"/>
      <c r="BL237" s="185"/>
    </row>
    <row r="238" ht="15.7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233"/>
      <c r="AF238" s="185"/>
      <c r="AG238" s="185"/>
      <c r="AH238" s="185"/>
      <c r="AI238" s="185"/>
      <c r="AJ238" s="185"/>
      <c r="AK238" s="185"/>
      <c r="AL238" s="185"/>
      <c r="AM238" s="185"/>
      <c r="AN238" s="185"/>
      <c r="AO238" s="185"/>
      <c r="AP238" s="185"/>
      <c r="AQ238" s="185"/>
      <c r="AR238" s="185"/>
      <c r="AS238" s="185"/>
      <c r="AT238" s="185"/>
      <c r="AU238" s="185"/>
      <c r="AV238" s="185"/>
      <c r="AW238" s="185"/>
      <c r="AX238" s="185"/>
      <c r="AY238" s="185"/>
      <c r="AZ238" s="185"/>
      <c r="BA238" s="185"/>
      <c r="BB238" s="185"/>
      <c r="BC238" s="185"/>
      <c r="BD238" s="185"/>
      <c r="BE238" s="185"/>
      <c r="BF238" s="185"/>
      <c r="BG238" s="185"/>
      <c r="BH238" s="185"/>
      <c r="BI238" s="185"/>
      <c r="BJ238" s="185"/>
      <c r="BK238" s="185"/>
      <c r="BL238" s="185"/>
    </row>
    <row r="239" ht="15.7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233"/>
      <c r="AF239" s="185"/>
      <c r="AG239" s="185"/>
      <c r="AH239" s="185"/>
      <c r="AI239" s="185"/>
      <c r="AJ239" s="185"/>
      <c r="AK239" s="185"/>
      <c r="AL239" s="185"/>
      <c r="AM239" s="185"/>
      <c r="AN239" s="185"/>
      <c r="AO239" s="185"/>
      <c r="AP239" s="185"/>
      <c r="AQ239" s="185"/>
      <c r="AR239" s="185"/>
      <c r="AS239" s="185"/>
      <c r="AT239" s="185"/>
      <c r="AU239" s="185"/>
      <c r="AV239" s="185"/>
      <c r="AW239" s="185"/>
      <c r="AX239" s="185"/>
      <c r="AY239" s="185"/>
      <c r="AZ239" s="185"/>
      <c r="BA239" s="185"/>
      <c r="BB239" s="185"/>
      <c r="BC239" s="185"/>
      <c r="BD239" s="185"/>
      <c r="BE239" s="185"/>
      <c r="BF239" s="185"/>
      <c r="BG239" s="185"/>
      <c r="BH239" s="185"/>
      <c r="BI239" s="185"/>
      <c r="BJ239" s="185"/>
      <c r="BK239" s="185"/>
      <c r="BL239" s="185"/>
    </row>
    <row r="240" ht="15.7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233"/>
      <c r="AF240" s="185"/>
      <c r="AG240" s="185"/>
      <c r="AH240" s="185"/>
      <c r="AI240" s="185"/>
      <c r="AJ240" s="185"/>
      <c r="AK240" s="185"/>
      <c r="AL240" s="185"/>
      <c r="AM240" s="185"/>
      <c r="AN240" s="185"/>
      <c r="AO240" s="185"/>
      <c r="AP240" s="185"/>
      <c r="AQ240" s="185"/>
      <c r="AR240" s="185"/>
      <c r="AS240" s="185"/>
      <c r="AT240" s="185"/>
      <c r="AU240" s="185"/>
      <c r="AV240" s="185"/>
      <c r="AW240" s="185"/>
      <c r="AX240" s="185"/>
      <c r="AY240" s="185"/>
      <c r="AZ240" s="185"/>
      <c r="BA240" s="185"/>
      <c r="BB240" s="185"/>
      <c r="BC240" s="185"/>
      <c r="BD240" s="185"/>
      <c r="BE240" s="185"/>
      <c r="BF240" s="185"/>
      <c r="BG240" s="185"/>
      <c r="BH240" s="185"/>
      <c r="BI240" s="185"/>
      <c r="BJ240" s="185"/>
      <c r="BK240" s="185"/>
      <c r="BL240" s="185"/>
    </row>
    <row r="241" ht="15.7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233"/>
      <c r="AF241" s="185"/>
      <c r="AG241" s="185"/>
      <c r="AH241" s="185"/>
      <c r="AI241" s="185"/>
      <c r="AJ241" s="185"/>
      <c r="AK241" s="185"/>
      <c r="AL241" s="185"/>
      <c r="AM241" s="185"/>
      <c r="AN241" s="185"/>
      <c r="AO241" s="185"/>
      <c r="AP241" s="185"/>
      <c r="AQ241" s="185"/>
      <c r="AR241" s="185"/>
      <c r="AS241" s="185"/>
      <c r="AT241" s="185"/>
      <c r="AU241" s="185"/>
      <c r="AV241" s="185"/>
      <c r="AW241" s="185"/>
      <c r="AX241" s="185"/>
      <c r="AY241" s="185"/>
      <c r="AZ241" s="185"/>
      <c r="BA241" s="185"/>
      <c r="BB241" s="185"/>
      <c r="BC241" s="185"/>
      <c r="BD241" s="185"/>
      <c r="BE241" s="185"/>
      <c r="BF241" s="185"/>
      <c r="BG241" s="185"/>
      <c r="BH241" s="185"/>
      <c r="BI241" s="185"/>
      <c r="BJ241" s="185"/>
      <c r="BK241" s="185"/>
      <c r="BL241" s="185"/>
    </row>
    <row r="242" ht="15.7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233"/>
      <c r="AF242" s="185"/>
      <c r="AG242" s="185"/>
      <c r="AH242" s="185"/>
      <c r="AI242" s="185"/>
      <c r="AJ242" s="185"/>
      <c r="AK242" s="185"/>
      <c r="AL242" s="185"/>
      <c r="AM242" s="185"/>
      <c r="AN242" s="185"/>
      <c r="AO242" s="185"/>
      <c r="AP242" s="185"/>
      <c r="AQ242" s="185"/>
      <c r="AR242" s="185"/>
      <c r="AS242" s="185"/>
      <c r="AT242" s="185"/>
      <c r="AU242" s="185"/>
      <c r="AV242" s="185"/>
      <c r="AW242" s="185"/>
      <c r="AX242" s="185"/>
      <c r="AY242" s="185"/>
      <c r="AZ242" s="185"/>
      <c r="BA242" s="185"/>
      <c r="BB242" s="185"/>
      <c r="BC242" s="185"/>
      <c r="BD242" s="185"/>
      <c r="BE242" s="185"/>
      <c r="BF242" s="185"/>
      <c r="BG242" s="185"/>
      <c r="BH242" s="185"/>
      <c r="BI242" s="185"/>
      <c r="BJ242" s="185"/>
      <c r="BK242" s="185"/>
      <c r="BL242" s="185"/>
    </row>
    <row r="243" ht="15.7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233"/>
      <c r="AF243" s="185"/>
      <c r="AG243" s="185"/>
      <c r="AH243" s="185"/>
      <c r="AI243" s="185"/>
      <c r="AJ243" s="185"/>
      <c r="AK243" s="185"/>
      <c r="AL243" s="185"/>
      <c r="AM243" s="185"/>
      <c r="AN243" s="185"/>
      <c r="AO243" s="185"/>
      <c r="AP243" s="185"/>
      <c r="AQ243" s="185"/>
      <c r="AR243" s="185"/>
      <c r="AS243" s="185"/>
      <c r="AT243" s="185"/>
      <c r="AU243" s="185"/>
      <c r="AV243" s="185"/>
      <c r="AW243" s="185"/>
      <c r="AX243" s="185"/>
      <c r="AY243" s="185"/>
      <c r="AZ243" s="185"/>
      <c r="BA243" s="185"/>
      <c r="BB243" s="185"/>
      <c r="BC243" s="185"/>
      <c r="BD243" s="185"/>
      <c r="BE243" s="185"/>
      <c r="BF243" s="185"/>
      <c r="BG243" s="185"/>
      <c r="BH243" s="185"/>
      <c r="BI243" s="185"/>
      <c r="BJ243" s="185"/>
      <c r="BK243" s="185"/>
      <c r="BL243" s="185"/>
    </row>
    <row r="244" ht="15.7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233"/>
      <c r="AF244" s="185"/>
      <c r="AG244" s="185"/>
      <c r="AH244" s="185"/>
      <c r="AI244" s="185"/>
      <c r="AJ244" s="185"/>
      <c r="AK244" s="185"/>
      <c r="AL244" s="185"/>
      <c r="AM244" s="185"/>
      <c r="AN244" s="185"/>
      <c r="AO244" s="185"/>
      <c r="AP244" s="185"/>
      <c r="AQ244" s="185"/>
      <c r="AR244" s="185"/>
      <c r="AS244" s="185"/>
      <c r="AT244" s="185"/>
      <c r="AU244" s="185"/>
      <c r="AV244" s="185"/>
      <c r="AW244" s="185"/>
      <c r="AX244" s="185"/>
      <c r="AY244" s="185"/>
      <c r="AZ244" s="185"/>
      <c r="BA244" s="185"/>
      <c r="BB244" s="185"/>
      <c r="BC244" s="185"/>
      <c r="BD244" s="185"/>
      <c r="BE244" s="185"/>
      <c r="BF244" s="185"/>
      <c r="BG244" s="185"/>
      <c r="BH244" s="185"/>
      <c r="BI244" s="185"/>
      <c r="BJ244" s="185"/>
      <c r="BK244" s="185"/>
      <c r="BL244" s="185"/>
    </row>
    <row r="245" ht="15.7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233"/>
      <c r="AF245" s="185"/>
      <c r="AG245" s="185"/>
      <c r="AH245" s="185"/>
      <c r="AI245" s="185"/>
      <c r="AJ245" s="185"/>
      <c r="AK245" s="185"/>
      <c r="AL245" s="185"/>
      <c r="AM245" s="185"/>
      <c r="AN245" s="185"/>
      <c r="AO245" s="185"/>
      <c r="AP245" s="185"/>
      <c r="AQ245" s="185"/>
      <c r="AR245" s="185"/>
      <c r="AS245" s="185"/>
      <c r="AT245" s="185"/>
      <c r="AU245" s="185"/>
      <c r="AV245" s="185"/>
      <c r="AW245" s="185"/>
      <c r="AX245" s="185"/>
      <c r="AY245" s="185"/>
      <c r="AZ245" s="185"/>
      <c r="BA245" s="185"/>
      <c r="BB245" s="185"/>
      <c r="BC245" s="185"/>
      <c r="BD245" s="185"/>
      <c r="BE245" s="185"/>
      <c r="BF245" s="185"/>
      <c r="BG245" s="185"/>
      <c r="BH245" s="185"/>
      <c r="BI245" s="185"/>
      <c r="BJ245" s="185"/>
      <c r="BK245" s="185"/>
      <c r="BL245" s="185"/>
    </row>
    <row r="246" ht="15.7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233"/>
      <c r="AF246" s="185"/>
      <c r="AG246" s="185"/>
      <c r="AH246" s="185"/>
      <c r="AI246" s="185"/>
      <c r="AJ246" s="185"/>
      <c r="AK246" s="185"/>
      <c r="AL246" s="185"/>
      <c r="AM246" s="185"/>
      <c r="AN246" s="185"/>
      <c r="AO246" s="185"/>
      <c r="AP246" s="185"/>
      <c r="AQ246" s="185"/>
      <c r="AR246" s="185"/>
      <c r="AS246" s="185"/>
      <c r="AT246" s="185"/>
      <c r="AU246" s="185"/>
      <c r="AV246" s="185"/>
      <c r="AW246" s="185"/>
      <c r="AX246" s="185"/>
      <c r="AY246" s="185"/>
      <c r="AZ246" s="185"/>
      <c r="BA246" s="185"/>
      <c r="BB246" s="185"/>
      <c r="BC246" s="185"/>
      <c r="BD246" s="185"/>
      <c r="BE246" s="185"/>
      <c r="BF246" s="185"/>
      <c r="BG246" s="185"/>
      <c r="BH246" s="185"/>
      <c r="BI246" s="185"/>
      <c r="BJ246" s="185"/>
      <c r="BK246" s="185"/>
      <c r="BL246" s="185"/>
    </row>
    <row r="247" ht="15.7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233"/>
      <c r="AF247" s="185"/>
      <c r="AG247" s="185"/>
      <c r="AH247" s="185"/>
      <c r="AI247" s="185"/>
      <c r="AJ247" s="185"/>
      <c r="AK247" s="185"/>
      <c r="AL247" s="185"/>
      <c r="AM247" s="185"/>
      <c r="AN247" s="185"/>
      <c r="AO247" s="185"/>
      <c r="AP247" s="185"/>
      <c r="AQ247" s="185"/>
      <c r="AR247" s="185"/>
      <c r="AS247" s="185"/>
      <c r="AT247" s="185"/>
      <c r="AU247" s="185"/>
      <c r="AV247" s="185"/>
      <c r="AW247" s="185"/>
      <c r="AX247" s="185"/>
      <c r="AY247" s="185"/>
      <c r="AZ247" s="185"/>
      <c r="BA247" s="185"/>
      <c r="BB247" s="185"/>
      <c r="BC247" s="185"/>
      <c r="BD247" s="185"/>
      <c r="BE247" s="185"/>
      <c r="BF247" s="185"/>
      <c r="BG247" s="185"/>
      <c r="BH247" s="185"/>
      <c r="BI247" s="185"/>
      <c r="BJ247" s="185"/>
      <c r="BK247" s="185"/>
      <c r="BL247" s="185"/>
    </row>
    <row r="248" ht="15.7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233"/>
      <c r="AF248" s="185"/>
      <c r="AG248" s="185"/>
      <c r="AH248" s="185"/>
      <c r="AI248" s="185"/>
      <c r="AJ248" s="185"/>
      <c r="AK248" s="185"/>
      <c r="AL248" s="185"/>
      <c r="AM248" s="185"/>
      <c r="AN248" s="185"/>
      <c r="AO248" s="185"/>
      <c r="AP248" s="185"/>
      <c r="AQ248" s="185"/>
      <c r="AR248" s="185"/>
      <c r="AS248" s="185"/>
      <c r="AT248" s="185"/>
      <c r="AU248" s="185"/>
      <c r="AV248" s="185"/>
      <c r="AW248" s="185"/>
      <c r="AX248" s="185"/>
      <c r="AY248" s="185"/>
      <c r="AZ248" s="185"/>
      <c r="BA248" s="185"/>
      <c r="BB248" s="185"/>
      <c r="BC248" s="185"/>
      <c r="BD248" s="185"/>
      <c r="BE248" s="185"/>
      <c r="BF248" s="185"/>
      <c r="BG248" s="185"/>
      <c r="BH248" s="185"/>
      <c r="BI248" s="185"/>
      <c r="BJ248" s="185"/>
      <c r="BK248" s="185"/>
      <c r="BL248" s="185"/>
    </row>
    <row r="249" ht="15.7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233"/>
      <c r="AF249" s="185"/>
      <c r="AG249" s="185"/>
      <c r="AH249" s="185"/>
      <c r="AI249" s="185"/>
      <c r="AJ249" s="185"/>
      <c r="AK249" s="185"/>
      <c r="AL249" s="185"/>
      <c r="AM249" s="185"/>
      <c r="AN249" s="185"/>
      <c r="AO249" s="185"/>
      <c r="AP249" s="185"/>
      <c r="AQ249" s="185"/>
      <c r="AR249" s="185"/>
      <c r="AS249" s="185"/>
      <c r="AT249" s="185"/>
      <c r="AU249" s="185"/>
      <c r="AV249" s="185"/>
      <c r="AW249" s="185"/>
      <c r="AX249" s="185"/>
      <c r="AY249" s="185"/>
      <c r="AZ249" s="185"/>
      <c r="BA249" s="185"/>
      <c r="BB249" s="185"/>
      <c r="BC249" s="185"/>
      <c r="BD249" s="185"/>
      <c r="BE249" s="185"/>
      <c r="BF249" s="185"/>
      <c r="BG249" s="185"/>
      <c r="BH249" s="185"/>
      <c r="BI249" s="185"/>
      <c r="BJ249" s="185"/>
      <c r="BK249" s="185"/>
      <c r="BL249" s="185"/>
    </row>
    <row r="250" ht="15.7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233"/>
      <c r="AF250" s="185"/>
      <c r="AG250" s="185"/>
      <c r="AH250" s="185"/>
      <c r="AI250" s="185"/>
      <c r="AJ250" s="185"/>
      <c r="AK250" s="185"/>
      <c r="AL250" s="185"/>
      <c r="AM250" s="185"/>
      <c r="AN250" s="185"/>
      <c r="AO250" s="185"/>
      <c r="AP250" s="185"/>
      <c r="AQ250" s="185"/>
      <c r="AR250" s="185"/>
      <c r="AS250" s="185"/>
      <c r="AT250" s="185"/>
      <c r="AU250" s="185"/>
      <c r="AV250" s="185"/>
      <c r="AW250" s="185"/>
      <c r="AX250" s="185"/>
      <c r="AY250" s="185"/>
      <c r="AZ250" s="185"/>
      <c r="BA250" s="185"/>
      <c r="BB250" s="185"/>
      <c r="BC250" s="185"/>
      <c r="BD250" s="185"/>
      <c r="BE250" s="185"/>
      <c r="BF250" s="185"/>
      <c r="BG250" s="185"/>
      <c r="BH250" s="185"/>
      <c r="BI250" s="185"/>
      <c r="BJ250" s="185"/>
      <c r="BK250" s="185"/>
      <c r="BL250" s="185"/>
    </row>
    <row r="251" ht="15.7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233"/>
      <c r="AF251" s="185"/>
      <c r="AG251" s="185"/>
      <c r="AH251" s="185"/>
      <c r="AI251" s="185"/>
      <c r="AJ251" s="185"/>
      <c r="AK251" s="185"/>
      <c r="AL251" s="185"/>
      <c r="AM251" s="185"/>
      <c r="AN251" s="185"/>
      <c r="AO251" s="185"/>
      <c r="AP251" s="185"/>
      <c r="AQ251" s="185"/>
      <c r="AR251" s="185"/>
      <c r="AS251" s="185"/>
      <c r="AT251" s="185"/>
      <c r="AU251" s="185"/>
      <c r="AV251" s="185"/>
      <c r="AW251" s="185"/>
      <c r="AX251" s="185"/>
      <c r="AY251" s="185"/>
      <c r="AZ251" s="185"/>
      <c r="BA251" s="185"/>
      <c r="BB251" s="185"/>
      <c r="BC251" s="185"/>
      <c r="BD251" s="185"/>
      <c r="BE251" s="185"/>
      <c r="BF251" s="185"/>
      <c r="BG251" s="185"/>
      <c r="BH251" s="185"/>
      <c r="BI251" s="185"/>
      <c r="BJ251" s="185"/>
      <c r="BK251" s="185"/>
      <c r="BL251" s="185"/>
    </row>
    <row r="252" ht="15.7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233"/>
      <c r="AF252" s="185"/>
      <c r="AG252" s="185"/>
      <c r="AH252" s="185"/>
      <c r="AI252" s="185"/>
      <c r="AJ252" s="185"/>
      <c r="AK252" s="185"/>
      <c r="AL252" s="185"/>
      <c r="AM252" s="185"/>
      <c r="AN252" s="185"/>
      <c r="AO252" s="185"/>
      <c r="AP252" s="185"/>
      <c r="AQ252" s="185"/>
      <c r="AR252" s="185"/>
      <c r="AS252" s="185"/>
      <c r="AT252" s="185"/>
      <c r="AU252" s="185"/>
      <c r="AV252" s="185"/>
      <c r="AW252" s="185"/>
      <c r="AX252" s="185"/>
      <c r="AY252" s="185"/>
      <c r="AZ252" s="185"/>
      <c r="BA252" s="185"/>
      <c r="BB252" s="185"/>
      <c r="BC252" s="185"/>
      <c r="BD252" s="185"/>
      <c r="BE252" s="185"/>
      <c r="BF252" s="185"/>
      <c r="BG252" s="185"/>
      <c r="BH252" s="185"/>
      <c r="BI252" s="185"/>
      <c r="BJ252" s="185"/>
      <c r="BK252" s="185"/>
      <c r="BL252" s="185"/>
    </row>
    <row r="253" ht="15.7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233"/>
      <c r="AF253" s="185"/>
      <c r="AG253" s="185"/>
      <c r="AH253" s="185"/>
      <c r="AI253" s="185"/>
      <c r="AJ253" s="185"/>
      <c r="AK253" s="185"/>
      <c r="AL253" s="185"/>
      <c r="AM253" s="185"/>
      <c r="AN253" s="185"/>
      <c r="AO253" s="185"/>
      <c r="AP253" s="185"/>
      <c r="AQ253" s="185"/>
      <c r="AR253" s="185"/>
      <c r="AS253" s="185"/>
      <c r="AT253" s="185"/>
      <c r="AU253" s="185"/>
      <c r="AV253" s="185"/>
      <c r="AW253" s="185"/>
      <c r="AX253" s="185"/>
      <c r="AY253" s="185"/>
      <c r="AZ253" s="185"/>
      <c r="BA253" s="185"/>
      <c r="BB253" s="185"/>
      <c r="BC253" s="185"/>
      <c r="BD253" s="185"/>
      <c r="BE253" s="185"/>
      <c r="BF253" s="185"/>
      <c r="BG253" s="185"/>
      <c r="BH253" s="185"/>
      <c r="BI253" s="185"/>
      <c r="BJ253" s="185"/>
      <c r="BK253" s="185"/>
      <c r="BL253" s="185"/>
    </row>
    <row r="254" ht="15.7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233"/>
      <c r="AF254" s="185"/>
      <c r="AG254" s="185"/>
      <c r="AH254" s="185"/>
      <c r="AI254" s="185"/>
      <c r="AJ254" s="185"/>
      <c r="AK254" s="185"/>
      <c r="AL254" s="185"/>
      <c r="AM254" s="185"/>
      <c r="AN254" s="185"/>
      <c r="AO254" s="185"/>
      <c r="AP254" s="185"/>
      <c r="AQ254" s="185"/>
      <c r="AR254" s="185"/>
      <c r="AS254" s="185"/>
      <c r="AT254" s="185"/>
      <c r="AU254" s="185"/>
      <c r="AV254" s="185"/>
      <c r="AW254" s="185"/>
      <c r="AX254" s="185"/>
      <c r="AY254" s="185"/>
      <c r="AZ254" s="185"/>
      <c r="BA254" s="185"/>
      <c r="BB254" s="185"/>
      <c r="BC254" s="185"/>
      <c r="BD254" s="185"/>
      <c r="BE254" s="185"/>
      <c r="BF254" s="185"/>
      <c r="BG254" s="185"/>
      <c r="BH254" s="185"/>
      <c r="BI254" s="185"/>
      <c r="BJ254" s="185"/>
      <c r="BK254" s="185"/>
      <c r="BL254" s="185"/>
    </row>
    <row r="255" ht="15.7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233"/>
      <c r="AF255" s="185"/>
      <c r="AG255" s="185"/>
      <c r="AH255" s="185"/>
      <c r="AI255" s="185"/>
      <c r="AJ255" s="185"/>
      <c r="AK255" s="185"/>
      <c r="AL255" s="185"/>
      <c r="AM255" s="185"/>
      <c r="AN255" s="185"/>
      <c r="AO255" s="185"/>
      <c r="AP255" s="185"/>
      <c r="AQ255" s="185"/>
      <c r="AR255" s="185"/>
      <c r="AS255" s="185"/>
      <c r="AT255" s="185"/>
      <c r="AU255" s="185"/>
      <c r="AV255" s="185"/>
      <c r="AW255" s="185"/>
      <c r="AX255" s="185"/>
      <c r="AY255" s="185"/>
      <c r="AZ255" s="185"/>
      <c r="BA255" s="185"/>
      <c r="BB255" s="185"/>
      <c r="BC255" s="185"/>
      <c r="BD255" s="185"/>
      <c r="BE255" s="185"/>
      <c r="BF255" s="185"/>
      <c r="BG255" s="185"/>
      <c r="BH255" s="185"/>
      <c r="BI255" s="185"/>
      <c r="BJ255" s="185"/>
      <c r="BK255" s="185"/>
      <c r="BL255" s="185"/>
    </row>
    <row r="256" ht="15.7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233"/>
      <c r="AF256" s="185"/>
      <c r="AG256" s="185"/>
      <c r="AH256" s="185"/>
      <c r="AI256" s="185"/>
      <c r="AJ256" s="185"/>
      <c r="AK256" s="185"/>
      <c r="AL256" s="185"/>
      <c r="AM256" s="185"/>
      <c r="AN256" s="185"/>
      <c r="AO256" s="185"/>
      <c r="AP256" s="185"/>
      <c r="AQ256" s="185"/>
      <c r="AR256" s="185"/>
      <c r="AS256" s="185"/>
      <c r="AT256" s="185"/>
      <c r="AU256" s="185"/>
      <c r="AV256" s="185"/>
      <c r="AW256" s="185"/>
      <c r="AX256" s="185"/>
      <c r="AY256" s="185"/>
      <c r="AZ256" s="185"/>
      <c r="BA256" s="185"/>
      <c r="BB256" s="185"/>
      <c r="BC256" s="185"/>
      <c r="BD256" s="185"/>
      <c r="BE256" s="185"/>
      <c r="BF256" s="185"/>
      <c r="BG256" s="185"/>
      <c r="BH256" s="185"/>
      <c r="BI256" s="185"/>
      <c r="BJ256" s="185"/>
      <c r="BK256" s="185"/>
      <c r="BL256" s="185"/>
    </row>
    <row r="257" ht="15.7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233"/>
      <c r="AF257" s="185"/>
      <c r="AG257" s="185"/>
      <c r="AH257" s="185"/>
      <c r="AI257" s="185"/>
      <c r="AJ257" s="185"/>
      <c r="AK257" s="185"/>
      <c r="AL257" s="185"/>
      <c r="AM257" s="185"/>
      <c r="AN257" s="185"/>
      <c r="AO257" s="185"/>
      <c r="AP257" s="185"/>
      <c r="AQ257" s="185"/>
      <c r="AR257" s="185"/>
      <c r="AS257" s="185"/>
      <c r="AT257" s="185"/>
      <c r="AU257" s="185"/>
      <c r="AV257" s="185"/>
      <c r="AW257" s="185"/>
      <c r="AX257" s="185"/>
      <c r="AY257" s="185"/>
      <c r="AZ257" s="185"/>
      <c r="BA257" s="185"/>
      <c r="BB257" s="185"/>
      <c r="BC257" s="185"/>
      <c r="BD257" s="185"/>
      <c r="BE257" s="185"/>
      <c r="BF257" s="185"/>
      <c r="BG257" s="185"/>
      <c r="BH257" s="185"/>
      <c r="BI257" s="185"/>
      <c r="BJ257" s="185"/>
      <c r="BK257" s="185"/>
      <c r="BL257" s="185"/>
    </row>
    <row r="258" ht="15.7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233"/>
      <c r="AF258" s="185"/>
      <c r="AG258" s="185"/>
      <c r="AH258" s="185"/>
      <c r="AI258" s="185"/>
      <c r="AJ258" s="185"/>
      <c r="AK258" s="185"/>
      <c r="AL258" s="185"/>
      <c r="AM258" s="185"/>
      <c r="AN258" s="185"/>
      <c r="AO258" s="185"/>
      <c r="AP258" s="185"/>
      <c r="AQ258" s="185"/>
      <c r="AR258" s="185"/>
      <c r="AS258" s="185"/>
      <c r="AT258" s="185"/>
      <c r="AU258" s="185"/>
      <c r="AV258" s="185"/>
      <c r="AW258" s="185"/>
      <c r="AX258" s="185"/>
      <c r="AY258" s="185"/>
      <c r="AZ258" s="185"/>
      <c r="BA258" s="185"/>
      <c r="BB258" s="185"/>
      <c r="BC258" s="185"/>
      <c r="BD258" s="185"/>
      <c r="BE258" s="185"/>
      <c r="BF258" s="185"/>
      <c r="BG258" s="185"/>
      <c r="BH258" s="185"/>
      <c r="BI258" s="185"/>
      <c r="BJ258" s="185"/>
      <c r="BK258" s="185"/>
      <c r="BL258" s="185"/>
    </row>
    <row r="259" ht="15.7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233"/>
      <c r="AF259" s="185"/>
      <c r="AG259" s="185"/>
      <c r="AH259" s="185"/>
      <c r="AI259" s="185"/>
      <c r="AJ259" s="185"/>
      <c r="AK259" s="185"/>
      <c r="AL259" s="185"/>
      <c r="AM259" s="185"/>
      <c r="AN259" s="185"/>
      <c r="AO259" s="185"/>
      <c r="AP259" s="185"/>
      <c r="AQ259" s="185"/>
      <c r="AR259" s="185"/>
      <c r="AS259" s="185"/>
      <c r="AT259" s="185"/>
      <c r="AU259" s="185"/>
      <c r="AV259" s="185"/>
      <c r="AW259" s="185"/>
      <c r="AX259" s="185"/>
      <c r="AY259" s="185"/>
      <c r="AZ259" s="185"/>
      <c r="BA259" s="185"/>
      <c r="BB259" s="185"/>
      <c r="BC259" s="185"/>
      <c r="BD259" s="185"/>
      <c r="BE259" s="185"/>
      <c r="BF259" s="185"/>
      <c r="BG259" s="185"/>
      <c r="BH259" s="185"/>
      <c r="BI259" s="185"/>
      <c r="BJ259" s="185"/>
      <c r="BK259" s="185"/>
      <c r="BL259" s="185"/>
    </row>
    <row r="260" ht="15.7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233"/>
      <c r="AF260" s="185"/>
      <c r="AG260" s="185"/>
      <c r="AH260" s="185"/>
      <c r="AI260" s="185"/>
      <c r="AJ260" s="185"/>
      <c r="AK260" s="185"/>
      <c r="AL260" s="185"/>
      <c r="AM260" s="185"/>
      <c r="AN260" s="185"/>
      <c r="AO260" s="185"/>
      <c r="AP260" s="185"/>
      <c r="AQ260" s="185"/>
      <c r="AR260" s="185"/>
      <c r="AS260" s="185"/>
      <c r="AT260" s="185"/>
      <c r="AU260" s="185"/>
      <c r="AV260" s="185"/>
      <c r="AW260" s="185"/>
      <c r="AX260" s="185"/>
      <c r="AY260" s="185"/>
      <c r="AZ260" s="185"/>
      <c r="BA260" s="185"/>
      <c r="BB260" s="185"/>
      <c r="BC260" s="185"/>
      <c r="BD260" s="185"/>
      <c r="BE260" s="185"/>
      <c r="BF260" s="185"/>
      <c r="BG260" s="185"/>
      <c r="BH260" s="185"/>
      <c r="BI260" s="185"/>
      <c r="BJ260" s="185"/>
      <c r="BK260" s="185"/>
      <c r="BL260" s="185"/>
    </row>
    <row r="261" ht="15.7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233"/>
      <c r="AF261" s="185"/>
      <c r="AG261" s="185"/>
      <c r="AH261" s="185"/>
      <c r="AI261" s="185"/>
      <c r="AJ261" s="185"/>
      <c r="AK261" s="185"/>
      <c r="AL261" s="185"/>
      <c r="AM261" s="185"/>
      <c r="AN261" s="185"/>
      <c r="AO261" s="185"/>
      <c r="AP261" s="185"/>
      <c r="AQ261" s="185"/>
      <c r="AR261" s="185"/>
      <c r="AS261" s="185"/>
      <c r="AT261" s="185"/>
      <c r="AU261" s="185"/>
      <c r="AV261" s="185"/>
      <c r="AW261" s="185"/>
      <c r="AX261" s="185"/>
      <c r="AY261" s="185"/>
      <c r="AZ261" s="185"/>
      <c r="BA261" s="185"/>
      <c r="BB261" s="185"/>
      <c r="BC261" s="185"/>
      <c r="BD261" s="185"/>
      <c r="BE261" s="185"/>
      <c r="BF261" s="185"/>
      <c r="BG261" s="185"/>
      <c r="BH261" s="185"/>
      <c r="BI261" s="185"/>
      <c r="BJ261" s="185"/>
      <c r="BK261" s="185"/>
      <c r="BL261" s="185"/>
    </row>
    <row r="262" ht="15.7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233"/>
      <c r="AF262" s="185"/>
      <c r="AG262" s="185"/>
      <c r="AH262" s="185"/>
      <c r="AI262" s="185"/>
      <c r="AJ262" s="185"/>
      <c r="AK262" s="185"/>
      <c r="AL262" s="185"/>
      <c r="AM262" s="185"/>
      <c r="AN262" s="185"/>
      <c r="AO262" s="185"/>
      <c r="AP262" s="185"/>
      <c r="AQ262" s="185"/>
      <c r="AR262" s="185"/>
      <c r="AS262" s="185"/>
      <c r="AT262" s="185"/>
      <c r="AU262" s="185"/>
      <c r="AV262" s="185"/>
      <c r="AW262" s="185"/>
      <c r="AX262" s="185"/>
      <c r="AY262" s="185"/>
      <c r="AZ262" s="185"/>
      <c r="BA262" s="185"/>
      <c r="BB262" s="185"/>
      <c r="BC262" s="185"/>
      <c r="BD262" s="185"/>
      <c r="BE262" s="185"/>
      <c r="BF262" s="185"/>
      <c r="BG262" s="185"/>
      <c r="BH262" s="185"/>
      <c r="BI262" s="185"/>
      <c r="BJ262" s="185"/>
      <c r="BK262" s="185"/>
      <c r="BL262" s="185"/>
    </row>
    <row r="263" ht="15.7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233"/>
      <c r="AF263" s="185"/>
      <c r="AG263" s="185"/>
      <c r="AH263" s="185"/>
      <c r="AI263" s="185"/>
      <c r="AJ263" s="185"/>
      <c r="AK263" s="185"/>
      <c r="AL263" s="185"/>
      <c r="AM263" s="185"/>
      <c r="AN263" s="185"/>
      <c r="AO263" s="185"/>
      <c r="AP263" s="185"/>
      <c r="AQ263" s="185"/>
      <c r="AR263" s="185"/>
      <c r="AS263" s="185"/>
      <c r="AT263" s="185"/>
      <c r="AU263" s="185"/>
      <c r="AV263" s="185"/>
      <c r="AW263" s="185"/>
      <c r="AX263" s="185"/>
      <c r="AY263" s="185"/>
      <c r="AZ263" s="185"/>
      <c r="BA263" s="185"/>
      <c r="BB263" s="185"/>
      <c r="BC263" s="185"/>
      <c r="BD263" s="185"/>
      <c r="BE263" s="185"/>
      <c r="BF263" s="185"/>
      <c r="BG263" s="185"/>
      <c r="BH263" s="185"/>
      <c r="BI263" s="185"/>
      <c r="BJ263" s="185"/>
      <c r="BK263" s="185"/>
      <c r="BL263" s="185"/>
    </row>
    <row r="264" ht="15.7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233"/>
      <c r="AF264" s="185"/>
      <c r="AG264" s="185"/>
      <c r="AH264" s="185"/>
      <c r="AI264" s="185"/>
      <c r="AJ264" s="185"/>
      <c r="AK264" s="185"/>
      <c r="AL264" s="185"/>
      <c r="AM264" s="185"/>
      <c r="AN264" s="185"/>
      <c r="AO264" s="185"/>
      <c r="AP264" s="185"/>
      <c r="AQ264" s="185"/>
      <c r="AR264" s="185"/>
      <c r="AS264" s="185"/>
      <c r="AT264" s="185"/>
      <c r="AU264" s="185"/>
      <c r="AV264" s="185"/>
      <c r="AW264" s="185"/>
      <c r="AX264" s="185"/>
      <c r="AY264" s="185"/>
      <c r="AZ264" s="185"/>
      <c r="BA264" s="185"/>
      <c r="BB264" s="185"/>
      <c r="BC264" s="185"/>
      <c r="BD264" s="185"/>
      <c r="BE264" s="185"/>
      <c r="BF264" s="185"/>
      <c r="BG264" s="185"/>
      <c r="BH264" s="185"/>
      <c r="BI264" s="185"/>
      <c r="BJ264" s="185"/>
      <c r="BK264" s="185"/>
      <c r="BL264" s="185"/>
    </row>
    <row r="265" ht="15.7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233"/>
      <c r="AF265" s="185"/>
      <c r="AG265" s="185"/>
      <c r="AH265" s="185"/>
      <c r="AI265" s="185"/>
      <c r="AJ265" s="185"/>
      <c r="AK265" s="185"/>
      <c r="AL265" s="185"/>
      <c r="AM265" s="185"/>
      <c r="AN265" s="185"/>
      <c r="AO265" s="185"/>
      <c r="AP265" s="185"/>
      <c r="AQ265" s="185"/>
      <c r="AR265" s="185"/>
      <c r="AS265" s="185"/>
      <c r="AT265" s="185"/>
      <c r="AU265" s="185"/>
      <c r="AV265" s="185"/>
      <c r="AW265" s="185"/>
      <c r="AX265" s="185"/>
      <c r="AY265" s="185"/>
      <c r="AZ265" s="185"/>
      <c r="BA265" s="185"/>
      <c r="BB265" s="185"/>
      <c r="BC265" s="185"/>
      <c r="BD265" s="185"/>
      <c r="BE265" s="185"/>
      <c r="BF265" s="185"/>
      <c r="BG265" s="185"/>
      <c r="BH265" s="185"/>
      <c r="BI265" s="185"/>
      <c r="BJ265" s="185"/>
      <c r="BK265" s="185"/>
      <c r="BL265" s="185"/>
    </row>
    <row r="266" ht="15.7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233"/>
      <c r="AF266" s="185"/>
      <c r="AG266" s="185"/>
      <c r="AH266" s="185"/>
      <c r="AI266" s="185"/>
      <c r="AJ266" s="185"/>
      <c r="AK266" s="185"/>
      <c r="AL266" s="185"/>
      <c r="AM266" s="185"/>
      <c r="AN266" s="185"/>
      <c r="AO266" s="185"/>
      <c r="AP266" s="185"/>
      <c r="AQ266" s="185"/>
      <c r="AR266" s="185"/>
      <c r="AS266" s="185"/>
      <c r="AT266" s="185"/>
      <c r="AU266" s="185"/>
      <c r="AV266" s="185"/>
      <c r="AW266" s="185"/>
      <c r="AX266" s="185"/>
      <c r="AY266" s="185"/>
      <c r="AZ266" s="185"/>
      <c r="BA266" s="185"/>
      <c r="BB266" s="185"/>
      <c r="BC266" s="185"/>
      <c r="BD266" s="185"/>
      <c r="BE266" s="185"/>
      <c r="BF266" s="185"/>
      <c r="BG266" s="185"/>
      <c r="BH266" s="185"/>
      <c r="BI266" s="185"/>
      <c r="BJ266" s="185"/>
      <c r="BK266" s="185"/>
      <c r="BL266" s="185"/>
    </row>
    <row r="267" ht="15.7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233"/>
      <c r="AF267" s="185"/>
      <c r="AG267" s="185"/>
      <c r="AH267" s="185"/>
      <c r="AI267" s="185"/>
      <c r="AJ267" s="185"/>
      <c r="AK267" s="185"/>
      <c r="AL267" s="185"/>
      <c r="AM267" s="185"/>
      <c r="AN267" s="185"/>
      <c r="AO267" s="185"/>
      <c r="AP267" s="185"/>
      <c r="AQ267" s="185"/>
      <c r="AR267" s="185"/>
      <c r="AS267" s="185"/>
      <c r="AT267" s="185"/>
      <c r="AU267" s="185"/>
      <c r="AV267" s="185"/>
      <c r="AW267" s="185"/>
      <c r="AX267" s="185"/>
      <c r="AY267" s="185"/>
      <c r="AZ267" s="185"/>
      <c r="BA267" s="185"/>
      <c r="BB267" s="185"/>
      <c r="BC267" s="185"/>
      <c r="BD267" s="185"/>
      <c r="BE267" s="185"/>
      <c r="BF267" s="185"/>
      <c r="BG267" s="185"/>
      <c r="BH267" s="185"/>
      <c r="BI267" s="185"/>
      <c r="BJ267" s="185"/>
      <c r="BK267" s="185"/>
      <c r="BL267" s="185"/>
    </row>
    <row r="268" ht="15.7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233"/>
      <c r="AF268" s="185"/>
      <c r="AG268" s="185"/>
      <c r="AH268" s="185"/>
      <c r="AI268" s="185"/>
      <c r="AJ268" s="185"/>
      <c r="AK268" s="185"/>
      <c r="AL268" s="185"/>
      <c r="AM268" s="185"/>
      <c r="AN268" s="185"/>
      <c r="AO268" s="185"/>
      <c r="AP268" s="185"/>
      <c r="AQ268" s="185"/>
      <c r="AR268" s="185"/>
      <c r="AS268" s="185"/>
      <c r="AT268" s="185"/>
      <c r="AU268" s="185"/>
      <c r="AV268" s="185"/>
      <c r="AW268" s="185"/>
      <c r="AX268" s="185"/>
      <c r="AY268" s="185"/>
      <c r="AZ268" s="185"/>
      <c r="BA268" s="185"/>
      <c r="BB268" s="185"/>
      <c r="BC268" s="185"/>
      <c r="BD268" s="185"/>
      <c r="BE268" s="185"/>
      <c r="BF268" s="185"/>
      <c r="BG268" s="185"/>
      <c r="BH268" s="185"/>
      <c r="BI268" s="185"/>
      <c r="BJ268" s="185"/>
      <c r="BK268" s="185"/>
      <c r="BL268" s="185"/>
    </row>
    <row r="269" ht="15.7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233"/>
      <c r="AF269" s="185"/>
      <c r="AG269" s="185"/>
      <c r="AH269" s="185"/>
      <c r="AI269" s="185"/>
      <c r="AJ269" s="185"/>
      <c r="AK269" s="185"/>
      <c r="AL269" s="185"/>
      <c r="AM269" s="185"/>
      <c r="AN269" s="185"/>
      <c r="AO269" s="185"/>
      <c r="AP269" s="185"/>
      <c r="AQ269" s="185"/>
      <c r="AR269" s="185"/>
      <c r="AS269" s="185"/>
      <c r="AT269" s="185"/>
      <c r="AU269" s="185"/>
      <c r="AV269" s="185"/>
      <c r="AW269" s="185"/>
      <c r="AX269" s="185"/>
      <c r="AY269" s="185"/>
      <c r="AZ269" s="185"/>
      <c r="BA269" s="185"/>
      <c r="BB269" s="185"/>
      <c r="BC269" s="185"/>
      <c r="BD269" s="185"/>
      <c r="BE269" s="185"/>
      <c r="BF269" s="185"/>
      <c r="BG269" s="185"/>
      <c r="BH269" s="185"/>
      <c r="BI269" s="185"/>
      <c r="BJ269" s="185"/>
      <c r="BK269" s="185"/>
      <c r="BL269" s="18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 ht="15.75" customHeight="1">
      <c r="A1" s="43" t="s">
        <v>0</v>
      </c>
      <c r="B1" s="203"/>
      <c r="C1" s="203"/>
      <c r="D1" s="43" t="s">
        <v>7</v>
      </c>
      <c r="E1" s="43" t="s">
        <v>8</v>
      </c>
      <c r="F1" s="43" t="s">
        <v>9</v>
      </c>
      <c r="G1" s="43" t="s">
        <v>10</v>
      </c>
      <c r="H1" s="43" t="s">
        <v>11</v>
      </c>
      <c r="I1" s="43" t="s">
        <v>12</v>
      </c>
      <c r="J1" s="43" t="s">
        <v>13</v>
      </c>
      <c r="K1" s="43" t="s">
        <v>63</v>
      </c>
      <c r="L1" s="43" t="s">
        <v>64</v>
      </c>
      <c r="M1" s="43" t="s">
        <v>65</v>
      </c>
      <c r="N1" s="43" t="s">
        <v>66</v>
      </c>
      <c r="O1" s="43" t="s">
        <v>67</v>
      </c>
      <c r="P1" s="43" t="s">
        <v>68</v>
      </c>
      <c r="Q1" s="43" t="s">
        <v>69</v>
      </c>
      <c r="R1" s="43" t="s">
        <v>70</v>
      </c>
      <c r="S1" s="43" t="str">
        <f t="array" ref="S1:AD1">transpose(A22:A33)</f>
        <v>Q1 26</v>
      </c>
      <c r="T1" s="43" t="s">
        <v>72</v>
      </c>
      <c r="U1" s="43" t="s">
        <v>73</v>
      </c>
      <c r="V1" s="43" t="s">
        <v>74</v>
      </c>
      <c r="W1" s="43" t="s">
        <v>75</v>
      </c>
      <c r="X1" s="43" t="s">
        <v>76</v>
      </c>
      <c r="Y1" s="43" t="s">
        <v>77</v>
      </c>
      <c r="Z1" s="43" t="s">
        <v>78</v>
      </c>
      <c r="AA1" s="43" t="s">
        <v>79</v>
      </c>
      <c r="AB1" s="43" t="s">
        <v>80</v>
      </c>
      <c r="AC1" s="43" t="s">
        <v>81</v>
      </c>
      <c r="AD1" s="43" t="s">
        <v>82</v>
      </c>
      <c r="AE1" s="204"/>
      <c r="AF1" s="43" t="s">
        <v>14</v>
      </c>
      <c r="AG1" s="43" t="s">
        <v>2</v>
      </c>
      <c r="AH1" s="43" t="s">
        <v>3</v>
      </c>
      <c r="AI1" s="43" t="s">
        <v>4</v>
      </c>
      <c r="AJ1" s="43" t="s">
        <v>5</v>
      </c>
      <c r="AK1" s="43" t="s">
        <v>6</v>
      </c>
      <c r="AL1" s="43" t="s">
        <v>7</v>
      </c>
      <c r="AM1" s="43" t="s">
        <v>8</v>
      </c>
      <c r="AN1" s="43" t="s">
        <v>9</v>
      </c>
      <c r="AO1" s="43" t="s">
        <v>10</v>
      </c>
      <c r="AP1" s="43" t="s">
        <v>11</v>
      </c>
      <c r="AQ1" s="43" t="s">
        <v>12</v>
      </c>
      <c r="AR1" s="43" t="s">
        <v>13</v>
      </c>
      <c r="AS1" s="43" t="s">
        <v>63</v>
      </c>
      <c r="AT1" s="43" t="s">
        <v>64</v>
      </c>
      <c r="AU1" s="43" t="s">
        <v>65</v>
      </c>
      <c r="AV1" s="43" t="s">
        <v>66</v>
      </c>
      <c r="AW1" s="43" t="s">
        <v>67</v>
      </c>
      <c r="AX1" s="43" t="s">
        <v>68</v>
      </c>
      <c r="AY1" s="43" t="s">
        <v>69</v>
      </c>
      <c r="AZ1" s="43" t="s">
        <v>70</v>
      </c>
      <c r="BA1" s="43" t="str">
        <f t="array" ref="BA1:BL1">transpose(A22:A33)</f>
        <v>Q1 26</v>
      </c>
      <c r="BB1" s="43" t="s">
        <v>72</v>
      </c>
      <c r="BC1" s="43" t="s">
        <v>73</v>
      </c>
      <c r="BD1" s="43" t="s">
        <v>74</v>
      </c>
      <c r="BE1" s="43" t="s">
        <v>75</v>
      </c>
      <c r="BF1" s="43" t="s">
        <v>76</v>
      </c>
      <c r="BG1" s="43" t="s">
        <v>77</v>
      </c>
      <c r="BH1" s="43" t="s">
        <v>78</v>
      </c>
      <c r="BI1" s="43" t="s">
        <v>79</v>
      </c>
      <c r="BJ1" s="43" t="s">
        <v>80</v>
      </c>
      <c r="BK1" s="43" t="s">
        <v>81</v>
      </c>
      <c r="BL1" s="43" t="s">
        <v>82</v>
      </c>
    </row>
    <row r="2" ht="15.75" customHeight="1">
      <c r="A2" s="43" t="s">
        <v>2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4"/>
      <c r="AF2" s="205"/>
      <c r="AG2" s="206">
        <v>0.14</v>
      </c>
      <c r="AH2" s="206">
        <v>0.33</v>
      </c>
      <c r="AI2" s="206">
        <v>0.25</v>
      </c>
      <c r="AJ2" s="206">
        <v>0.15</v>
      </c>
      <c r="AK2" s="206">
        <v>0.07</v>
      </c>
      <c r="AL2" s="206">
        <v>0.04</v>
      </c>
      <c r="AM2" s="206">
        <v>0.02</v>
      </c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</row>
    <row r="3" ht="15.75" customHeight="1">
      <c r="A3" s="43" t="s">
        <v>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4"/>
      <c r="AF3" s="205"/>
      <c r="AG3" s="205"/>
      <c r="AH3" s="206">
        <v>0.14</v>
      </c>
      <c r="AI3" s="206">
        <v>0.33</v>
      </c>
      <c r="AJ3" s="206">
        <v>0.25</v>
      </c>
      <c r="AK3" s="206">
        <v>0.15</v>
      </c>
      <c r="AL3" s="206">
        <v>0.07</v>
      </c>
      <c r="AM3" s="206">
        <v>0.04</v>
      </c>
      <c r="AN3" s="206">
        <v>0.02</v>
      </c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</row>
    <row r="4" ht="15.75" customHeight="1">
      <c r="A4" s="43" t="s">
        <v>4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4"/>
      <c r="AF4" s="205"/>
      <c r="AG4" s="205"/>
      <c r="AH4" s="205"/>
      <c r="AI4" s="206">
        <v>0.14</v>
      </c>
      <c r="AJ4" s="206">
        <v>0.33</v>
      </c>
      <c r="AK4" s="206">
        <v>0.25</v>
      </c>
      <c r="AL4" s="206">
        <v>0.15</v>
      </c>
      <c r="AM4" s="206">
        <v>0.07</v>
      </c>
      <c r="AN4" s="206">
        <v>0.04</v>
      </c>
      <c r="AO4" s="206">
        <v>0.02</v>
      </c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</row>
    <row r="5" ht="15.75" customHeight="1">
      <c r="A5" s="43" t="s">
        <v>5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4"/>
      <c r="AF5" s="205"/>
      <c r="AG5" s="205"/>
      <c r="AH5" s="205"/>
      <c r="AI5" s="205"/>
      <c r="AJ5" s="206">
        <v>0.14</v>
      </c>
      <c r="AK5" s="206">
        <v>0.33</v>
      </c>
      <c r="AL5" s="206">
        <v>0.25</v>
      </c>
      <c r="AM5" s="206">
        <v>0.15</v>
      </c>
      <c r="AN5" s="206">
        <v>0.07</v>
      </c>
      <c r="AO5" s="206">
        <v>0.04</v>
      </c>
      <c r="AP5" s="206">
        <v>0.02</v>
      </c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</row>
    <row r="6" ht="15.75" customHeight="1">
      <c r="A6" s="43" t="s">
        <v>6</v>
      </c>
      <c r="B6" s="205"/>
      <c r="C6" s="205"/>
      <c r="D6" s="206">
        <v>0.1</v>
      </c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8"/>
      <c r="AF6" s="207"/>
      <c r="AG6" s="207"/>
      <c r="AH6" s="207"/>
      <c r="AI6" s="207"/>
      <c r="AJ6" s="207"/>
      <c r="AK6" s="206">
        <v>0.14</v>
      </c>
      <c r="AL6" s="206">
        <v>0.33</v>
      </c>
      <c r="AM6" s="206">
        <v>0.25</v>
      </c>
      <c r="AN6" s="206">
        <v>0.15</v>
      </c>
      <c r="AO6" s="206">
        <v>0.07</v>
      </c>
      <c r="AP6" s="206">
        <v>0.04</v>
      </c>
      <c r="AQ6" s="206">
        <v>0.02</v>
      </c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</row>
    <row r="7" ht="15.75" customHeight="1">
      <c r="A7" s="43" t="s">
        <v>7</v>
      </c>
      <c r="B7" s="205"/>
      <c r="C7" s="205"/>
      <c r="D7" s="206">
        <f>227/255</f>
        <v>0.8901960784</v>
      </c>
      <c r="E7" s="206">
        <v>0.1</v>
      </c>
      <c r="F7" s="206">
        <v>0.01</v>
      </c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8"/>
      <c r="AF7" s="207"/>
      <c r="AG7" s="207"/>
      <c r="AH7" s="207"/>
      <c r="AI7" s="207"/>
      <c r="AJ7" s="207"/>
      <c r="AK7" s="207"/>
      <c r="AL7" s="206">
        <v>0.14</v>
      </c>
      <c r="AM7" s="206">
        <v>0.33</v>
      </c>
      <c r="AN7" s="206">
        <v>0.25</v>
      </c>
      <c r="AO7" s="206">
        <v>0.15</v>
      </c>
      <c r="AP7" s="206">
        <v>0.07</v>
      </c>
      <c r="AQ7" s="206">
        <v>0.04</v>
      </c>
      <c r="AR7" s="206">
        <v>0.02</v>
      </c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</row>
    <row r="8" ht="15.75" customHeight="1">
      <c r="A8" s="43" t="s">
        <v>8</v>
      </c>
      <c r="B8" s="205"/>
      <c r="C8" s="205"/>
      <c r="D8" s="207"/>
      <c r="E8" s="206">
        <f>227/255</f>
        <v>0.8901960784</v>
      </c>
      <c r="F8" s="206">
        <v>0.1</v>
      </c>
      <c r="G8" s="206">
        <v>0.01</v>
      </c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8"/>
      <c r="AF8" s="207"/>
      <c r="AG8" s="207"/>
      <c r="AH8" s="207"/>
      <c r="AI8" s="207"/>
      <c r="AJ8" s="207"/>
      <c r="AK8" s="207"/>
      <c r="AL8" s="207"/>
      <c r="AM8" s="206">
        <v>0.14</v>
      </c>
      <c r="AN8" s="206">
        <v>0.33</v>
      </c>
      <c r="AO8" s="206">
        <v>0.25</v>
      </c>
      <c r="AP8" s="206">
        <v>0.15</v>
      </c>
      <c r="AQ8" s="206">
        <v>0.07</v>
      </c>
      <c r="AR8" s="206">
        <v>0.04</v>
      </c>
      <c r="AS8" s="206">
        <v>0.02</v>
      </c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</row>
    <row r="9" ht="15.75" customHeight="1">
      <c r="A9" s="43" t="s">
        <v>9</v>
      </c>
      <c r="B9" s="205"/>
      <c r="C9" s="205"/>
      <c r="D9" s="207"/>
      <c r="E9" s="207"/>
      <c r="F9" s="206">
        <f>227/255</f>
        <v>0.8901960784</v>
      </c>
      <c r="G9" s="206">
        <v>0.1</v>
      </c>
      <c r="H9" s="206">
        <v>0.01</v>
      </c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8"/>
      <c r="AF9" s="207"/>
      <c r="AG9" s="207"/>
      <c r="AH9" s="207"/>
      <c r="AI9" s="207"/>
      <c r="AJ9" s="207"/>
      <c r="AK9" s="207"/>
      <c r="AL9" s="207"/>
      <c r="AM9" s="207"/>
      <c r="AN9" s="206">
        <v>0.14</v>
      </c>
      <c r="AO9" s="206">
        <v>0.33</v>
      </c>
      <c r="AP9" s="206">
        <v>0.25</v>
      </c>
      <c r="AQ9" s="206">
        <v>0.15</v>
      </c>
      <c r="AR9" s="206">
        <v>0.07</v>
      </c>
      <c r="AS9" s="206">
        <v>0.04</v>
      </c>
      <c r="AT9" s="206">
        <v>0.02</v>
      </c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</row>
    <row r="10" ht="15.75" customHeight="1">
      <c r="A10" s="43" t="s">
        <v>10</v>
      </c>
      <c r="B10" s="205"/>
      <c r="C10" s="205"/>
      <c r="D10" s="207"/>
      <c r="E10" s="207"/>
      <c r="F10" s="207"/>
      <c r="G10" s="206">
        <f>227/255</f>
        <v>0.8901960784</v>
      </c>
      <c r="H10" s="206">
        <v>0.1</v>
      </c>
      <c r="I10" s="206">
        <v>0.01</v>
      </c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8"/>
      <c r="AF10" s="207"/>
      <c r="AG10" s="207"/>
      <c r="AH10" s="207"/>
      <c r="AI10" s="207"/>
      <c r="AJ10" s="207"/>
      <c r="AK10" s="207"/>
      <c r="AL10" s="207"/>
      <c r="AM10" s="207"/>
      <c r="AN10" s="207"/>
      <c r="AO10" s="206">
        <v>0.14</v>
      </c>
      <c r="AP10" s="206">
        <v>0.33</v>
      </c>
      <c r="AQ10" s="206">
        <v>0.25</v>
      </c>
      <c r="AR10" s="206">
        <v>0.15</v>
      </c>
      <c r="AS10" s="206">
        <v>0.07</v>
      </c>
      <c r="AT10" s="206">
        <v>0.04</v>
      </c>
      <c r="AU10" s="206">
        <v>0.02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</row>
    <row r="11" ht="15.75" customHeight="1">
      <c r="A11" s="43" t="s">
        <v>11</v>
      </c>
      <c r="B11" s="205"/>
      <c r="C11" s="205"/>
      <c r="D11" s="207"/>
      <c r="E11" s="207"/>
      <c r="F11" s="207"/>
      <c r="G11" s="207"/>
      <c r="H11" s="206">
        <f>227/255</f>
        <v>0.8901960784</v>
      </c>
      <c r="I11" s="206">
        <v>0.1</v>
      </c>
      <c r="J11" s="206">
        <v>0.01</v>
      </c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8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6">
        <v>0.14</v>
      </c>
      <c r="AQ11" s="206">
        <v>0.33</v>
      </c>
      <c r="AR11" s="206">
        <v>0.25</v>
      </c>
      <c r="AS11" s="206">
        <v>0.15</v>
      </c>
      <c r="AT11" s="206">
        <v>0.07</v>
      </c>
      <c r="AU11" s="206">
        <v>0.04</v>
      </c>
      <c r="AV11" s="206">
        <v>0.02</v>
      </c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</row>
    <row r="12" ht="15.75" customHeight="1">
      <c r="A12" s="43" t="s">
        <v>12</v>
      </c>
      <c r="B12" s="205"/>
      <c r="C12" s="205"/>
      <c r="D12" s="207"/>
      <c r="E12" s="207"/>
      <c r="F12" s="207"/>
      <c r="G12" s="207"/>
      <c r="H12" s="207"/>
      <c r="I12" s="206">
        <f>227/255</f>
        <v>0.8901960784</v>
      </c>
      <c r="J12" s="206">
        <v>0.1</v>
      </c>
      <c r="K12" s="206">
        <v>0.01</v>
      </c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8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>
        <v>0.14</v>
      </c>
      <c r="AR12" s="206">
        <v>0.33</v>
      </c>
      <c r="AS12" s="206">
        <v>0.25</v>
      </c>
      <c r="AT12" s="206">
        <v>0.15</v>
      </c>
      <c r="AU12" s="206">
        <v>0.07</v>
      </c>
      <c r="AV12" s="206">
        <v>0.04</v>
      </c>
      <c r="AW12" s="206">
        <v>0.02</v>
      </c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</row>
    <row r="13" ht="15.75" customHeight="1">
      <c r="A13" s="43" t="s">
        <v>13</v>
      </c>
      <c r="B13" s="205"/>
      <c r="C13" s="205"/>
      <c r="D13" s="207"/>
      <c r="E13" s="207"/>
      <c r="F13" s="207"/>
      <c r="G13" s="207"/>
      <c r="H13" s="207"/>
      <c r="I13" s="207"/>
      <c r="J13" s="206">
        <f>227/255</f>
        <v>0.8901960784</v>
      </c>
      <c r="K13" s="206">
        <v>0.1</v>
      </c>
      <c r="L13" s="206">
        <v>0.01</v>
      </c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8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6">
        <v>0.14</v>
      </c>
      <c r="AS13" s="206">
        <v>0.33</v>
      </c>
      <c r="AT13" s="206">
        <v>0.25</v>
      </c>
      <c r="AU13" s="206">
        <v>0.15</v>
      </c>
      <c r="AV13" s="206">
        <v>0.07</v>
      </c>
      <c r="AW13" s="206">
        <v>0.04</v>
      </c>
      <c r="AX13" s="206">
        <v>0.02</v>
      </c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</row>
    <row r="14" ht="15.75" customHeight="1">
      <c r="A14" s="43" t="s">
        <v>63</v>
      </c>
      <c r="B14" s="205"/>
      <c r="C14" s="205"/>
      <c r="D14" s="207"/>
      <c r="E14" s="207"/>
      <c r="F14" s="207"/>
      <c r="G14" s="207"/>
      <c r="H14" s="207"/>
      <c r="I14" s="207"/>
      <c r="J14" s="207"/>
      <c r="K14" s="206">
        <f>227/255</f>
        <v>0.8901960784</v>
      </c>
      <c r="L14" s="206">
        <v>0.1</v>
      </c>
      <c r="M14" s="206">
        <v>0.01</v>
      </c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8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6">
        <v>0.14</v>
      </c>
      <c r="AT14" s="206">
        <v>0.33</v>
      </c>
      <c r="AU14" s="206">
        <v>0.25</v>
      </c>
      <c r="AV14" s="206">
        <v>0.15</v>
      </c>
      <c r="AW14" s="206">
        <v>0.07</v>
      </c>
      <c r="AX14" s="206">
        <v>0.04</v>
      </c>
      <c r="AY14" s="206">
        <v>0.02</v>
      </c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</row>
    <row r="15" ht="15.75" customHeight="1">
      <c r="A15" s="43" t="s">
        <v>64</v>
      </c>
      <c r="B15" s="205"/>
      <c r="C15" s="205"/>
      <c r="D15" s="207"/>
      <c r="E15" s="207"/>
      <c r="F15" s="207"/>
      <c r="G15" s="207"/>
      <c r="H15" s="207"/>
      <c r="I15" s="207"/>
      <c r="J15" s="207"/>
      <c r="K15" s="207"/>
      <c r="L15" s="206">
        <f>227/255</f>
        <v>0.8901960784</v>
      </c>
      <c r="M15" s="206">
        <v>0.1</v>
      </c>
      <c r="N15" s="206">
        <v>0.01</v>
      </c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8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6">
        <v>0.14</v>
      </c>
      <c r="AU15" s="206">
        <v>0.33</v>
      </c>
      <c r="AV15" s="206">
        <v>0.25</v>
      </c>
      <c r="AW15" s="206">
        <v>0.15</v>
      </c>
      <c r="AX15" s="206">
        <v>0.07</v>
      </c>
      <c r="AY15" s="206">
        <v>0.04</v>
      </c>
      <c r="AZ15" s="206">
        <v>0.02</v>
      </c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</row>
    <row r="16" ht="15.75" customHeight="1">
      <c r="A16" s="43" t="s">
        <v>65</v>
      </c>
      <c r="B16" s="205"/>
      <c r="C16" s="205"/>
      <c r="D16" s="207"/>
      <c r="E16" s="207"/>
      <c r="F16" s="207"/>
      <c r="G16" s="207"/>
      <c r="H16" s="207"/>
      <c r="I16" s="207"/>
      <c r="J16" s="207"/>
      <c r="K16" s="207"/>
      <c r="L16" s="207"/>
      <c r="M16" s="206">
        <f>227/255</f>
        <v>0.8901960784</v>
      </c>
      <c r="N16" s="206">
        <v>0.1</v>
      </c>
      <c r="O16" s="206">
        <v>0.01</v>
      </c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8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6">
        <v>0.14</v>
      </c>
      <c r="AV16" s="206">
        <v>0.33</v>
      </c>
      <c r="AW16" s="206">
        <v>0.25</v>
      </c>
      <c r="AX16" s="206">
        <v>0.15</v>
      </c>
      <c r="AY16" s="206">
        <v>0.07</v>
      </c>
      <c r="AZ16" s="206">
        <v>0.04</v>
      </c>
      <c r="BA16" s="206">
        <v>0.02</v>
      </c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</row>
    <row r="17" ht="15.75" customHeight="1">
      <c r="A17" s="43" t="s">
        <v>66</v>
      </c>
      <c r="B17" s="205"/>
      <c r="C17" s="205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6">
        <v>0.89</v>
      </c>
      <c r="O17" s="206">
        <v>0.1</v>
      </c>
      <c r="P17" s="206">
        <v>0.01</v>
      </c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8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6">
        <v>0.14</v>
      </c>
      <c r="AW17" s="206">
        <v>0.33</v>
      </c>
      <c r="AX17" s="206">
        <v>0.25</v>
      </c>
      <c r="AY17" s="206">
        <v>0.15</v>
      </c>
      <c r="AZ17" s="206">
        <v>0.07</v>
      </c>
      <c r="BA17" s="206">
        <v>0.04</v>
      </c>
      <c r="BB17" s="206">
        <v>0.02</v>
      </c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</row>
    <row r="18" ht="15.75" customHeight="1">
      <c r="A18" s="43" t="s">
        <v>67</v>
      </c>
      <c r="B18" s="205"/>
      <c r="C18" s="205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6">
        <v>0.89</v>
      </c>
      <c r="P18" s="206">
        <v>0.1</v>
      </c>
      <c r="Q18" s="206">
        <v>0.01</v>
      </c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8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6">
        <v>0.14</v>
      </c>
      <c r="AX18" s="206">
        <v>0.33</v>
      </c>
      <c r="AY18" s="206">
        <v>0.25</v>
      </c>
      <c r="AZ18" s="206">
        <v>0.15</v>
      </c>
      <c r="BA18" s="206">
        <v>0.07</v>
      </c>
      <c r="BB18" s="206">
        <v>0.04</v>
      </c>
      <c r="BC18" s="206">
        <v>0.02</v>
      </c>
      <c r="BD18" s="207"/>
      <c r="BE18" s="207"/>
      <c r="BF18" s="207"/>
      <c r="BG18" s="207"/>
      <c r="BH18" s="207"/>
      <c r="BI18" s="207"/>
      <c r="BJ18" s="207"/>
      <c r="BK18" s="207"/>
      <c r="BL18" s="207"/>
    </row>
    <row r="19" ht="15.75" customHeight="1">
      <c r="A19" s="43" t="s">
        <v>68</v>
      </c>
      <c r="B19" s="205"/>
      <c r="C19" s="205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6">
        <v>0.89</v>
      </c>
      <c r="Q19" s="206">
        <v>0.1</v>
      </c>
      <c r="R19" s="206">
        <v>0.01</v>
      </c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8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6">
        <v>0.14</v>
      </c>
      <c r="AY19" s="206">
        <v>0.33</v>
      </c>
      <c r="AZ19" s="206">
        <v>0.25</v>
      </c>
      <c r="BA19" s="206">
        <v>0.15</v>
      </c>
      <c r="BB19" s="206">
        <v>0.07</v>
      </c>
      <c r="BC19" s="206">
        <v>0.04</v>
      </c>
      <c r="BD19" s="206">
        <v>0.02</v>
      </c>
      <c r="BE19" s="207"/>
      <c r="BF19" s="207"/>
      <c r="BG19" s="207"/>
      <c r="BH19" s="207"/>
      <c r="BI19" s="207"/>
      <c r="BJ19" s="207"/>
      <c r="BK19" s="207"/>
      <c r="BL19" s="207"/>
    </row>
    <row r="20" ht="15.75" customHeight="1">
      <c r="A20" s="43" t="s">
        <v>69</v>
      </c>
      <c r="B20" s="205"/>
      <c r="C20" s="205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6">
        <v>0.89</v>
      </c>
      <c r="R20" s="206">
        <v>0.1</v>
      </c>
      <c r="S20" s="206">
        <v>0.01</v>
      </c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8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6">
        <v>0.14</v>
      </c>
      <c r="AZ20" s="206">
        <v>0.33</v>
      </c>
      <c r="BA20" s="206">
        <v>0.25</v>
      </c>
      <c r="BB20" s="206">
        <v>0.15</v>
      </c>
      <c r="BC20" s="206">
        <v>0.07</v>
      </c>
      <c r="BD20" s="206">
        <v>0.04</v>
      </c>
      <c r="BE20" s="206">
        <v>0.02</v>
      </c>
      <c r="BF20" s="207"/>
      <c r="BG20" s="207"/>
      <c r="BH20" s="207"/>
      <c r="BI20" s="207"/>
      <c r="BJ20" s="207"/>
      <c r="BK20" s="207"/>
      <c r="BL20" s="207"/>
    </row>
    <row r="21" ht="15.75" customHeight="1">
      <c r="A21" s="43" t="s">
        <v>70</v>
      </c>
      <c r="B21" s="205"/>
      <c r="C21" s="205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6">
        <v>0.89</v>
      </c>
      <c r="S21" s="206">
        <v>0.1</v>
      </c>
      <c r="T21" s="206">
        <v>0.01</v>
      </c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8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6">
        <v>0.14</v>
      </c>
      <c r="BA21" s="206">
        <v>0.33</v>
      </c>
      <c r="BB21" s="206">
        <v>0.25</v>
      </c>
      <c r="BC21" s="206">
        <v>0.15</v>
      </c>
      <c r="BD21" s="206">
        <v>0.07</v>
      </c>
      <c r="BE21" s="206">
        <v>0.04</v>
      </c>
      <c r="BF21" s="206">
        <v>0.02</v>
      </c>
      <c r="BG21" s="207"/>
      <c r="BH21" s="207"/>
      <c r="BI21" s="207"/>
      <c r="BJ21" s="207"/>
      <c r="BK21" s="207"/>
      <c r="BL21" s="207"/>
    </row>
    <row r="22" ht="15.75" customHeight="1">
      <c r="A22" s="43" t="s">
        <v>71</v>
      </c>
      <c r="B22" s="205"/>
      <c r="C22" s="205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6">
        <f>227/255</f>
        <v>0.8901960784</v>
      </c>
      <c r="T22" s="206">
        <v>0.1</v>
      </c>
      <c r="U22" s="206">
        <v>0.01</v>
      </c>
      <c r="V22" s="207"/>
      <c r="W22" s="207"/>
      <c r="X22" s="207"/>
      <c r="Y22" s="207"/>
      <c r="Z22" s="207"/>
      <c r="AA22" s="207"/>
      <c r="AB22" s="207"/>
      <c r="AC22" s="207"/>
      <c r="AD22" s="207"/>
      <c r="AE22" s="208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6">
        <v>0.14</v>
      </c>
      <c r="BB22" s="206">
        <v>0.33</v>
      </c>
      <c r="BC22" s="206">
        <v>0.25</v>
      </c>
      <c r="BD22" s="206">
        <v>0.15</v>
      </c>
      <c r="BE22" s="206">
        <v>0.07</v>
      </c>
      <c r="BF22" s="206">
        <v>0.04</v>
      </c>
      <c r="BG22" s="206">
        <v>0.02</v>
      </c>
      <c r="BH22" s="207"/>
      <c r="BI22" s="207"/>
      <c r="BJ22" s="207"/>
      <c r="BK22" s="207"/>
      <c r="BL22" s="207"/>
    </row>
    <row r="23" ht="15.75" customHeight="1">
      <c r="A23" s="43" t="s">
        <v>72</v>
      </c>
      <c r="B23" s="205"/>
      <c r="C23" s="205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6">
        <f>227/255</f>
        <v>0.8901960784</v>
      </c>
      <c r="U23" s="206">
        <v>0.1</v>
      </c>
      <c r="V23" s="206">
        <v>0.01</v>
      </c>
      <c r="W23" s="207"/>
      <c r="X23" s="207"/>
      <c r="Y23" s="207"/>
      <c r="Z23" s="207"/>
      <c r="AA23" s="207"/>
      <c r="AB23" s="207"/>
      <c r="AC23" s="207"/>
      <c r="AD23" s="207"/>
      <c r="AE23" s="208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6">
        <v>0.14</v>
      </c>
      <c r="BC23" s="206">
        <v>0.33</v>
      </c>
      <c r="BD23" s="206">
        <v>0.25</v>
      </c>
      <c r="BE23" s="206">
        <v>0.15</v>
      </c>
      <c r="BF23" s="206">
        <v>0.07</v>
      </c>
      <c r="BG23" s="206">
        <v>0.04</v>
      </c>
      <c r="BH23" s="206">
        <v>0.02</v>
      </c>
      <c r="BI23" s="207"/>
      <c r="BJ23" s="207"/>
      <c r="BK23" s="207"/>
      <c r="BL23" s="207"/>
    </row>
    <row r="24" ht="15.75" customHeight="1">
      <c r="A24" s="43" t="s">
        <v>73</v>
      </c>
      <c r="B24" s="205"/>
      <c r="C24" s="205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6">
        <f>227/255</f>
        <v>0.8901960784</v>
      </c>
      <c r="V24" s="206">
        <v>0.1</v>
      </c>
      <c r="W24" s="206">
        <v>0.01</v>
      </c>
      <c r="X24" s="207"/>
      <c r="Y24" s="207"/>
      <c r="Z24" s="207"/>
      <c r="AA24" s="207"/>
      <c r="AB24" s="207"/>
      <c r="AC24" s="207"/>
      <c r="AD24" s="207"/>
      <c r="AE24" s="208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6">
        <v>0.14</v>
      </c>
      <c r="BD24" s="206">
        <v>0.33</v>
      </c>
      <c r="BE24" s="206">
        <v>0.25</v>
      </c>
      <c r="BF24" s="206">
        <v>0.15</v>
      </c>
      <c r="BG24" s="206">
        <v>0.07</v>
      </c>
      <c r="BH24" s="206">
        <v>0.04</v>
      </c>
      <c r="BI24" s="206">
        <v>0.02</v>
      </c>
      <c r="BJ24" s="207"/>
      <c r="BK24" s="207"/>
      <c r="BL24" s="207"/>
    </row>
    <row r="25" ht="15.75" customHeight="1">
      <c r="A25" s="43" t="s">
        <v>74</v>
      </c>
      <c r="B25" s="205"/>
      <c r="C25" s="205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6">
        <f>227/255</f>
        <v>0.8901960784</v>
      </c>
      <c r="W25" s="206">
        <v>0.1</v>
      </c>
      <c r="X25" s="206">
        <v>0.01</v>
      </c>
      <c r="Y25" s="207"/>
      <c r="Z25" s="207"/>
      <c r="AA25" s="207"/>
      <c r="AB25" s="207"/>
      <c r="AC25" s="207"/>
      <c r="AD25" s="207"/>
      <c r="AE25" s="208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6">
        <v>0.14</v>
      </c>
      <c r="BE25" s="206">
        <v>0.33</v>
      </c>
      <c r="BF25" s="206">
        <v>0.25</v>
      </c>
      <c r="BG25" s="206">
        <v>0.15</v>
      </c>
      <c r="BH25" s="206">
        <v>0.07</v>
      </c>
      <c r="BI25" s="206">
        <v>0.04</v>
      </c>
      <c r="BJ25" s="206">
        <v>0.02</v>
      </c>
      <c r="BK25" s="207"/>
      <c r="BL25" s="207"/>
    </row>
    <row r="26" ht="15.75" customHeight="1">
      <c r="A26" s="43" t="s">
        <v>75</v>
      </c>
      <c r="B26" s="205"/>
      <c r="C26" s="205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6">
        <f>227/255</f>
        <v>0.8901960784</v>
      </c>
      <c r="X26" s="206">
        <v>0.1</v>
      </c>
      <c r="Y26" s="206">
        <v>0.01</v>
      </c>
      <c r="Z26" s="207"/>
      <c r="AA26" s="207"/>
      <c r="AB26" s="207"/>
      <c r="AC26" s="207"/>
      <c r="AD26" s="207"/>
      <c r="AE26" s="208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6">
        <v>0.14</v>
      </c>
      <c r="BF26" s="206">
        <v>0.33</v>
      </c>
      <c r="BG26" s="206">
        <v>0.25</v>
      </c>
      <c r="BH26" s="206">
        <v>0.15</v>
      </c>
      <c r="BI26" s="206">
        <v>0.07</v>
      </c>
      <c r="BJ26" s="206">
        <v>0.04</v>
      </c>
      <c r="BK26" s="206">
        <v>0.02</v>
      </c>
      <c r="BL26" s="207"/>
    </row>
    <row r="27" ht="15.75" customHeight="1">
      <c r="A27" s="43" t="s">
        <v>76</v>
      </c>
      <c r="B27" s="205"/>
      <c r="C27" s="205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6">
        <f>227/255</f>
        <v>0.8901960784</v>
      </c>
      <c r="Y27" s="206">
        <v>0.1</v>
      </c>
      <c r="Z27" s="206">
        <v>0.01</v>
      </c>
      <c r="AA27" s="207"/>
      <c r="AB27" s="207"/>
      <c r="AC27" s="207"/>
      <c r="AD27" s="207"/>
      <c r="AE27" s="208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6">
        <v>0.14</v>
      </c>
      <c r="BG27" s="206">
        <v>0.33</v>
      </c>
      <c r="BH27" s="206">
        <v>0.25</v>
      </c>
      <c r="BI27" s="206">
        <v>0.15</v>
      </c>
      <c r="BJ27" s="206">
        <v>0.07</v>
      </c>
      <c r="BK27" s="206">
        <v>0.04</v>
      </c>
      <c r="BL27" s="206">
        <v>0.02</v>
      </c>
    </row>
    <row r="28" ht="15.75" customHeight="1">
      <c r="A28" s="43" t="s">
        <v>77</v>
      </c>
      <c r="B28" s="205"/>
      <c r="C28" s="205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6">
        <f>227/255</f>
        <v>0.8901960784</v>
      </c>
      <c r="Z28" s="206">
        <v>0.1</v>
      </c>
      <c r="AA28" s="206">
        <v>0.01</v>
      </c>
      <c r="AB28" s="207"/>
      <c r="AC28" s="207"/>
      <c r="AD28" s="207"/>
      <c r="AE28" s="208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6">
        <v>0.14</v>
      </c>
      <c r="BH28" s="206">
        <v>0.33</v>
      </c>
      <c r="BI28" s="206">
        <v>0.25</v>
      </c>
      <c r="BJ28" s="206">
        <v>0.15</v>
      </c>
      <c r="BK28" s="206">
        <v>0.07</v>
      </c>
      <c r="BL28" s="206">
        <v>0.04</v>
      </c>
    </row>
    <row r="29" ht="15.75" customHeight="1">
      <c r="A29" s="43" t="s">
        <v>78</v>
      </c>
      <c r="B29" s="205"/>
      <c r="C29" s="205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6">
        <v>0.89</v>
      </c>
      <c r="AA29" s="206">
        <v>0.1</v>
      </c>
      <c r="AB29" s="206">
        <v>0.01</v>
      </c>
      <c r="AC29" s="207"/>
      <c r="AD29" s="207"/>
      <c r="AE29" s="208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6">
        <v>0.14</v>
      </c>
      <c r="BI29" s="206">
        <v>0.33</v>
      </c>
      <c r="BJ29" s="206">
        <v>0.25</v>
      </c>
      <c r="BK29" s="206">
        <v>0.15</v>
      </c>
      <c r="BL29" s="206">
        <v>0.07</v>
      </c>
    </row>
    <row r="30" ht="15.75" customHeight="1">
      <c r="A30" s="43" t="s">
        <v>79</v>
      </c>
      <c r="B30" s="205"/>
      <c r="C30" s="205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6">
        <v>0.89</v>
      </c>
      <c r="AB30" s="206">
        <v>0.1</v>
      </c>
      <c r="AC30" s="206">
        <v>0.01</v>
      </c>
      <c r="AD30" s="207"/>
      <c r="AE30" s="208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6">
        <v>0.14</v>
      </c>
      <c r="BJ30" s="206">
        <v>0.33</v>
      </c>
      <c r="BK30" s="206">
        <v>0.25</v>
      </c>
      <c r="BL30" s="206">
        <v>0.15</v>
      </c>
    </row>
    <row r="31" ht="15.75" customHeight="1">
      <c r="A31" s="43" t="s">
        <v>80</v>
      </c>
      <c r="B31" s="205"/>
      <c r="C31" s="205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6">
        <v>0.89</v>
      </c>
      <c r="AC31" s="206">
        <v>0.1</v>
      </c>
      <c r="AD31" s="206">
        <v>0.01</v>
      </c>
      <c r="AE31" s="208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6">
        <v>0.14</v>
      </c>
      <c r="BK31" s="206">
        <v>0.33</v>
      </c>
      <c r="BL31" s="206">
        <v>0.25</v>
      </c>
    </row>
    <row r="32" ht="15.75" customHeight="1">
      <c r="A32" s="43" t="s">
        <v>81</v>
      </c>
      <c r="B32" s="205"/>
      <c r="C32" s="205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6">
        <v>0.89</v>
      </c>
      <c r="AD32" s="206">
        <v>0.1</v>
      </c>
      <c r="AE32" s="208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6">
        <v>0.14</v>
      </c>
      <c r="BL32" s="206">
        <v>0.33</v>
      </c>
    </row>
    <row r="33" ht="15.75" customHeight="1">
      <c r="A33" s="43" t="s">
        <v>82</v>
      </c>
      <c r="B33" s="205"/>
      <c r="C33" s="205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6">
        <v>0.89</v>
      </c>
      <c r="AE33" s="208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6">
        <v>0.14</v>
      </c>
    </row>
    <row r="34" ht="15.75" customHeight="1">
      <c r="A34" s="205"/>
      <c r="B34" s="209" t="s">
        <v>54</v>
      </c>
      <c r="C34" s="209" t="s">
        <v>170</v>
      </c>
      <c r="D34" s="209" t="s">
        <v>7</v>
      </c>
      <c r="E34" s="209" t="s">
        <v>8</v>
      </c>
      <c r="F34" s="209" t="s">
        <v>9</v>
      </c>
      <c r="G34" s="209" t="s">
        <v>10</v>
      </c>
      <c r="H34" s="209" t="s">
        <v>11</v>
      </c>
      <c r="I34" s="209" t="s">
        <v>12</v>
      </c>
      <c r="J34" s="209" t="s">
        <v>13</v>
      </c>
      <c r="K34" s="209" t="s">
        <v>63</v>
      </c>
      <c r="L34" s="209" t="s">
        <v>64</v>
      </c>
      <c r="M34" s="209" t="s">
        <v>65</v>
      </c>
      <c r="N34" s="209" t="s">
        <v>66</v>
      </c>
      <c r="O34" s="209" t="s">
        <v>67</v>
      </c>
      <c r="P34" s="209" t="s">
        <v>68</v>
      </c>
      <c r="Q34" s="209" t="s">
        <v>69</v>
      </c>
      <c r="R34" s="209" t="s">
        <v>70</v>
      </c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04"/>
      <c r="AF34" s="209" t="s">
        <v>14</v>
      </c>
      <c r="AG34" s="209" t="s">
        <v>2</v>
      </c>
      <c r="AH34" s="209" t="s">
        <v>3</v>
      </c>
      <c r="AI34" s="209" t="s">
        <v>4</v>
      </c>
      <c r="AJ34" s="209" t="s">
        <v>5</v>
      </c>
      <c r="AK34" s="209" t="s">
        <v>6</v>
      </c>
      <c r="AL34" s="209" t="s">
        <v>7</v>
      </c>
      <c r="AM34" s="209" t="s">
        <v>8</v>
      </c>
      <c r="AN34" s="209" t="s">
        <v>9</v>
      </c>
      <c r="AO34" s="209" t="s">
        <v>10</v>
      </c>
      <c r="AP34" s="209" t="s">
        <v>11</v>
      </c>
      <c r="AQ34" s="209" t="s">
        <v>12</v>
      </c>
      <c r="AR34" s="209" t="s">
        <v>13</v>
      </c>
      <c r="AS34" s="209" t="s">
        <v>63</v>
      </c>
      <c r="AT34" s="209" t="s">
        <v>64</v>
      </c>
      <c r="AU34" s="209" t="s">
        <v>65</v>
      </c>
      <c r="AV34" s="209" t="s">
        <v>66</v>
      </c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</row>
    <row r="35" ht="15.75" customHeight="1">
      <c r="A35" s="209" t="s">
        <v>2</v>
      </c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04"/>
      <c r="AF35" s="212">
        <v>0.0</v>
      </c>
      <c r="AG35" s="53">
        <f t="shared" ref="AG35:AM35" si="1">$AF35*AG2</f>
        <v>0</v>
      </c>
      <c r="AH35" s="53">
        <f t="shared" si="1"/>
        <v>0</v>
      </c>
      <c r="AI35" s="53">
        <f t="shared" si="1"/>
        <v>0</v>
      </c>
      <c r="AJ35" s="53">
        <f t="shared" si="1"/>
        <v>0</v>
      </c>
      <c r="AK35" s="53">
        <f t="shared" si="1"/>
        <v>0</v>
      </c>
      <c r="AL35" s="53">
        <f t="shared" si="1"/>
        <v>0</v>
      </c>
      <c r="AM35" s="53">
        <f t="shared" si="1"/>
        <v>0</v>
      </c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</row>
    <row r="36" ht="15.75" customHeight="1">
      <c r="A36" s="209" t="s">
        <v>3</v>
      </c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04"/>
      <c r="AF36" s="212">
        <v>0.0</v>
      </c>
      <c r="AG36" s="211"/>
      <c r="AH36" s="53">
        <f t="shared" ref="AH36:AN36" si="2">$AF36*AH3</f>
        <v>0</v>
      </c>
      <c r="AI36" s="53">
        <f t="shared" si="2"/>
        <v>0</v>
      </c>
      <c r="AJ36" s="53">
        <f t="shared" si="2"/>
        <v>0</v>
      </c>
      <c r="AK36" s="53">
        <f t="shared" si="2"/>
        <v>0</v>
      </c>
      <c r="AL36" s="53">
        <f t="shared" si="2"/>
        <v>0</v>
      </c>
      <c r="AM36" s="53">
        <f t="shared" si="2"/>
        <v>0</v>
      </c>
      <c r="AN36" s="53">
        <f t="shared" si="2"/>
        <v>0</v>
      </c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</row>
    <row r="37" ht="15.75" customHeight="1">
      <c r="A37" s="209" t="s">
        <v>4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04"/>
      <c r="AF37" s="212">
        <v>0.0</v>
      </c>
      <c r="AG37" s="207"/>
      <c r="AH37" s="211"/>
      <c r="AI37" s="53">
        <f t="shared" ref="AI37:AO37" si="3">$AF37*AI4</f>
        <v>0</v>
      </c>
      <c r="AJ37" s="53">
        <f t="shared" si="3"/>
        <v>0</v>
      </c>
      <c r="AK37" s="53">
        <f t="shared" si="3"/>
        <v>0</v>
      </c>
      <c r="AL37" s="53">
        <f t="shared" si="3"/>
        <v>0</v>
      </c>
      <c r="AM37" s="53">
        <f t="shared" si="3"/>
        <v>0</v>
      </c>
      <c r="AN37" s="53">
        <f t="shared" si="3"/>
        <v>0</v>
      </c>
      <c r="AO37" s="53">
        <f t="shared" si="3"/>
        <v>0</v>
      </c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</row>
    <row r="38" ht="15.75" customHeight="1">
      <c r="A38" s="209" t="s">
        <v>5</v>
      </c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04"/>
      <c r="AF38" s="212">
        <v>0.0</v>
      </c>
      <c r="AG38" s="207"/>
      <c r="AH38" s="211"/>
      <c r="AI38" s="211"/>
      <c r="AJ38" s="53">
        <f t="shared" ref="AJ38:AP38" si="4">$AF38*AJ5</f>
        <v>0</v>
      </c>
      <c r="AK38" s="53">
        <f t="shared" si="4"/>
        <v>0</v>
      </c>
      <c r="AL38" s="53">
        <f t="shared" si="4"/>
        <v>0</v>
      </c>
      <c r="AM38" s="53">
        <f t="shared" si="4"/>
        <v>0</v>
      </c>
      <c r="AN38" s="53">
        <f t="shared" si="4"/>
        <v>0</v>
      </c>
      <c r="AO38" s="53">
        <f t="shared" si="4"/>
        <v>0</v>
      </c>
      <c r="AP38" s="53">
        <f t="shared" si="4"/>
        <v>0</v>
      </c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</row>
    <row r="39" ht="15.75" customHeight="1">
      <c r="A39" s="209" t="s">
        <v>6</v>
      </c>
      <c r="B39" s="213">
        <v>24.0</v>
      </c>
      <c r="C39" s="214">
        <v>0.45</v>
      </c>
      <c r="D39" s="53">
        <f>$B39*D6</f>
        <v>2.4</v>
      </c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04"/>
      <c r="AF39" s="212">
        <v>0.0</v>
      </c>
      <c r="AG39" s="207"/>
      <c r="AH39" s="211"/>
      <c r="AI39" s="211"/>
      <c r="AJ39" s="211"/>
      <c r="AK39" s="53">
        <f t="shared" ref="AK39:AQ39" si="5">$AF39*AK6</f>
        <v>0</v>
      </c>
      <c r="AL39" s="53">
        <f t="shared" si="5"/>
        <v>0</v>
      </c>
      <c r="AM39" s="53">
        <f t="shared" si="5"/>
        <v>0</v>
      </c>
      <c r="AN39" s="53">
        <f t="shared" si="5"/>
        <v>0</v>
      </c>
      <c r="AO39" s="53">
        <f t="shared" si="5"/>
        <v>0</v>
      </c>
      <c r="AP39" s="53">
        <f t="shared" si="5"/>
        <v>0</v>
      </c>
      <c r="AQ39" s="53">
        <f t="shared" si="5"/>
        <v>0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</row>
    <row r="40" ht="15.75" customHeight="1">
      <c r="A40" s="209" t="s">
        <v>7</v>
      </c>
      <c r="B40" s="213">
        <v>24.0</v>
      </c>
      <c r="C40" s="214">
        <v>0.44</v>
      </c>
      <c r="D40" s="53">
        <f t="shared" ref="D40:F40" si="6">$B40*D7*$C40</f>
        <v>9.400470588</v>
      </c>
      <c r="E40" s="53">
        <f t="shared" si="6"/>
        <v>1.056</v>
      </c>
      <c r="F40" s="53">
        <f t="shared" si="6"/>
        <v>0.1056</v>
      </c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5"/>
      <c r="AF40" s="216">
        <f t="array" ref="AF40:AF66">transpose(D67:AD67)</f>
        <v>11.80047059</v>
      </c>
      <c r="AG40" s="207"/>
      <c r="AH40" s="211"/>
      <c r="AI40" s="211"/>
      <c r="AJ40" s="211"/>
      <c r="AK40" s="211"/>
      <c r="AL40" s="53">
        <f t="shared" ref="AL40:AR40" si="7">$AF40*AL7</f>
        <v>1.652065882</v>
      </c>
      <c r="AM40" s="53">
        <f t="shared" si="7"/>
        <v>3.894155294</v>
      </c>
      <c r="AN40" s="53">
        <f t="shared" si="7"/>
        <v>2.950117647</v>
      </c>
      <c r="AO40" s="53">
        <f t="shared" si="7"/>
        <v>1.770070588</v>
      </c>
      <c r="AP40" s="53">
        <f t="shared" si="7"/>
        <v>0.8260329412</v>
      </c>
      <c r="AQ40" s="53">
        <f t="shared" si="7"/>
        <v>0.4720188235</v>
      </c>
      <c r="AR40" s="53">
        <f t="shared" si="7"/>
        <v>0.2360094118</v>
      </c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</row>
    <row r="41" ht="15.75" customHeight="1">
      <c r="A41" s="209" t="s">
        <v>8</v>
      </c>
      <c r="B41" s="213">
        <v>24.0</v>
      </c>
      <c r="C41" s="214">
        <v>0.44</v>
      </c>
      <c r="D41" s="211"/>
      <c r="E41" s="53">
        <f t="shared" ref="E41:G41" si="8">$B41*E8*$C41</f>
        <v>9.400470588</v>
      </c>
      <c r="F41" s="53">
        <f t="shared" si="8"/>
        <v>1.056</v>
      </c>
      <c r="G41" s="53">
        <f t="shared" si="8"/>
        <v>0.1056</v>
      </c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7"/>
      <c r="AF41" s="53">
        <v>10.456470588235295</v>
      </c>
      <c r="AG41" s="207"/>
      <c r="AH41" s="211"/>
      <c r="AI41" s="211"/>
      <c r="AJ41" s="211"/>
      <c r="AK41" s="211"/>
      <c r="AL41" s="211"/>
      <c r="AM41" s="53">
        <f t="shared" ref="AM41:AS41" si="9">$AF41*AM8</f>
        <v>1.463905882</v>
      </c>
      <c r="AN41" s="53">
        <f t="shared" si="9"/>
        <v>3.450635294</v>
      </c>
      <c r="AO41" s="53">
        <f t="shared" si="9"/>
        <v>2.614117647</v>
      </c>
      <c r="AP41" s="53">
        <f t="shared" si="9"/>
        <v>1.568470588</v>
      </c>
      <c r="AQ41" s="53">
        <f t="shared" si="9"/>
        <v>0.7319529412</v>
      </c>
      <c r="AR41" s="53">
        <f t="shared" si="9"/>
        <v>0.4182588235</v>
      </c>
      <c r="AS41" s="53">
        <f t="shared" si="9"/>
        <v>0.2091294118</v>
      </c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</row>
    <row r="42" ht="15.75" customHeight="1">
      <c r="A42" s="209" t="s">
        <v>9</v>
      </c>
      <c r="B42" s="213">
        <v>24.0</v>
      </c>
      <c r="C42" s="214">
        <v>0.44</v>
      </c>
      <c r="D42" s="205"/>
      <c r="E42" s="211"/>
      <c r="F42" s="53">
        <f t="shared" ref="F42:H42" si="10">$B42*F9*$C42</f>
        <v>9.400470588</v>
      </c>
      <c r="G42" s="53">
        <f t="shared" si="10"/>
        <v>1.056</v>
      </c>
      <c r="H42" s="53">
        <f t="shared" si="10"/>
        <v>0.1056</v>
      </c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7"/>
      <c r="AF42" s="53">
        <v>10.562070588235294</v>
      </c>
      <c r="AG42" s="207"/>
      <c r="AH42" s="211"/>
      <c r="AI42" s="211"/>
      <c r="AJ42" s="211"/>
      <c r="AK42" s="211"/>
      <c r="AL42" s="211"/>
      <c r="AM42" s="211"/>
      <c r="AN42" s="53">
        <f t="shared" ref="AN42:AT42" si="11">$AF42*AN9</f>
        <v>1.478689882</v>
      </c>
      <c r="AO42" s="53">
        <f t="shared" si="11"/>
        <v>3.485483294</v>
      </c>
      <c r="AP42" s="53">
        <f t="shared" si="11"/>
        <v>2.640517647</v>
      </c>
      <c r="AQ42" s="53">
        <f t="shared" si="11"/>
        <v>1.584310588</v>
      </c>
      <c r="AR42" s="53">
        <f t="shared" si="11"/>
        <v>0.7393449412</v>
      </c>
      <c r="AS42" s="53">
        <f t="shared" si="11"/>
        <v>0.4224828235</v>
      </c>
      <c r="AT42" s="53">
        <f t="shared" si="11"/>
        <v>0.2112414118</v>
      </c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</row>
    <row r="43" ht="15.75" customHeight="1">
      <c r="A43" s="209" t="s">
        <v>10</v>
      </c>
      <c r="B43" s="213">
        <v>24.0</v>
      </c>
      <c r="C43" s="214">
        <v>0.625</v>
      </c>
      <c r="D43" s="205"/>
      <c r="E43" s="205"/>
      <c r="F43" s="211"/>
      <c r="G43" s="53">
        <f t="shared" ref="G43:I43" si="12">$B43*G10*$C43</f>
        <v>13.35294118</v>
      </c>
      <c r="H43" s="53">
        <f t="shared" si="12"/>
        <v>1.5</v>
      </c>
      <c r="I43" s="53">
        <f t="shared" si="12"/>
        <v>0.15</v>
      </c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7"/>
      <c r="AF43" s="53">
        <v>14.514541176470587</v>
      </c>
      <c r="AG43" s="207"/>
      <c r="AH43" s="211"/>
      <c r="AI43" s="211"/>
      <c r="AJ43" s="211"/>
      <c r="AK43" s="211"/>
      <c r="AL43" s="211"/>
      <c r="AM43" s="211"/>
      <c r="AN43" s="211"/>
      <c r="AO43" s="53">
        <f t="shared" ref="AO43:AU43" si="13">$AF43*AO10</f>
        <v>2.032035765</v>
      </c>
      <c r="AP43" s="53">
        <f t="shared" si="13"/>
        <v>4.789798588</v>
      </c>
      <c r="AQ43" s="53">
        <f t="shared" si="13"/>
        <v>3.628635294</v>
      </c>
      <c r="AR43" s="53">
        <f t="shared" si="13"/>
        <v>2.177181176</v>
      </c>
      <c r="AS43" s="53">
        <f t="shared" si="13"/>
        <v>1.016017882</v>
      </c>
      <c r="AT43" s="53">
        <f t="shared" si="13"/>
        <v>0.5805816471</v>
      </c>
      <c r="AU43" s="53">
        <f t="shared" si="13"/>
        <v>0.2902908235</v>
      </c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</row>
    <row r="44" ht="15.75" customHeight="1">
      <c r="A44" s="209" t="s">
        <v>11</v>
      </c>
      <c r="B44" s="213">
        <v>24.0</v>
      </c>
      <c r="C44" s="214">
        <v>0.44</v>
      </c>
      <c r="D44" s="205"/>
      <c r="E44" s="205"/>
      <c r="F44" s="205"/>
      <c r="G44" s="205"/>
      <c r="H44" s="53">
        <f t="shared" ref="H44:J44" si="14">$B44*H11*$C44</f>
        <v>9.400470588</v>
      </c>
      <c r="I44" s="53">
        <f t="shared" si="14"/>
        <v>1.056</v>
      </c>
      <c r="J44" s="53">
        <f t="shared" si="14"/>
        <v>0.1056</v>
      </c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7"/>
      <c r="AF44" s="53">
        <v>11.006070588235294</v>
      </c>
      <c r="AG44" s="207"/>
      <c r="AH44" s="211"/>
      <c r="AI44" s="211"/>
      <c r="AJ44" s="211"/>
      <c r="AK44" s="211"/>
      <c r="AL44" s="211"/>
      <c r="AM44" s="211"/>
      <c r="AN44" s="211"/>
      <c r="AO44" s="211"/>
      <c r="AP44" s="53">
        <f t="shared" ref="AP44:AV44" si="15">$AF44*AP11</f>
        <v>1.540849882</v>
      </c>
      <c r="AQ44" s="53">
        <f t="shared" si="15"/>
        <v>3.632003294</v>
      </c>
      <c r="AR44" s="53">
        <f t="shared" si="15"/>
        <v>2.751517647</v>
      </c>
      <c r="AS44" s="53">
        <f t="shared" si="15"/>
        <v>1.650910588</v>
      </c>
      <c r="AT44" s="53">
        <f t="shared" si="15"/>
        <v>0.7704249412</v>
      </c>
      <c r="AU44" s="53">
        <f t="shared" si="15"/>
        <v>0.4402428235</v>
      </c>
      <c r="AV44" s="53">
        <f t="shared" si="15"/>
        <v>0.2201214118</v>
      </c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</row>
    <row r="45" ht="15.75" customHeight="1">
      <c r="A45" s="209" t="s">
        <v>12</v>
      </c>
      <c r="B45" s="213">
        <v>24.0</v>
      </c>
      <c r="C45" s="214">
        <v>0.48</v>
      </c>
      <c r="D45" s="205"/>
      <c r="E45" s="205"/>
      <c r="F45" s="205"/>
      <c r="G45" s="205"/>
      <c r="H45" s="205"/>
      <c r="I45" s="53">
        <f t="shared" ref="I45:K45" si="16">$B45*I12*$C45</f>
        <v>10.25505882</v>
      </c>
      <c r="J45" s="53">
        <f t="shared" si="16"/>
        <v>1.152</v>
      </c>
      <c r="K45" s="53">
        <f t="shared" si="16"/>
        <v>0.1152</v>
      </c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7"/>
      <c r="AF45" s="53">
        <v>11.46105882352941</v>
      </c>
      <c r="AG45" s="207"/>
      <c r="AH45" s="211"/>
      <c r="AI45" s="211"/>
      <c r="AJ45" s="211"/>
      <c r="AK45" s="211"/>
      <c r="AL45" s="211"/>
      <c r="AM45" s="211"/>
      <c r="AN45" s="211"/>
      <c r="AO45" s="211"/>
      <c r="AP45" s="211"/>
      <c r="AQ45" s="53">
        <f t="shared" ref="AQ45:AW45" si="17">$AF45*AQ12</f>
        <v>1.604548235</v>
      </c>
      <c r="AR45" s="53">
        <f t="shared" si="17"/>
        <v>3.782149412</v>
      </c>
      <c r="AS45" s="53">
        <f t="shared" si="17"/>
        <v>2.865264706</v>
      </c>
      <c r="AT45" s="53">
        <f t="shared" si="17"/>
        <v>1.719158824</v>
      </c>
      <c r="AU45" s="53">
        <f t="shared" si="17"/>
        <v>0.8022741176</v>
      </c>
      <c r="AV45" s="53">
        <f t="shared" si="17"/>
        <v>0.4584423529</v>
      </c>
      <c r="AW45" s="53">
        <f t="shared" si="17"/>
        <v>0.2292211765</v>
      </c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</row>
    <row r="46" ht="15.75" customHeight="1">
      <c r="A46" s="209" t="s">
        <v>13</v>
      </c>
      <c r="B46" s="213">
        <v>24.0</v>
      </c>
      <c r="C46" s="214">
        <v>0.38</v>
      </c>
      <c r="D46" s="205"/>
      <c r="E46" s="205"/>
      <c r="F46" s="205"/>
      <c r="G46" s="205"/>
      <c r="H46" s="205"/>
      <c r="I46" s="205"/>
      <c r="J46" s="53">
        <f t="shared" ref="J46:L46" si="18">$B46*J13*$C46</f>
        <v>8.118588235</v>
      </c>
      <c r="K46" s="53">
        <f t="shared" si="18"/>
        <v>0.912</v>
      </c>
      <c r="L46" s="53">
        <f t="shared" si="18"/>
        <v>0.0912</v>
      </c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7"/>
      <c r="AF46" s="53">
        <v>9.376188235294117</v>
      </c>
      <c r="AG46" s="207"/>
      <c r="AH46" s="211"/>
      <c r="AI46" s="211"/>
      <c r="AJ46" s="211"/>
      <c r="AK46" s="211"/>
      <c r="AL46" s="211"/>
      <c r="AM46" s="211"/>
      <c r="AN46" s="211"/>
      <c r="AO46" s="211"/>
      <c r="AP46" s="207"/>
      <c r="AQ46" s="211"/>
      <c r="AR46" s="53">
        <f t="shared" ref="AR46:AX46" si="19">$AF46*AR13</f>
        <v>1.312666353</v>
      </c>
      <c r="AS46" s="53">
        <f t="shared" si="19"/>
        <v>3.094142118</v>
      </c>
      <c r="AT46" s="53">
        <f t="shared" si="19"/>
        <v>2.344047059</v>
      </c>
      <c r="AU46" s="53">
        <f t="shared" si="19"/>
        <v>1.406428235</v>
      </c>
      <c r="AV46" s="53">
        <f t="shared" si="19"/>
        <v>0.6563331765</v>
      </c>
      <c r="AW46" s="53">
        <f t="shared" si="19"/>
        <v>0.3750475294</v>
      </c>
      <c r="AX46" s="53">
        <f t="shared" si="19"/>
        <v>0.1875237647</v>
      </c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</row>
    <row r="47" ht="15.75" customHeight="1">
      <c r="A47" s="209" t="s">
        <v>63</v>
      </c>
      <c r="B47" s="213">
        <v>24.0</v>
      </c>
      <c r="C47" s="214">
        <v>0.35</v>
      </c>
      <c r="D47" s="205"/>
      <c r="E47" s="205"/>
      <c r="F47" s="205"/>
      <c r="G47" s="205"/>
      <c r="H47" s="205"/>
      <c r="I47" s="205"/>
      <c r="J47" s="211"/>
      <c r="K47" s="53">
        <f t="shared" ref="K47:M47" si="20">$B47*K14*$C47</f>
        <v>7.477647059</v>
      </c>
      <c r="L47" s="53">
        <f t="shared" si="20"/>
        <v>0.84</v>
      </c>
      <c r="M47" s="53">
        <f t="shared" si="20"/>
        <v>0.084</v>
      </c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7"/>
      <c r="AF47" s="53">
        <v>8.504847058823529</v>
      </c>
      <c r="AG47" s="207"/>
      <c r="AH47" s="211"/>
      <c r="AI47" s="211"/>
      <c r="AJ47" s="211"/>
      <c r="AK47" s="211"/>
      <c r="AL47" s="211"/>
      <c r="AM47" s="211"/>
      <c r="AN47" s="211"/>
      <c r="AO47" s="211"/>
      <c r="AP47" s="207"/>
      <c r="AQ47" s="211"/>
      <c r="AR47" s="211"/>
      <c r="AS47" s="53">
        <f t="shared" ref="AS47:AY47" si="21">$AF47*AS14</f>
        <v>1.190678588</v>
      </c>
      <c r="AT47" s="53">
        <f t="shared" si="21"/>
        <v>2.806599529</v>
      </c>
      <c r="AU47" s="53">
        <f t="shared" si="21"/>
        <v>2.126211765</v>
      </c>
      <c r="AV47" s="53">
        <f t="shared" si="21"/>
        <v>1.275727059</v>
      </c>
      <c r="AW47" s="53">
        <f t="shared" si="21"/>
        <v>0.5953392941</v>
      </c>
      <c r="AX47" s="53">
        <f t="shared" si="21"/>
        <v>0.3401938824</v>
      </c>
      <c r="AY47" s="53">
        <f t="shared" si="21"/>
        <v>0.1700969412</v>
      </c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</row>
    <row r="48" ht="15.75" customHeight="1">
      <c r="A48" s="209" t="s">
        <v>64</v>
      </c>
      <c r="B48" s="213">
        <v>24.0</v>
      </c>
      <c r="C48" s="214">
        <v>0.32</v>
      </c>
      <c r="D48" s="205"/>
      <c r="E48" s="205"/>
      <c r="F48" s="205"/>
      <c r="G48" s="205"/>
      <c r="H48" s="205"/>
      <c r="I48" s="205"/>
      <c r="J48" s="211"/>
      <c r="K48" s="211"/>
      <c r="L48" s="53">
        <f t="shared" ref="L48:N48" si="22">$B48*L15*$C48</f>
        <v>6.836705882</v>
      </c>
      <c r="M48" s="53">
        <f t="shared" si="22"/>
        <v>0.768</v>
      </c>
      <c r="N48" s="53">
        <f t="shared" si="22"/>
        <v>0.0768</v>
      </c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7"/>
      <c r="AF48" s="53">
        <v>7.767905882352942</v>
      </c>
      <c r="AG48" s="207"/>
      <c r="AH48" s="211"/>
      <c r="AI48" s="211"/>
      <c r="AJ48" s="211"/>
      <c r="AK48" s="211"/>
      <c r="AL48" s="211"/>
      <c r="AM48" s="211"/>
      <c r="AN48" s="211"/>
      <c r="AO48" s="211"/>
      <c r="AP48" s="207"/>
      <c r="AQ48" s="211"/>
      <c r="AR48" s="211"/>
      <c r="AS48" s="211"/>
      <c r="AT48" s="53">
        <f t="shared" ref="AT48:AZ48" si="23">$AF48*AT15</f>
        <v>1.087506824</v>
      </c>
      <c r="AU48" s="53">
        <f t="shared" si="23"/>
        <v>2.563408941</v>
      </c>
      <c r="AV48" s="53">
        <f t="shared" si="23"/>
        <v>1.941976471</v>
      </c>
      <c r="AW48" s="53">
        <f t="shared" si="23"/>
        <v>1.165185882</v>
      </c>
      <c r="AX48" s="53">
        <f t="shared" si="23"/>
        <v>0.5437534118</v>
      </c>
      <c r="AY48" s="53">
        <f t="shared" si="23"/>
        <v>0.3107162353</v>
      </c>
      <c r="AZ48" s="53">
        <f t="shared" si="23"/>
        <v>0.1553581176</v>
      </c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</row>
    <row r="49" ht="15.75" customHeight="1">
      <c r="A49" s="209" t="s">
        <v>65</v>
      </c>
      <c r="B49" s="213">
        <v>24.0</v>
      </c>
      <c r="C49" s="214">
        <v>0.5</v>
      </c>
      <c r="D49" s="205"/>
      <c r="E49" s="205"/>
      <c r="F49" s="205"/>
      <c r="G49" s="205"/>
      <c r="H49" s="205"/>
      <c r="I49" s="205"/>
      <c r="J49" s="211"/>
      <c r="K49" s="211"/>
      <c r="L49" s="211"/>
      <c r="M49" s="53">
        <f t="shared" ref="M49:O49" si="24">$B49*M16*$C49</f>
        <v>10.68235294</v>
      </c>
      <c r="N49" s="53">
        <f t="shared" si="24"/>
        <v>1.2</v>
      </c>
      <c r="O49" s="53">
        <f t="shared" si="24"/>
        <v>0.12</v>
      </c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7"/>
      <c r="AF49" s="53">
        <v>11.53435294117647</v>
      </c>
      <c r="AG49" s="207"/>
      <c r="AH49" s="211"/>
      <c r="AI49" s="211"/>
      <c r="AJ49" s="211"/>
      <c r="AK49" s="211"/>
      <c r="AL49" s="211"/>
      <c r="AM49" s="211"/>
      <c r="AN49" s="211"/>
      <c r="AO49" s="211"/>
      <c r="AP49" s="207"/>
      <c r="AQ49" s="211"/>
      <c r="AR49" s="211"/>
      <c r="AS49" s="211"/>
      <c r="AT49" s="211"/>
      <c r="AU49" s="53">
        <f t="shared" ref="AU49:BA49" si="25">$AF49*AU16</f>
        <v>1.614809412</v>
      </c>
      <c r="AV49" s="53">
        <f t="shared" si="25"/>
        <v>3.806336471</v>
      </c>
      <c r="AW49" s="53">
        <f t="shared" si="25"/>
        <v>2.883588235</v>
      </c>
      <c r="AX49" s="53">
        <f t="shared" si="25"/>
        <v>1.730152941</v>
      </c>
      <c r="AY49" s="53">
        <f t="shared" si="25"/>
        <v>0.8074047059</v>
      </c>
      <c r="AZ49" s="53">
        <f t="shared" si="25"/>
        <v>0.4613741176</v>
      </c>
      <c r="BA49" s="53">
        <f t="shared" si="25"/>
        <v>0.2306870588</v>
      </c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</row>
    <row r="50" ht="15.75" customHeight="1">
      <c r="A50" s="209" t="s">
        <v>66</v>
      </c>
      <c r="B50" s="213">
        <v>24.0</v>
      </c>
      <c r="C50" s="214">
        <v>0.5</v>
      </c>
      <c r="D50" s="205"/>
      <c r="E50" s="205"/>
      <c r="F50" s="205"/>
      <c r="G50" s="205"/>
      <c r="H50" s="205"/>
      <c r="I50" s="205"/>
      <c r="J50" s="211"/>
      <c r="K50" s="211"/>
      <c r="L50" s="211"/>
      <c r="M50" s="211"/>
      <c r="N50" s="53">
        <f t="shared" ref="N50:P50" si="26">$B50*N17*$C50</f>
        <v>10.68</v>
      </c>
      <c r="O50" s="53">
        <f t="shared" si="26"/>
        <v>1.2</v>
      </c>
      <c r="P50" s="53">
        <f t="shared" si="26"/>
        <v>0.12</v>
      </c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7"/>
      <c r="AF50" s="53">
        <v>11.9568</v>
      </c>
      <c r="AG50" s="207"/>
      <c r="AH50" s="211"/>
      <c r="AI50" s="211"/>
      <c r="AJ50" s="211"/>
      <c r="AK50" s="211"/>
      <c r="AL50" s="211"/>
      <c r="AM50" s="211"/>
      <c r="AN50" s="211"/>
      <c r="AO50" s="211"/>
      <c r="AP50" s="207"/>
      <c r="AQ50" s="211"/>
      <c r="AR50" s="211"/>
      <c r="AS50" s="211"/>
      <c r="AT50" s="211"/>
      <c r="AU50" s="211"/>
      <c r="AV50" s="53">
        <f t="shared" ref="AV50:BB50" si="27">$AF50*AV17</f>
        <v>1.673952</v>
      </c>
      <c r="AW50" s="53">
        <f t="shared" si="27"/>
        <v>3.945744</v>
      </c>
      <c r="AX50" s="53">
        <f t="shared" si="27"/>
        <v>2.9892</v>
      </c>
      <c r="AY50" s="53">
        <f t="shared" si="27"/>
        <v>1.79352</v>
      </c>
      <c r="AZ50" s="53">
        <f t="shared" si="27"/>
        <v>0.836976</v>
      </c>
      <c r="BA50" s="53">
        <f t="shared" si="27"/>
        <v>0.478272</v>
      </c>
      <c r="BB50" s="53">
        <f t="shared" si="27"/>
        <v>0.239136</v>
      </c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</row>
    <row r="51" ht="15.75" customHeight="1">
      <c r="A51" s="209" t="s">
        <v>67</v>
      </c>
      <c r="B51" s="213">
        <v>24.0</v>
      </c>
      <c r="C51" s="214">
        <v>0.5</v>
      </c>
      <c r="D51" s="205"/>
      <c r="E51" s="205"/>
      <c r="F51" s="205"/>
      <c r="G51" s="205"/>
      <c r="H51" s="205"/>
      <c r="I51" s="205"/>
      <c r="J51" s="211"/>
      <c r="K51" s="211"/>
      <c r="L51" s="211"/>
      <c r="M51" s="211"/>
      <c r="N51" s="211"/>
      <c r="O51" s="53">
        <f t="shared" ref="O51:Q51" si="28">$B51*O18*$C51</f>
        <v>10.68</v>
      </c>
      <c r="P51" s="53">
        <f t="shared" si="28"/>
        <v>1.2</v>
      </c>
      <c r="Q51" s="53">
        <f t="shared" si="28"/>
        <v>0.12</v>
      </c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7"/>
      <c r="AF51" s="53">
        <v>12.0</v>
      </c>
      <c r="AG51" s="207"/>
      <c r="AH51" s="211"/>
      <c r="AI51" s="211"/>
      <c r="AJ51" s="211"/>
      <c r="AK51" s="211"/>
      <c r="AL51" s="211"/>
      <c r="AM51" s="211"/>
      <c r="AN51" s="211"/>
      <c r="AO51" s="211"/>
      <c r="AP51" s="207"/>
      <c r="AQ51" s="211"/>
      <c r="AR51" s="211"/>
      <c r="AS51" s="211"/>
      <c r="AT51" s="211"/>
      <c r="AU51" s="211"/>
      <c r="AV51" s="211"/>
      <c r="AW51" s="53">
        <f t="shared" ref="AW51:BC51" si="29">$AF51*AW18</f>
        <v>1.68</v>
      </c>
      <c r="AX51" s="53">
        <f t="shared" si="29"/>
        <v>3.96</v>
      </c>
      <c r="AY51" s="53">
        <f t="shared" si="29"/>
        <v>3</v>
      </c>
      <c r="AZ51" s="53">
        <f t="shared" si="29"/>
        <v>1.8</v>
      </c>
      <c r="BA51" s="53">
        <f t="shared" si="29"/>
        <v>0.84</v>
      </c>
      <c r="BB51" s="53">
        <f t="shared" si="29"/>
        <v>0.48</v>
      </c>
      <c r="BC51" s="53">
        <f t="shared" si="29"/>
        <v>0.24</v>
      </c>
      <c r="BD51" s="211"/>
      <c r="BE51" s="211"/>
      <c r="BF51" s="211"/>
      <c r="BG51" s="211"/>
      <c r="BH51" s="211"/>
      <c r="BI51" s="211"/>
      <c r="BJ51" s="211"/>
      <c r="BK51" s="211"/>
      <c r="BL51" s="211"/>
    </row>
    <row r="52" ht="15.75" customHeight="1">
      <c r="A52" s="209" t="s">
        <v>68</v>
      </c>
      <c r="B52" s="213">
        <v>31.0</v>
      </c>
      <c r="C52" s="214">
        <v>0.5</v>
      </c>
      <c r="D52" s="205"/>
      <c r="E52" s="205"/>
      <c r="F52" s="205"/>
      <c r="G52" s="205"/>
      <c r="H52" s="205"/>
      <c r="I52" s="205"/>
      <c r="J52" s="211"/>
      <c r="K52" s="211"/>
      <c r="L52" s="211"/>
      <c r="M52" s="211"/>
      <c r="N52" s="211"/>
      <c r="O52" s="211"/>
      <c r="P52" s="53">
        <f t="shared" ref="P52:R52" si="30">$B52*P19*$C52</f>
        <v>13.795</v>
      </c>
      <c r="Q52" s="53">
        <f t="shared" si="30"/>
        <v>1.55</v>
      </c>
      <c r="R52" s="53">
        <f t="shared" si="30"/>
        <v>0.155</v>
      </c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7"/>
      <c r="AF52" s="53">
        <v>15.115</v>
      </c>
      <c r="AG52" s="211"/>
      <c r="AH52" s="211"/>
      <c r="AI52" s="211"/>
      <c r="AJ52" s="211"/>
      <c r="AK52" s="211"/>
      <c r="AL52" s="211"/>
      <c r="AM52" s="211"/>
      <c r="AN52" s="211"/>
      <c r="AO52" s="211"/>
      <c r="AP52" s="207"/>
      <c r="AQ52" s="211"/>
      <c r="AR52" s="211"/>
      <c r="AS52" s="211"/>
      <c r="AT52" s="211"/>
      <c r="AU52" s="211"/>
      <c r="AV52" s="211"/>
      <c r="AW52" s="211"/>
      <c r="AX52" s="53">
        <f t="shared" ref="AX52:BD52" si="31">$AF52*AX19</f>
        <v>2.1161</v>
      </c>
      <c r="AY52" s="53">
        <f t="shared" si="31"/>
        <v>4.98795</v>
      </c>
      <c r="AZ52" s="53">
        <f t="shared" si="31"/>
        <v>3.77875</v>
      </c>
      <c r="BA52" s="53">
        <f t="shared" si="31"/>
        <v>2.26725</v>
      </c>
      <c r="BB52" s="53">
        <f t="shared" si="31"/>
        <v>1.05805</v>
      </c>
      <c r="BC52" s="53">
        <f t="shared" si="31"/>
        <v>0.6046</v>
      </c>
      <c r="BD52" s="53">
        <f t="shared" si="31"/>
        <v>0.3023</v>
      </c>
      <c r="BE52" s="211"/>
      <c r="BF52" s="211"/>
      <c r="BG52" s="211"/>
      <c r="BH52" s="211"/>
      <c r="BI52" s="211"/>
      <c r="BJ52" s="211"/>
      <c r="BK52" s="211"/>
      <c r="BL52" s="211"/>
    </row>
    <row r="53" ht="15.75" customHeight="1">
      <c r="A53" s="209" t="s">
        <v>69</v>
      </c>
      <c r="B53" s="213" t="str">
        <f>average($B$48:$B$52)*1.2+'Brand Rollout'!E18</f>
        <v>#REF!</v>
      </c>
      <c r="C53" s="214">
        <v>0.55</v>
      </c>
      <c r="D53" s="205"/>
      <c r="E53" s="205"/>
      <c r="F53" s="205"/>
      <c r="G53" s="205"/>
      <c r="H53" s="205"/>
      <c r="I53" s="205"/>
      <c r="J53" s="211"/>
      <c r="K53" s="211"/>
      <c r="L53" s="211"/>
      <c r="M53" s="211"/>
      <c r="N53" s="211"/>
      <c r="O53" s="211"/>
      <c r="P53" s="211"/>
      <c r="Q53" s="53" t="str">
        <f t="shared" ref="Q53:S53" si="32">$B53*Q20*$C53</f>
        <v>#REF!</v>
      </c>
      <c r="R53" s="53" t="str">
        <f t="shared" si="32"/>
        <v>#REF!</v>
      </c>
      <c r="S53" s="53" t="str">
        <f t="shared" si="32"/>
        <v>#REF!</v>
      </c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7"/>
      <c r="AF53" s="53" t="e">
        <v>#REF!</v>
      </c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53" t="str">
        <f t="shared" ref="AY53:BE53" si="33">$AF53*AY20</f>
        <v>#REF!</v>
      </c>
      <c r="AZ53" s="53" t="str">
        <f t="shared" si="33"/>
        <v>#REF!</v>
      </c>
      <c r="BA53" s="53" t="str">
        <f t="shared" si="33"/>
        <v>#REF!</v>
      </c>
      <c r="BB53" s="53" t="str">
        <f t="shared" si="33"/>
        <v>#REF!</v>
      </c>
      <c r="BC53" s="53" t="str">
        <f t="shared" si="33"/>
        <v>#REF!</v>
      </c>
      <c r="BD53" s="53" t="str">
        <f t="shared" si="33"/>
        <v>#REF!</v>
      </c>
      <c r="BE53" s="53" t="str">
        <f t="shared" si="33"/>
        <v>#REF!</v>
      </c>
      <c r="BF53" s="211"/>
      <c r="BG53" s="211"/>
      <c r="BH53" s="211"/>
      <c r="BI53" s="211"/>
      <c r="BJ53" s="211"/>
      <c r="BK53" s="211"/>
      <c r="BL53" s="211"/>
    </row>
    <row r="54" ht="15.75" customHeight="1">
      <c r="A54" s="218" t="s">
        <v>70</v>
      </c>
      <c r="B54" s="213" t="str">
        <f t="shared" ref="B54:B56" si="36">average($B$48:$B$52)*1.5+'Brand Rollout'!E19</f>
        <v>#REF!</v>
      </c>
      <c r="C54" s="214">
        <v>0.55</v>
      </c>
      <c r="D54" s="205"/>
      <c r="E54" s="205"/>
      <c r="F54" s="205"/>
      <c r="G54" s="205"/>
      <c r="H54" s="205"/>
      <c r="I54" s="205"/>
      <c r="J54" s="211"/>
      <c r="K54" s="211"/>
      <c r="L54" s="211"/>
      <c r="M54" s="211"/>
      <c r="N54" s="211"/>
      <c r="O54" s="211"/>
      <c r="P54" s="211"/>
      <c r="Q54" s="211"/>
      <c r="R54" s="53" t="str">
        <f t="shared" ref="R54:T54" si="34">$B54*R21*$C54</f>
        <v>#REF!</v>
      </c>
      <c r="S54" s="53" t="str">
        <f t="shared" si="34"/>
        <v>#REF!</v>
      </c>
      <c r="T54" s="53" t="str">
        <f t="shared" si="34"/>
        <v>#REF!</v>
      </c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7"/>
      <c r="AF54" s="53" t="e">
        <v>#REF!</v>
      </c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53" t="str">
        <f t="shared" ref="AZ54:BF54" si="35">$AF54*AZ21</f>
        <v>#REF!</v>
      </c>
      <c r="BA54" s="53" t="str">
        <f t="shared" si="35"/>
        <v>#REF!</v>
      </c>
      <c r="BB54" s="53" t="str">
        <f t="shared" si="35"/>
        <v>#REF!</v>
      </c>
      <c r="BC54" s="53" t="str">
        <f t="shared" si="35"/>
        <v>#REF!</v>
      </c>
      <c r="BD54" s="53" t="str">
        <f t="shared" si="35"/>
        <v>#REF!</v>
      </c>
      <c r="BE54" s="53" t="str">
        <f t="shared" si="35"/>
        <v>#REF!</v>
      </c>
      <c r="BF54" s="53" t="str">
        <f t="shared" si="35"/>
        <v>#REF!</v>
      </c>
      <c r="BG54" s="211"/>
      <c r="BH54" s="211"/>
      <c r="BI54" s="211"/>
      <c r="BJ54" s="211"/>
      <c r="BK54" s="211"/>
      <c r="BL54" s="211"/>
    </row>
    <row r="55" ht="15.75" customHeight="1">
      <c r="A55" s="209" t="s">
        <v>71</v>
      </c>
      <c r="B55" s="213" t="str">
        <f t="shared" si="36"/>
        <v>#REF!</v>
      </c>
      <c r="C55" s="214">
        <v>0.55</v>
      </c>
      <c r="D55" s="205"/>
      <c r="E55" s="205"/>
      <c r="F55" s="205"/>
      <c r="G55" s="205"/>
      <c r="H55" s="205"/>
      <c r="I55" s="205"/>
      <c r="J55" s="211"/>
      <c r="K55" s="211"/>
      <c r="L55" s="211"/>
      <c r="M55" s="211"/>
      <c r="N55" s="211"/>
      <c r="O55" s="211"/>
      <c r="P55" s="211"/>
      <c r="Q55" s="211"/>
      <c r="R55" s="211"/>
      <c r="S55" s="53" t="str">
        <f t="shared" ref="S55:U55" si="37">$B55*S22*$C55</f>
        <v>#REF!</v>
      </c>
      <c r="T55" s="53" t="str">
        <f t="shared" si="37"/>
        <v>#REF!</v>
      </c>
      <c r="U55" s="53" t="str">
        <f t="shared" si="37"/>
        <v>#REF!</v>
      </c>
      <c r="V55" s="211"/>
      <c r="W55" s="211"/>
      <c r="X55" s="211"/>
      <c r="Y55" s="211"/>
      <c r="Z55" s="211"/>
      <c r="AA55" s="211"/>
      <c r="AB55" s="211"/>
      <c r="AC55" s="211"/>
      <c r="AD55" s="211"/>
      <c r="AE55" s="217"/>
      <c r="AF55" s="53" t="e">
        <v>#REF!</v>
      </c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07"/>
      <c r="AZ55" s="211"/>
      <c r="BA55" s="53" t="str">
        <f t="shared" ref="BA55:BG55" si="38">$AF55*BA22</f>
        <v>#REF!</v>
      </c>
      <c r="BB55" s="53" t="str">
        <f t="shared" si="38"/>
        <v>#REF!</v>
      </c>
      <c r="BC55" s="53" t="str">
        <f t="shared" si="38"/>
        <v>#REF!</v>
      </c>
      <c r="BD55" s="53" t="str">
        <f t="shared" si="38"/>
        <v>#REF!</v>
      </c>
      <c r="BE55" s="53" t="str">
        <f t="shared" si="38"/>
        <v>#REF!</v>
      </c>
      <c r="BF55" s="53" t="str">
        <f t="shared" si="38"/>
        <v>#REF!</v>
      </c>
      <c r="BG55" s="53" t="str">
        <f t="shared" si="38"/>
        <v>#REF!</v>
      </c>
      <c r="BH55" s="211"/>
      <c r="BI55" s="211"/>
      <c r="BJ55" s="211"/>
      <c r="BK55" s="211"/>
      <c r="BL55" s="211"/>
    </row>
    <row r="56" ht="15.75" customHeight="1">
      <c r="A56" s="209" t="s">
        <v>72</v>
      </c>
      <c r="B56" s="213" t="str">
        <f t="shared" si="36"/>
        <v>#REF!</v>
      </c>
      <c r="C56" s="214">
        <v>0.55</v>
      </c>
      <c r="D56" s="205"/>
      <c r="E56" s="205"/>
      <c r="F56" s="205"/>
      <c r="G56" s="205"/>
      <c r="H56" s="205"/>
      <c r="I56" s="205"/>
      <c r="J56" s="211"/>
      <c r="K56" s="211"/>
      <c r="L56" s="211"/>
      <c r="M56" s="211"/>
      <c r="N56" s="211"/>
      <c r="O56" s="211"/>
      <c r="P56" s="211"/>
      <c r="Q56" s="211"/>
      <c r="R56" s="211"/>
      <c r="S56" s="205"/>
      <c r="T56" s="53" t="str">
        <f t="shared" ref="T56:V56" si="39">$B56*T23*$C56</f>
        <v>#REF!</v>
      </c>
      <c r="U56" s="53" t="str">
        <f t="shared" si="39"/>
        <v>#REF!</v>
      </c>
      <c r="V56" s="53" t="str">
        <f t="shared" si="39"/>
        <v>#REF!</v>
      </c>
      <c r="W56" s="211"/>
      <c r="X56" s="211"/>
      <c r="Y56" s="211"/>
      <c r="Z56" s="211"/>
      <c r="AA56" s="211"/>
      <c r="AB56" s="211"/>
      <c r="AC56" s="211"/>
      <c r="AD56" s="211"/>
      <c r="AE56" s="217"/>
      <c r="AF56" s="53" t="e">
        <v>#REF!</v>
      </c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07"/>
      <c r="AZ56" s="211"/>
      <c r="BA56" s="211"/>
      <c r="BB56" s="53" t="str">
        <f t="shared" ref="BB56:BH56" si="40">$AF56*BB23</f>
        <v>#REF!</v>
      </c>
      <c r="BC56" s="53" t="str">
        <f t="shared" si="40"/>
        <v>#REF!</v>
      </c>
      <c r="BD56" s="53" t="str">
        <f t="shared" si="40"/>
        <v>#REF!</v>
      </c>
      <c r="BE56" s="53" t="str">
        <f t="shared" si="40"/>
        <v>#REF!</v>
      </c>
      <c r="BF56" s="53" t="str">
        <f t="shared" si="40"/>
        <v>#REF!</v>
      </c>
      <c r="BG56" s="53" t="str">
        <f t="shared" si="40"/>
        <v>#REF!</v>
      </c>
      <c r="BH56" s="53" t="str">
        <f t="shared" si="40"/>
        <v>#REF!</v>
      </c>
      <c r="BI56" s="211"/>
      <c r="BJ56" s="211"/>
      <c r="BK56" s="211"/>
      <c r="BL56" s="211"/>
    </row>
    <row r="57" ht="15.75" customHeight="1">
      <c r="A57" s="209" t="s">
        <v>73</v>
      </c>
      <c r="B57" s="213" t="str">
        <f t="shared" ref="B57:B60" si="43">average($B$48:$B$52)*1.7+'Brand Rollout'!E22</f>
        <v>#REF!</v>
      </c>
      <c r="C57" s="214">
        <v>0.55</v>
      </c>
      <c r="D57" s="205"/>
      <c r="E57" s="205"/>
      <c r="F57" s="205"/>
      <c r="G57" s="205"/>
      <c r="H57" s="205"/>
      <c r="I57" s="205"/>
      <c r="J57" s="211"/>
      <c r="K57" s="211"/>
      <c r="L57" s="211"/>
      <c r="M57" s="211"/>
      <c r="N57" s="211"/>
      <c r="O57" s="211"/>
      <c r="P57" s="211"/>
      <c r="Q57" s="211"/>
      <c r="R57" s="211"/>
      <c r="S57" s="205"/>
      <c r="T57" s="205"/>
      <c r="U57" s="53" t="str">
        <f t="shared" ref="U57:W57" si="41">$B57*U24*$C57</f>
        <v>#REF!</v>
      </c>
      <c r="V57" s="53" t="str">
        <f t="shared" si="41"/>
        <v>#REF!</v>
      </c>
      <c r="W57" s="53" t="str">
        <f t="shared" si="41"/>
        <v>#REF!</v>
      </c>
      <c r="X57" s="211"/>
      <c r="Y57" s="211"/>
      <c r="Z57" s="211"/>
      <c r="AA57" s="211"/>
      <c r="AB57" s="211"/>
      <c r="AC57" s="211"/>
      <c r="AD57" s="211"/>
      <c r="AE57" s="217"/>
      <c r="AF57" s="53" t="e">
        <v>#REF!</v>
      </c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07"/>
      <c r="AZ57" s="211"/>
      <c r="BA57" s="211"/>
      <c r="BB57" s="211"/>
      <c r="BC57" s="53" t="str">
        <f t="shared" ref="BC57:BI57" si="42">$AF57*BC24</f>
        <v>#REF!</v>
      </c>
      <c r="BD57" s="53" t="str">
        <f t="shared" si="42"/>
        <v>#REF!</v>
      </c>
      <c r="BE57" s="53" t="str">
        <f t="shared" si="42"/>
        <v>#REF!</v>
      </c>
      <c r="BF57" s="53" t="str">
        <f t="shared" si="42"/>
        <v>#REF!</v>
      </c>
      <c r="BG57" s="53" t="str">
        <f t="shared" si="42"/>
        <v>#REF!</v>
      </c>
      <c r="BH57" s="53" t="str">
        <f t="shared" si="42"/>
        <v>#REF!</v>
      </c>
      <c r="BI57" s="53" t="str">
        <f t="shared" si="42"/>
        <v>#REF!</v>
      </c>
      <c r="BJ57" s="211"/>
      <c r="BK57" s="211"/>
      <c r="BL57" s="211"/>
    </row>
    <row r="58" ht="15.75" customHeight="1">
      <c r="A58" s="209" t="s">
        <v>74</v>
      </c>
      <c r="B58" s="213" t="str">
        <f t="shared" si="43"/>
        <v>#REF!</v>
      </c>
      <c r="C58" s="214">
        <v>0.55</v>
      </c>
      <c r="D58" s="205"/>
      <c r="E58" s="205"/>
      <c r="F58" s="205"/>
      <c r="G58" s="205"/>
      <c r="H58" s="205"/>
      <c r="I58" s="205"/>
      <c r="J58" s="211"/>
      <c r="K58" s="211"/>
      <c r="L58" s="211"/>
      <c r="M58" s="211"/>
      <c r="N58" s="211"/>
      <c r="O58" s="211"/>
      <c r="P58" s="211"/>
      <c r="Q58" s="211"/>
      <c r="R58" s="211"/>
      <c r="S58" s="205"/>
      <c r="T58" s="205"/>
      <c r="U58" s="205"/>
      <c r="V58" s="53" t="str">
        <f t="shared" ref="V58:X58" si="44">$B58*V25*$C58</f>
        <v>#REF!</v>
      </c>
      <c r="W58" s="53" t="str">
        <f t="shared" si="44"/>
        <v>#REF!</v>
      </c>
      <c r="X58" s="53" t="str">
        <f t="shared" si="44"/>
        <v>#REF!</v>
      </c>
      <c r="Y58" s="211"/>
      <c r="Z58" s="211"/>
      <c r="AA58" s="211"/>
      <c r="AB58" s="211"/>
      <c r="AC58" s="211"/>
      <c r="AD58" s="211"/>
      <c r="AE58" s="217"/>
      <c r="AF58" s="53" t="e">
        <v>#REF!</v>
      </c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07"/>
      <c r="AZ58" s="211"/>
      <c r="BA58" s="211"/>
      <c r="BB58" s="211"/>
      <c r="BC58" s="211"/>
      <c r="BD58" s="53" t="str">
        <f t="shared" ref="BD58:BJ58" si="45">$AF58*BD25</f>
        <v>#REF!</v>
      </c>
      <c r="BE58" s="53" t="str">
        <f t="shared" si="45"/>
        <v>#REF!</v>
      </c>
      <c r="BF58" s="53" t="str">
        <f t="shared" si="45"/>
        <v>#REF!</v>
      </c>
      <c r="BG58" s="53" t="str">
        <f t="shared" si="45"/>
        <v>#REF!</v>
      </c>
      <c r="BH58" s="53" t="str">
        <f t="shared" si="45"/>
        <v>#REF!</v>
      </c>
      <c r="BI58" s="53" t="str">
        <f t="shared" si="45"/>
        <v>#REF!</v>
      </c>
      <c r="BJ58" s="53" t="str">
        <f t="shared" si="45"/>
        <v>#REF!</v>
      </c>
      <c r="BK58" s="211"/>
      <c r="BL58" s="211"/>
    </row>
    <row r="59" ht="15.75" customHeight="1">
      <c r="A59" s="209" t="s">
        <v>75</v>
      </c>
      <c r="B59" s="213" t="str">
        <f t="shared" si="43"/>
        <v>#REF!</v>
      </c>
      <c r="C59" s="214">
        <v>0.55</v>
      </c>
      <c r="D59" s="205"/>
      <c r="E59" s="205"/>
      <c r="F59" s="205"/>
      <c r="G59" s="205"/>
      <c r="H59" s="205"/>
      <c r="I59" s="205"/>
      <c r="J59" s="211"/>
      <c r="K59" s="211"/>
      <c r="L59" s="211"/>
      <c r="M59" s="211"/>
      <c r="N59" s="211"/>
      <c r="O59" s="211"/>
      <c r="P59" s="211"/>
      <c r="Q59" s="211"/>
      <c r="R59" s="211"/>
      <c r="S59" s="205"/>
      <c r="T59" s="205"/>
      <c r="U59" s="205"/>
      <c r="V59" s="211"/>
      <c r="W59" s="53" t="str">
        <f t="shared" ref="W59:Y59" si="46">$B59*W26*$C59</f>
        <v>#REF!</v>
      </c>
      <c r="X59" s="53" t="str">
        <f t="shared" si="46"/>
        <v>#REF!</v>
      </c>
      <c r="Y59" s="53" t="str">
        <f t="shared" si="46"/>
        <v>#REF!</v>
      </c>
      <c r="Z59" s="211"/>
      <c r="AA59" s="211"/>
      <c r="AB59" s="211"/>
      <c r="AC59" s="211"/>
      <c r="AD59" s="211"/>
      <c r="AE59" s="217"/>
      <c r="AF59" s="53" t="e">
        <v>#REF!</v>
      </c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07"/>
      <c r="AZ59" s="211"/>
      <c r="BA59" s="211"/>
      <c r="BB59" s="211"/>
      <c r="BC59" s="211"/>
      <c r="BD59" s="211"/>
      <c r="BE59" s="53" t="str">
        <f t="shared" ref="BE59:BK59" si="47">$AF59*BE26</f>
        <v>#REF!</v>
      </c>
      <c r="BF59" s="53" t="str">
        <f t="shared" si="47"/>
        <v>#REF!</v>
      </c>
      <c r="BG59" s="53" t="str">
        <f t="shared" si="47"/>
        <v>#REF!</v>
      </c>
      <c r="BH59" s="53" t="str">
        <f t="shared" si="47"/>
        <v>#REF!</v>
      </c>
      <c r="BI59" s="53" t="str">
        <f t="shared" si="47"/>
        <v>#REF!</v>
      </c>
      <c r="BJ59" s="53" t="str">
        <f t="shared" si="47"/>
        <v>#REF!</v>
      </c>
      <c r="BK59" s="53" t="str">
        <f t="shared" si="47"/>
        <v>#REF!</v>
      </c>
      <c r="BL59" s="211"/>
    </row>
    <row r="60" ht="15.75" customHeight="1">
      <c r="A60" s="209" t="s">
        <v>76</v>
      </c>
      <c r="B60" s="213" t="str">
        <f t="shared" si="43"/>
        <v>#REF!</v>
      </c>
      <c r="C60" s="214">
        <v>0.55</v>
      </c>
      <c r="D60" s="205"/>
      <c r="E60" s="205"/>
      <c r="F60" s="205"/>
      <c r="G60" s="205"/>
      <c r="H60" s="205"/>
      <c r="I60" s="205"/>
      <c r="J60" s="211"/>
      <c r="K60" s="211"/>
      <c r="L60" s="211"/>
      <c r="M60" s="211"/>
      <c r="N60" s="211"/>
      <c r="O60" s="211"/>
      <c r="P60" s="211"/>
      <c r="Q60" s="211"/>
      <c r="R60" s="211"/>
      <c r="S60" s="205"/>
      <c r="T60" s="205"/>
      <c r="U60" s="205"/>
      <c r="V60" s="211"/>
      <c r="W60" s="211"/>
      <c r="X60" s="53" t="str">
        <f t="shared" ref="X60:Z60" si="48">$B60*X27*$C60</f>
        <v>#REF!</v>
      </c>
      <c r="Y60" s="53" t="str">
        <f t="shared" si="48"/>
        <v>#REF!</v>
      </c>
      <c r="Z60" s="53" t="str">
        <f t="shared" si="48"/>
        <v>#REF!</v>
      </c>
      <c r="AA60" s="211"/>
      <c r="AB60" s="211"/>
      <c r="AC60" s="211"/>
      <c r="AD60" s="211"/>
      <c r="AE60" s="217"/>
      <c r="AF60" s="53" t="e">
        <v>#REF!</v>
      </c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07"/>
      <c r="AZ60" s="211"/>
      <c r="BA60" s="211"/>
      <c r="BB60" s="211"/>
      <c r="BC60" s="211"/>
      <c r="BD60" s="211"/>
      <c r="BE60" s="211"/>
      <c r="BF60" s="53" t="str">
        <f t="shared" ref="BF60:BL60" si="49">$AF60*BF27</f>
        <v>#REF!</v>
      </c>
      <c r="BG60" s="53" t="str">
        <f t="shared" si="49"/>
        <v>#REF!</v>
      </c>
      <c r="BH60" s="53" t="str">
        <f t="shared" si="49"/>
        <v>#REF!</v>
      </c>
      <c r="BI60" s="53" t="str">
        <f t="shared" si="49"/>
        <v>#REF!</v>
      </c>
      <c r="BJ60" s="53" t="str">
        <f t="shared" si="49"/>
        <v>#REF!</v>
      </c>
      <c r="BK60" s="53" t="str">
        <f t="shared" si="49"/>
        <v>#REF!</v>
      </c>
      <c r="BL60" s="53" t="str">
        <f t="shared" si="49"/>
        <v>#REF!</v>
      </c>
    </row>
    <row r="61" ht="15.75" customHeight="1">
      <c r="A61" s="209" t="s">
        <v>77</v>
      </c>
      <c r="B61" s="213" t="str">
        <f t="shared" ref="B61:B66" si="52">average($B$48:$B$52)*2.2+'Brand Rollout'!E26</f>
        <v>#REF!</v>
      </c>
      <c r="C61" s="214">
        <v>0.55</v>
      </c>
      <c r="D61" s="205"/>
      <c r="E61" s="205"/>
      <c r="F61" s="205"/>
      <c r="G61" s="205"/>
      <c r="H61" s="205"/>
      <c r="I61" s="205"/>
      <c r="J61" s="211"/>
      <c r="K61" s="211"/>
      <c r="L61" s="211"/>
      <c r="M61" s="211"/>
      <c r="N61" s="211"/>
      <c r="O61" s="211"/>
      <c r="P61" s="211"/>
      <c r="Q61" s="211"/>
      <c r="R61" s="211"/>
      <c r="S61" s="205"/>
      <c r="T61" s="205"/>
      <c r="U61" s="205"/>
      <c r="V61" s="211"/>
      <c r="W61" s="211"/>
      <c r="X61" s="211"/>
      <c r="Y61" s="53" t="str">
        <f t="shared" ref="Y61:AA61" si="50">$B61*Y28*$C61</f>
        <v>#REF!</v>
      </c>
      <c r="Z61" s="53" t="str">
        <f t="shared" si="50"/>
        <v>#REF!</v>
      </c>
      <c r="AA61" s="53" t="str">
        <f t="shared" si="50"/>
        <v>#REF!</v>
      </c>
      <c r="AB61" s="211"/>
      <c r="AC61" s="211"/>
      <c r="AD61" s="211"/>
      <c r="AE61" s="217"/>
      <c r="AF61" s="53" t="e">
        <v>#REF!</v>
      </c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07"/>
      <c r="AZ61" s="211"/>
      <c r="BA61" s="211"/>
      <c r="BB61" s="211"/>
      <c r="BC61" s="211"/>
      <c r="BD61" s="211"/>
      <c r="BE61" s="211"/>
      <c r="BF61" s="211"/>
      <c r="BG61" s="53" t="str">
        <f t="shared" ref="BG61:BL61" si="51">$AF61*BG28</f>
        <v>#REF!</v>
      </c>
      <c r="BH61" s="53" t="str">
        <f t="shared" si="51"/>
        <v>#REF!</v>
      </c>
      <c r="BI61" s="53" t="str">
        <f t="shared" si="51"/>
        <v>#REF!</v>
      </c>
      <c r="BJ61" s="53" t="str">
        <f t="shared" si="51"/>
        <v>#REF!</v>
      </c>
      <c r="BK61" s="53" t="str">
        <f t="shared" si="51"/>
        <v>#REF!</v>
      </c>
      <c r="BL61" s="53" t="str">
        <f t="shared" si="51"/>
        <v>#REF!</v>
      </c>
    </row>
    <row r="62" ht="15.75" customHeight="1">
      <c r="A62" s="209" t="s">
        <v>78</v>
      </c>
      <c r="B62" s="213" t="str">
        <f t="shared" si="52"/>
        <v>#REF!</v>
      </c>
      <c r="C62" s="214">
        <v>0.55</v>
      </c>
      <c r="D62" s="205"/>
      <c r="E62" s="205"/>
      <c r="F62" s="205"/>
      <c r="G62" s="205"/>
      <c r="H62" s="205"/>
      <c r="I62" s="205"/>
      <c r="J62" s="211"/>
      <c r="K62" s="211"/>
      <c r="L62" s="211"/>
      <c r="M62" s="211"/>
      <c r="N62" s="211"/>
      <c r="O62" s="211"/>
      <c r="P62" s="211"/>
      <c r="Q62" s="211"/>
      <c r="R62" s="211"/>
      <c r="S62" s="205"/>
      <c r="T62" s="205"/>
      <c r="U62" s="205"/>
      <c r="V62" s="211"/>
      <c r="W62" s="211"/>
      <c r="X62" s="211"/>
      <c r="Y62" s="211"/>
      <c r="Z62" s="53" t="str">
        <f t="shared" ref="Z62:AB62" si="53">$B62*Z29*$C62</f>
        <v>#REF!</v>
      </c>
      <c r="AA62" s="53" t="str">
        <f t="shared" si="53"/>
        <v>#REF!</v>
      </c>
      <c r="AB62" s="53" t="str">
        <f t="shared" si="53"/>
        <v>#REF!</v>
      </c>
      <c r="AC62" s="211"/>
      <c r="AD62" s="211"/>
      <c r="AE62" s="217"/>
      <c r="AF62" s="53" t="e">
        <v>#REF!</v>
      </c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53" t="str">
        <f t="shared" ref="BH62:BL62" si="54">$AF62*BH29</f>
        <v>#REF!</v>
      </c>
      <c r="BI62" s="53" t="str">
        <f t="shared" si="54"/>
        <v>#REF!</v>
      </c>
      <c r="BJ62" s="53" t="str">
        <f t="shared" si="54"/>
        <v>#REF!</v>
      </c>
      <c r="BK62" s="53" t="str">
        <f t="shared" si="54"/>
        <v>#REF!</v>
      </c>
      <c r="BL62" s="53" t="str">
        <f t="shared" si="54"/>
        <v>#REF!</v>
      </c>
    </row>
    <row r="63" ht="15.75" customHeight="1">
      <c r="A63" s="209" t="s">
        <v>79</v>
      </c>
      <c r="B63" s="213" t="str">
        <f t="shared" si="52"/>
        <v>#REF!</v>
      </c>
      <c r="C63" s="214">
        <v>0.55</v>
      </c>
      <c r="D63" s="205"/>
      <c r="E63" s="205"/>
      <c r="F63" s="205"/>
      <c r="G63" s="205"/>
      <c r="H63" s="205"/>
      <c r="I63" s="205"/>
      <c r="J63" s="211"/>
      <c r="K63" s="211"/>
      <c r="L63" s="211"/>
      <c r="M63" s="211"/>
      <c r="N63" s="211"/>
      <c r="O63" s="211"/>
      <c r="P63" s="211"/>
      <c r="Q63" s="211"/>
      <c r="R63" s="211"/>
      <c r="S63" s="205"/>
      <c r="T63" s="205"/>
      <c r="U63" s="205"/>
      <c r="V63" s="211"/>
      <c r="W63" s="211"/>
      <c r="X63" s="211"/>
      <c r="Y63" s="211"/>
      <c r="Z63" s="211"/>
      <c r="AA63" s="53" t="str">
        <f t="shared" ref="AA63:AC63" si="55">$B63*AA30*$C63</f>
        <v>#REF!</v>
      </c>
      <c r="AB63" s="53" t="str">
        <f t="shared" si="55"/>
        <v>#REF!</v>
      </c>
      <c r="AC63" s="53" t="str">
        <f t="shared" si="55"/>
        <v>#REF!</v>
      </c>
      <c r="AD63" s="211"/>
      <c r="AE63" s="217"/>
      <c r="AF63" s="53" t="e">
        <v>#REF!</v>
      </c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53" t="str">
        <f t="shared" ref="BI63:BL63" si="56">$AF63*BI30</f>
        <v>#REF!</v>
      </c>
      <c r="BJ63" s="53" t="str">
        <f t="shared" si="56"/>
        <v>#REF!</v>
      </c>
      <c r="BK63" s="53" t="str">
        <f t="shared" si="56"/>
        <v>#REF!</v>
      </c>
      <c r="BL63" s="53" t="str">
        <f t="shared" si="56"/>
        <v>#REF!</v>
      </c>
    </row>
    <row r="64" ht="15.75" customHeight="1">
      <c r="A64" s="209" t="s">
        <v>80</v>
      </c>
      <c r="B64" s="213" t="str">
        <f t="shared" si="52"/>
        <v>#REF!</v>
      </c>
      <c r="C64" s="214">
        <v>0.55</v>
      </c>
      <c r="D64" s="205"/>
      <c r="E64" s="205"/>
      <c r="F64" s="205"/>
      <c r="G64" s="205"/>
      <c r="H64" s="205"/>
      <c r="I64" s="205"/>
      <c r="J64" s="211"/>
      <c r="K64" s="211"/>
      <c r="L64" s="211"/>
      <c r="M64" s="211"/>
      <c r="N64" s="211"/>
      <c r="O64" s="211"/>
      <c r="P64" s="211"/>
      <c r="Q64" s="211"/>
      <c r="R64" s="211"/>
      <c r="S64" s="205"/>
      <c r="T64" s="205"/>
      <c r="U64" s="205"/>
      <c r="V64" s="211"/>
      <c r="W64" s="211"/>
      <c r="X64" s="211"/>
      <c r="Y64" s="211"/>
      <c r="Z64" s="211"/>
      <c r="AA64" s="211"/>
      <c r="AB64" s="53" t="str">
        <f t="shared" ref="AB64:AD64" si="57">$B64*AB31*$C64</f>
        <v>#REF!</v>
      </c>
      <c r="AC64" s="53" t="str">
        <f t="shared" si="57"/>
        <v>#REF!</v>
      </c>
      <c r="AD64" s="53" t="str">
        <f t="shared" si="57"/>
        <v>#REF!</v>
      </c>
      <c r="AE64" s="217"/>
      <c r="AF64" s="53" t="e">
        <v>#REF!</v>
      </c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53" t="str">
        <f t="shared" ref="BJ64:BL64" si="58">$AF64*BJ31</f>
        <v>#REF!</v>
      </c>
      <c r="BK64" s="53" t="str">
        <f t="shared" si="58"/>
        <v>#REF!</v>
      </c>
      <c r="BL64" s="53" t="str">
        <f t="shared" si="58"/>
        <v>#REF!</v>
      </c>
    </row>
    <row r="65" ht="15.75" customHeight="1">
      <c r="A65" s="209" t="s">
        <v>81</v>
      </c>
      <c r="B65" s="213" t="str">
        <f t="shared" si="52"/>
        <v>#REF!</v>
      </c>
      <c r="C65" s="214">
        <v>0.55</v>
      </c>
      <c r="D65" s="205"/>
      <c r="E65" s="205"/>
      <c r="F65" s="205"/>
      <c r="G65" s="205"/>
      <c r="H65" s="205"/>
      <c r="I65" s="205"/>
      <c r="J65" s="211"/>
      <c r="K65" s="211"/>
      <c r="L65" s="211"/>
      <c r="M65" s="211"/>
      <c r="N65" s="211"/>
      <c r="O65" s="211"/>
      <c r="P65" s="211"/>
      <c r="Q65" s="211"/>
      <c r="R65" s="211"/>
      <c r="S65" s="205"/>
      <c r="T65" s="205"/>
      <c r="U65" s="205"/>
      <c r="V65" s="211"/>
      <c r="W65" s="211"/>
      <c r="X65" s="211"/>
      <c r="Y65" s="211"/>
      <c r="Z65" s="211"/>
      <c r="AA65" s="211"/>
      <c r="AB65" s="211"/>
      <c r="AC65" s="53" t="str">
        <f t="shared" ref="AC65:AD65" si="59">$B65*AC32*$C65</f>
        <v>#REF!</v>
      </c>
      <c r="AD65" s="53" t="str">
        <f t="shared" si="59"/>
        <v>#REF!</v>
      </c>
      <c r="AE65" s="217"/>
      <c r="AF65" s="53" t="e">
        <v>#REF!</v>
      </c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53" t="str">
        <f t="shared" ref="BK65:BL65" si="60">$AF65*BK32</f>
        <v>#REF!</v>
      </c>
      <c r="BL65" s="53" t="str">
        <f t="shared" si="60"/>
        <v>#REF!</v>
      </c>
    </row>
    <row r="66" ht="15.75" customHeight="1">
      <c r="A66" s="209" t="s">
        <v>82</v>
      </c>
      <c r="B66" s="213" t="str">
        <f t="shared" si="52"/>
        <v>#REF!</v>
      </c>
      <c r="C66" s="214">
        <v>0.55</v>
      </c>
      <c r="D66" s="205"/>
      <c r="E66" s="205"/>
      <c r="F66" s="219"/>
      <c r="G66" s="219"/>
      <c r="H66" s="219"/>
      <c r="I66" s="219"/>
      <c r="J66" s="220"/>
      <c r="K66" s="220"/>
      <c r="L66" s="220"/>
      <c r="M66" s="220"/>
      <c r="N66" s="220"/>
      <c r="O66" s="221"/>
      <c r="P66" s="221"/>
      <c r="Q66" s="221"/>
      <c r="R66" s="221"/>
      <c r="S66" s="205"/>
      <c r="T66" s="205"/>
      <c r="U66" s="205"/>
      <c r="V66" s="211"/>
      <c r="W66" s="211"/>
      <c r="X66" s="211"/>
      <c r="Y66" s="211"/>
      <c r="Z66" s="211"/>
      <c r="AA66" s="211"/>
      <c r="AB66" s="211"/>
      <c r="AC66" s="211"/>
      <c r="AD66" s="53" t="str">
        <f>$B66*AD33*$C66</f>
        <v>#REF!</v>
      </c>
      <c r="AE66" s="222"/>
      <c r="AF66" s="53" t="e">
        <v>#REF!</v>
      </c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3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53" t="str">
        <f>$AF66*BL33</f>
        <v>#REF!</v>
      </c>
    </row>
    <row r="67" ht="15.75" customHeight="1">
      <c r="A67" s="224" t="s">
        <v>171</v>
      </c>
      <c r="B67" s="225"/>
      <c r="C67" s="225"/>
      <c r="D67" s="118">
        <f t="shared" ref="D67:AD67" si="61">sum(D39:D66)</f>
        <v>11.80047059</v>
      </c>
      <c r="E67" s="118">
        <f t="shared" si="61"/>
        <v>10.45647059</v>
      </c>
      <c r="F67" s="118">
        <f t="shared" si="61"/>
        <v>10.56207059</v>
      </c>
      <c r="G67" s="118">
        <f t="shared" si="61"/>
        <v>14.51454118</v>
      </c>
      <c r="H67" s="118">
        <f t="shared" si="61"/>
        <v>11.00607059</v>
      </c>
      <c r="I67" s="118">
        <f t="shared" si="61"/>
        <v>11.46105882</v>
      </c>
      <c r="J67" s="118">
        <f t="shared" si="61"/>
        <v>9.376188235</v>
      </c>
      <c r="K67" s="118">
        <f t="shared" si="61"/>
        <v>8.504847059</v>
      </c>
      <c r="L67" s="118">
        <f t="shared" si="61"/>
        <v>7.767905882</v>
      </c>
      <c r="M67" s="118">
        <f t="shared" si="61"/>
        <v>11.53435294</v>
      </c>
      <c r="N67" s="118">
        <f t="shared" si="61"/>
        <v>11.9568</v>
      </c>
      <c r="O67" s="118">
        <f t="shared" si="61"/>
        <v>12</v>
      </c>
      <c r="P67" s="118">
        <f t="shared" si="61"/>
        <v>15.115</v>
      </c>
      <c r="Q67" s="118" t="str">
        <f t="shared" si="61"/>
        <v>#REF!</v>
      </c>
      <c r="R67" s="118" t="str">
        <f t="shared" si="61"/>
        <v>#REF!</v>
      </c>
      <c r="S67" s="118" t="str">
        <f t="shared" si="61"/>
        <v>#REF!</v>
      </c>
      <c r="T67" s="118" t="str">
        <f t="shared" si="61"/>
        <v>#REF!</v>
      </c>
      <c r="U67" s="118" t="str">
        <f t="shared" si="61"/>
        <v>#REF!</v>
      </c>
      <c r="V67" s="118" t="str">
        <f t="shared" si="61"/>
        <v>#REF!</v>
      </c>
      <c r="W67" s="118" t="str">
        <f t="shared" si="61"/>
        <v>#REF!</v>
      </c>
      <c r="X67" s="118" t="str">
        <f t="shared" si="61"/>
        <v>#REF!</v>
      </c>
      <c r="Y67" s="118" t="str">
        <f t="shared" si="61"/>
        <v>#REF!</v>
      </c>
      <c r="Z67" s="118" t="str">
        <f t="shared" si="61"/>
        <v>#REF!</v>
      </c>
      <c r="AA67" s="118" t="str">
        <f t="shared" si="61"/>
        <v>#REF!</v>
      </c>
      <c r="AB67" s="118" t="str">
        <f t="shared" si="61"/>
        <v>#REF!</v>
      </c>
      <c r="AC67" s="118" t="str">
        <f t="shared" si="61"/>
        <v>#REF!</v>
      </c>
      <c r="AD67" s="118" t="str">
        <f t="shared" si="61"/>
        <v>#REF!</v>
      </c>
      <c r="AE67" s="226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7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9"/>
    </row>
    <row r="68" ht="15.75" customHeight="1">
      <c r="A68" s="230" t="s">
        <v>172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2"/>
      <c r="AF68" s="231"/>
      <c r="AG68" s="60">
        <f t="shared" ref="AG68:BL68" si="62">sum(AG35:AG66)</f>
        <v>0</v>
      </c>
      <c r="AH68" s="60">
        <f t="shared" si="62"/>
        <v>0</v>
      </c>
      <c r="AI68" s="60">
        <f t="shared" si="62"/>
        <v>0</v>
      </c>
      <c r="AJ68" s="60">
        <f t="shared" si="62"/>
        <v>0</v>
      </c>
      <c r="AK68" s="60">
        <f t="shared" si="62"/>
        <v>0</v>
      </c>
      <c r="AL68" s="60">
        <f t="shared" si="62"/>
        <v>1.652065882</v>
      </c>
      <c r="AM68" s="60">
        <f t="shared" si="62"/>
        <v>5.358061176</v>
      </c>
      <c r="AN68" s="60">
        <f t="shared" si="62"/>
        <v>7.879442824</v>
      </c>
      <c r="AO68" s="60">
        <f t="shared" si="62"/>
        <v>9.901707294</v>
      </c>
      <c r="AP68" s="60">
        <f t="shared" si="62"/>
        <v>11.36566965</v>
      </c>
      <c r="AQ68" s="60">
        <f t="shared" si="62"/>
        <v>11.65346918</v>
      </c>
      <c r="AR68" s="60">
        <f t="shared" si="62"/>
        <v>11.41712776</v>
      </c>
      <c r="AS68" s="60">
        <f t="shared" si="62"/>
        <v>10.44862612</v>
      </c>
      <c r="AT68" s="60">
        <f t="shared" si="62"/>
        <v>9.519560235</v>
      </c>
      <c r="AU68" s="60">
        <f t="shared" si="62"/>
        <v>9.243666118</v>
      </c>
      <c r="AV68" s="60">
        <f t="shared" si="62"/>
        <v>10.03288894</v>
      </c>
      <c r="AW68" s="60">
        <f t="shared" si="62"/>
        <v>10.87412612</v>
      </c>
      <c r="AX68" s="60">
        <f t="shared" si="62"/>
        <v>11.866924</v>
      </c>
      <c r="AY68" s="60" t="str">
        <f t="shared" si="62"/>
        <v>#REF!</v>
      </c>
      <c r="AZ68" s="60" t="str">
        <f t="shared" si="62"/>
        <v>#REF!</v>
      </c>
      <c r="BA68" s="60" t="str">
        <f t="shared" si="62"/>
        <v>#REF!</v>
      </c>
      <c r="BB68" s="60" t="str">
        <f t="shared" si="62"/>
        <v>#REF!</v>
      </c>
      <c r="BC68" s="60" t="str">
        <f t="shared" si="62"/>
        <v>#REF!</v>
      </c>
      <c r="BD68" s="60" t="str">
        <f t="shared" si="62"/>
        <v>#REF!</v>
      </c>
      <c r="BE68" s="60" t="str">
        <f t="shared" si="62"/>
        <v>#REF!</v>
      </c>
      <c r="BF68" s="60" t="str">
        <f t="shared" si="62"/>
        <v>#REF!</v>
      </c>
      <c r="BG68" s="60" t="str">
        <f t="shared" si="62"/>
        <v>#REF!</v>
      </c>
      <c r="BH68" s="60" t="str">
        <f t="shared" si="62"/>
        <v>#REF!</v>
      </c>
      <c r="BI68" s="60" t="str">
        <f t="shared" si="62"/>
        <v>#REF!</v>
      </c>
      <c r="BJ68" s="60" t="str">
        <f t="shared" si="62"/>
        <v>#REF!</v>
      </c>
      <c r="BK68" s="60" t="str">
        <f t="shared" si="62"/>
        <v>#REF!</v>
      </c>
      <c r="BL68" s="60" t="str">
        <f t="shared" si="62"/>
        <v>#REF!</v>
      </c>
    </row>
    <row r="69" ht="15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233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234">
        <v>11.0</v>
      </c>
      <c r="AX69" s="234">
        <v>12.0</v>
      </c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</row>
    <row r="70" ht="15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233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</row>
    <row r="71" ht="15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233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</row>
    <row r="72" ht="15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23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233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</row>
    <row r="73" ht="15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23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233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</row>
    <row r="74" ht="15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23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233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233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233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</row>
    <row r="77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233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</row>
    <row r="78" ht="15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233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</row>
    <row r="79" ht="15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233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</row>
    <row r="80" ht="15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233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</row>
    <row r="81" ht="15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233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</row>
    <row r="82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233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</row>
    <row r="83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233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</row>
    <row r="84" ht="15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233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</row>
    <row r="85" ht="15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233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</row>
    <row r="86" ht="15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233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</row>
    <row r="87" ht="15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233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</row>
    <row r="88" ht="15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233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</row>
    <row r="89" ht="15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233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</row>
    <row r="90" ht="15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233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</row>
    <row r="91" ht="15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233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</row>
    <row r="92" ht="15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233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</row>
    <row r="93" ht="15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233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</row>
    <row r="94" ht="15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233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</row>
    <row r="95" ht="15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233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</row>
    <row r="96" ht="15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233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</row>
    <row r="97" ht="15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233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</row>
    <row r="98" ht="15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233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</row>
    <row r="99" ht="15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233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</row>
    <row r="100" ht="15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233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</row>
    <row r="101" ht="15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233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</row>
    <row r="102" ht="15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233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</row>
    <row r="103" ht="15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233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</row>
    <row r="104" ht="15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233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</row>
    <row r="105" ht="15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233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</row>
    <row r="106" ht="15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233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</row>
    <row r="107" ht="15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233"/>
      <c r="AF107" s="185"/>
      <c r="AG107" s="185"/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</row>
    <row r="108" ht="15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233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</row>
    <row r="109" ht="15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233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</row>
    <row r="110" ht="15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233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</row>
    <row r="111" ht="15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233"/>
      <c r="AF111" s="185"/>
      <c r="AG111" s="185"/>
      <c r="AH111" s="185"/>
      <c r="AI111" s="185"/>
      <c r="AJ111" s="185"/>
      <c r="AK111" s="185"/>
      <c r="AL111" s="185"/>
      <c r="AM111" s="185"/>
      <c r="AN111" s="185"/>
      <c r="AO111" s="185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</row>
    <row r="112" ht="15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233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</row>
    <row r="113" ht="15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233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</row>
    <row r="114" ht="15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233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</row>
    <row r="115" ht="15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233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185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</row>
    <row r="116" ht="15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233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</row>
    <row r="117" ht="15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233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185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</row>
    <row r="118" ht="15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233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185"/>
      <c r="BI118" s="185"/>
      <c r="BJ118" s="185"/>
      <c r="BK118" s="185"/>
      <c r="BL118" s="185"/>
    </row>
    <row r="119" ht="15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233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5"/>
      <c r="BL119" s="185"/>
    </row>
    <row r="120" ht="15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233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  <c r="BK120" s="185"/>
      <c r="BL120" s="185"/>
    </row>
    <row r="121" ht="15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233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</row>
    <row r="122" ht="15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233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  <c r="BH122" s="185"/>
      <c r="BI122" s="185"/>
      <c r="BJ122" s="185"/>
      <c r="BK122" s="185"/>
      <c r="BL122" s="185"/>
    </row>
    <row r="123" ht="15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233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</row>
    <row r="124" ht="15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233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  <c r="BH124" s="185"/>
      <c r="BI124" s="185"/>
      <c r="BJ124" s="185"/>
      <c r="BK124" s="185"/>
      <c r="BL124" s="185"/>
    </row>
    <row r="125" ht="15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233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</row>
    <row r="126" ht="15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233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</row>
    <row r="127" ht="15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233"/>
      <c r="AF127" s="185"/>
      <c r="AG127" s="185"/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5"/>
    </row>
    <row r="128" ht="15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233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  <c r="BD128" s="185"/>
      <c r="BE128" s="185"/>
      <c r="BF128" s="185"/>
      <c r="BG128" s="185"/>
      <c r="BH128" s="185"/>
      <c r="BI128" s="185"/>
      <c r="BJ128" s="185"/>
      <c r="BK128" s="185"/>
      <c r="BL128" s="185"/>
    </row>
    <row r="129" ht="15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233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5"/>
      <c r="BF129" s="185"/>
      <c r="BG129" s="185"/>
      <c r="BH129" s="185"/>
      <c r="BI129" s="185"/>
      <c r="BJ129" s="185"/>
      <c r="BK129" s="185"/>
      <c r="BL129" s="185"/>
    </row>
    <row r="130" ht="15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233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233"/>
      <c r="AF131" s="185"/>
      <c r="AG131" s="185"/>
      <c r="AH131" s="185"/>
      <c r="AI131" s="185"/>
      <c r="AJ131" s="185"/>
      <c r="AK131" s="185"/>
      <c r="AL131" s="185"/>
      <c r="AM131" s="185"/>
      <c r="AN131" s="185"/>
      <c r="AO131" s="185"/>
      <c r="AP131" s="185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  <c r="BA131" s="185"/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233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  <c r="AP132" s="185"/>
      <c r="AQ132" s="185"/>
      <c r="AR132" s="185"/>
      <c r="AS132" s="185"/>
      <c r="AT132" s="185"/>
      <c r="AU132" s="185"/>
      <c r="AV132" s="185"/>
      <c r="AW132" s="185"/>
      <c r="AX132" s="185"/>
      <c r="AY132" s="185"/>
      <c r="AZ132" s="185"/>
      <c r="BA132" s="185"/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233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233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233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233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5"/>
      <c r="AP136" s="185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233"/>
      <c r="AF137" s="185"/>
      <c r="AG137" s="185"/>
      <c r="AH137" s="185"/>
      <c r="AI137" s="185"/>
      <c r="AJ137" s="185"/>
      <c r="AK137" s="185"/>
      <c r="AL137" s="185"/>
      <c r="AM137" s="185"/>
      <c r="AN137" s="185"/>
      <c r="AO137" s="185"/>
      <c r="AP137" s="185"/>
      <c r="AQ137" s="185"/>
      <c r="AR137" s="185"/>
      <c r="AS137" s="185"/>
      <c r="AT137" s="185"/>
      <c r="AU137" s="185"/>
      <c r="AV137" s="185"/>
      <c r="AW137" s="185"/>
      <c r="AX137" s="185"/>
      <c r="AY137" s="185"/>
      <c r="AZ137" s="185"/>
      <c r="BA137" s="185"/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233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/>
      <c r="AT138" s="185"/>
      <c r="AU138" s="185"/>
      <c r="AV138" s="185"/>
      <c r="AW138" s="185"/>
      <c r="AX138" s="185"/>
      <c r="AY138" s="185"/>
      <c r="AZ138" s="185"/>
      <c r="BA138" s="185"/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233"/>
      <c r="AF139" s="185"/>
      <c r="AG139" s="185"/>
      <c r="AH139" s="185"/>
      <c r="AI139" s="185"/>
      <c r="AJ139" s="185"/>
      <c r="AK139" s="185"/>
      <c r="AL139" s="185"/>
      <c r="AM139" s="185"/>
      <c r="AN139" s="185"/>
      <c r="AO139" s="185"/>
      <c r="AP139" s="185"/>
      <c r="AQ139" s="185"/>
      <c r="AR139" s="185"/>
      <c r="AS139" s="185"/>
      <c r="AT139" s="185"/>
      <c r="AU139" s="185"/>
      <c r="AV139" s="185"/>
      <c r="AW139" s="185"/>
      <c r="AX139" s="185"/>
      <c r="AY139" s="185"/>
      <c r="AZ139" s="185"/>
      <c r="BA139" s="185"/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233"/>
      <c r="AF140" s="185"/>
      <c r="AG140" s="185"/>
      <c r="AH140" s="185"/>
      <c r="AI140" s="185"/>
      <c r="AJ140" s="185"/>
      <c r="AK140" s="185"/>
      <c r="AL140" s="185"/>
      <c r="AM140" s="185"/>
      <c r="AN140" s="185"/>
      <c r="AO140" s="185"/>
      <c r="AP140" s="185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233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233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233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  <c r="AP143" s="185"/>
      <c r="AQ143" s="185"/>
      <c r="AR143" s="185"/>
      <c r="AS143" s="185"/>
      <c r="AT143" s="185"/>
      <c r="AU143" s="185"/>
      <c r="AV143" s="185"/>
      <c r="AW143" s="185"/>
      <c r="AX143" s="185"/>
      <c r="AY143" s="185"/>
      <c r="AZ143" s="185"/>
      <c r="BA143" s="185"/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233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  <c r="AP144" s="185"/>
      <c r="AQ144" s="185"/>
      <c r="AR144" s="185"/>
      <c r="AS144" s="185"/>
      <c r="AT144" s="185"/>
      <c r="AU144" s="185"/>
      <c r="AV144" s="185"/>
      <c r="AW144" s="185"/>
      <c r="AX144" s="185"/>
      <c r="AY144" s="185"/>
      <c r="AZ144" s="185"/>
      <c r="BA144" s="185"/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233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/>
      <c r="AT145" s="185"/>
      <c r="AU145" s="185"/>
      <c r="AV145" s="185"/>
      <c r="AW145" s="185"/>
      <c r="AX145" s="185"/>
      <c r="AY145" s="185"/>
      <c r="AZ145" s="185"/>
      <c r="BA145" s="185"/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233"/>
      <c r="AF146" s="185"/>
      <c r="AG146" s="185"/>
      <c r="AH146" s="185"/>
      <c r="AI146" s="185"/>
      <c r="AJ146" s="185"/>
      <c r="AK146" s="185"/>
      <c r="AL146" s="185"/>
      <c r="AM146" s="185"/>
      <c r="AN146" s="185"/>
      <c r="AO146" s="185"/>
      <c r="AP146" s="185"/>
      <c r="AQ146" s="185"/>
      <c r="AR146" s="185"/>
      <c r="AS146" s="185"/>
      <c r="AT146" s="185"/>
      <c r="AU146" s="185"/>
      <c r="AV146" s="185"/>
      <c r="AW146" s="185"/>
      <c r="AX146" s="185"/>
      <c r="AY146" s="185"/>
      <c r="AZ146" s="185"/>
      <c r="BA146" s="185"/>
      <c r="BB146" s="185"/>
      <c r="BC146" s="185"/>
      <c r="BD146" s="185"/>
      <c r="BE146" s="185"/>
      <c r="BF146" s="185"/>
      <c r="BG146" s="185"/>
      <c r="BH146" s="185"/>
      <c r="BI146" s="185"/>
      <c r="BJ146" s="185"/>
      <c r="BK146" s="185"/>
      <c r="BL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233"/>
      <c r="AF147" s="185"/>
      <c r="AG147" s="185"/>
      <c r="AH147" s="185"/>
      <c r="AI147" s="185"/>
      <c r="AJ147" s="185"/>
      <c r="AK147" s="185"/>
      <c r="AL147" s="185"/>
      <c r="AM147" s="185"/>
      <c r="AN147" s="185"/>
      <c r="AO147" s="185"/>
      <c r="AP147" s="185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  <c r="BA147" s="185"/>
      <c r="BB147" s="185"/>
      <c r="BC147" s="185"/>
      <c r="BD147" s="185"/>
      <c r="BE147" s="185"/>
      <c r="BF147" s="185"/>
      <c r="BG147" s="185"/>
      <c r="BH147" s="185"/>
      <c r="BI147" s="185"/>
      <c r="BJ147" s="185"/>
      <c r="BK147" s="185"/>
      <c r="BL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233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  <c r="AP148" s="185"/>
      <c r="AQ148" s="185"/>
      <c r="AR148" s="185"/>
      <c r="AS148" s="185"/>
      <c r="AT148" s="185"/>
      <c r="AU148" s="185"/>
      <c r="AV148" s="185"/>
      <c r="AW148" s="185"/>
      <c r="AX148" s="185"/>
      <c r="AY148" s="185"/>
      <c r="AZ148" s="185"/>
      <c r="BA148" s="185"/>
      <c r="BB148" s="185"/>
      <c r="BC148" s="185"/>
      <c r="BD148" s="185"/>
      <c r="BE148" s="185"/>
      <c r="BF148" s="185"/>
      <c r="BG148" s="185"/>
      <c r="BH148" s="185"/>
      <c r="BI148" s="185"/>
      <c r="BJ148" s="185"/>
      <c r="BK148" s="185"/>
      <c r="BL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233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185"/>
      <c r="BD149" s="185"/>
      <c r="BE149" s="185"/>
      <c r="BF149" s="185"/>
      <c r="BG149" s="185"/>
      <c r="BH149" s="185"/>
      <c r="BI149" s="185"/>
      <c r="BJ149" s="185"/>
      <c r="BK149" s="185"/>
      <c r="BL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233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185"/>
      <c r="BE150" s="185"/>
      <c r="BF150" s="185"/>
      <c r="BG150" s="185"/>
      <c r="BH150" s="185"/>
      <c r="BI150" s="185"/>
      <c r="BJ150" s="185"/>
      <c r="BK150" s="185"/>
      <c r="BL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233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5"/>
      <c r="BF151" s="185"/>
      <c r="BG151" s="185"/>
      <c r="BH151" s="185"/>
      <c r="BI151" s="185"/>
      <c r="BJ151" s="185"/>
      <c r="BK151" s="185"/>
      <c r="BL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233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185"/>
      <c r="BE152" s="185"/>
      <c r="BF152" s="185"/>
      <c r="BG152" s="185"/>
      <c r="BH152" s="185"/>
      <c r="BI152" s="185"/>
      <c r="BJ152" s="185"/>
      <c r="BK152" s="185"/>
      <c r="BL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233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185"/>
      <c r="BE153" s="185"/>
      <c r="BF153" s="185"/>
      <c r="BG153" s="185"/>
      <c r="BH153" s="185"/>
      <c r="BI153" s="185"/>
      <c r="BJ153" s="185"/>
      <c r="BK153" s="185"/>
      <c r="BL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233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185"/>
      <c r="BE154" s="185"/>
      <c r="BF154" s="185"/>
      <c r="BG154" s="185"/>
      <c r="BH154" s="185"/>
      <c r="BI154" s="185"/>
      <c r="BJ154" s="185"/>
      <c r="BK154" s="185"/>
      <c r="BL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233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185"/>
      <c r="BE155" s="185"/>
      <c r="BF155" s="185"/>
      <c r="BG155" s="185"/>
      <c r="BH155" s="185"/>
      <c r="BI155" s="185"/>
      <c r="BJ155" s="185"/>
      <c r="BK155" s="185"/>
      <c r="BL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233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233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185"/>
      <c r="BE157" s="185"/>
      <c r="BF157" s="185"/>
      <c r="BG157" s="185"/>
      <c r="BH157" s="185"/>
      <c r="BI157" s="185"/>
      <c r="BJ157" s="185"/>
      <c r="BK157" s="185"/>
      <c r="BL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233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185"/>
      <c r="BE158" s="185"/>
      <c r="BF158" s="185"/>
      <c r="BG158" s="185"/>
      <c r="BH158" s="185"/>
      <c r="BI158" s="185"/>
      <c r="BJ158" s="185"/>
      <c r="BK158" s="185"/>
      <c r="BL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233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185"/>
      <c r="BE159" s="185"/>
      <c r="BF159" s="185"/>
      <c r="BG159" s="185"/>
      <c r="BH159" s="185"/>
      <c r="BI159" s="185"/>
      <c r="BJ159" s="185"/>
      <c r="BK159" s="185"/>
      <c r="BL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233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185"/>
      <c r="BE160" s="185"/>
      <c r="BF160" s="185"/>
      <c r="BG160" s="185"/>
      <c r="BH160" s="185"/>
      <c r="BI160" s="185"/>
      <c r="BJ160" s="185"/>
      <c r="BK160" s="185"/>
      <c r="BL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233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5"/>
      <c r="BF161" s="185"/>
      <c r="BG161" s="185"/>
      <c r="BH161" s="185"/>
      <c r="BI161" s="185"/>
      <c r="BJ161" s="185"/>
      <c r="BK161" s="185"/>
      <c r="BL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233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233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233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233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233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233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233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233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233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233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233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233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233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233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233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233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233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185"/>
      <c r="BE178" s="185"/>
      <c r="BF178" s="185"/>
      <c r="BG178" s="185"/>
      <c r="BH178" s="185"/>
      <c r="BI178" s="185"/>
      <c r="BJ178" s="185"/>
      <c r="BK178" s="185"/>
      <c r="BL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233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185"/>
      <c r="BI179" s="185"/>
      <c r="BJ179" s="185"/>
      <c r="BK179" s="185"/>
      <c r="BL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233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185"/>
      <c r="BI180" s="185"/>
      <c r="BJ180" s="185"/>
      <c r="BK180" s="185"/>
      <c r="BL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233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5"/>
      <c r="BF181" s="185"/>
      <c r="BG181" s="185"/>
      <c r="BH181" s="185"/>
      <c r="BI181" s="185"/>
      <c r="BJ181" s="185"/>
      <c r="BK181" s="185"/>
      <c r="BL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233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185"/>
      <c r="BI182" s="185"/>
      <c r="BJ182" s="185"/>
      <c r="BK182" s="185"/>
      <c r="BL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233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185"/>
      <c r="BI183" s="185"/>
      <c r="BJ183" s="185"/>
      <c r="BK183" s="185"/>
      <c r="BL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233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185"/>
      <c r="BI184" s="185"/>
      <c r="BJ184" s="185"/>
      <c r="BK184" s="185"/>
      <c r="BL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233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233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233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185"/>
      <c r="BE187" s="185"/>
      <c r="BF187" s="185"/>
      <c r="BG187" s="185"/>
      <c r="BH187" s="185"/>
      <c r="BI187" s="185"/>
      <c r="BJ187" s="185"/>
      <c r="BK187" s="185"/>
      <c r="BL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233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185"/>
      <c r="BE188" s="185"/>
      <c r="BF188" s="185"/>
      <c r="BG188" s="185"/>
      <c r="BH188" s="185"/>
      <c r="BI188" s="185"/>
      <c r="BJ188" s="185"/>
      <c r="BK188" s="185"/>
      <c r="BL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233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185"/>
      <c r="BE189" s="185"/>
      <c r="BF189" s="185"/>
      <c r="BG189" s="185"/>
      <c r="BH189" s="185"/>
      <c r="BI189" s="185"/>
      <c r="BJ189" s="185"/>
      <c r="BK189" s="185"/>
      <c r="BL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233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185"/>
      <c r="BE190" s="185"/>
      <c r="BF190" s="185"/>
      <c r="BG190" s="185"/>
      <c r="BH190" s="185"/>
      <c r="BI190" s="185"/>
      <c r="BJ190" s="185"/>
      <c r="BK190" s="185"/>
      <c r="BL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233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5"/>
      <c r="BF191" s="185"/>
      <c r="BG191" s="185"/>
      <c r="BH191" s="185"/>
      <c r="BI191" s="185"/>
      <c r="BJ191" s="185"/>
      <c r="BK191" s="185"/>
      <c r="BL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233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185"/>
      <c r="BE192" s="185"/>
      <c r="BF192" s="185"/>
      <c r="BG192" s="185"/>
      <c r="BH192" s="185"/>
      <c r="BI192" s="185"/>
      <c r="BJ192" s="185"/>
      <c r="BK192" s="185"/>
      <c r="BL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233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185"/>
      <c r="BE193" s="185"/>
      <c r="BF193" s="185"/>
      <c r="BG193" s="185"/>
      <c r="BH193" s="185"/>
      <c r="BI193" s="185"/>
      <c r="BJ193" s="185"/>
      <c r="BK193" s="185"/>
      <c r="BL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233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233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233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233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233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233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233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</row>
    <row r="201" ht="15.7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233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185"/>
      <c r="BE201" s="185"/>
      <c r="BF201" s="185"/>
      <c r="BG201" s="185"/>
      <c r="BH201" s="185"/>
      <c r="BI201" s="185"/>
      <c r="BJ201" s="185"/>
      <c r="BK201" s="185"/>
      <c r="BL201" s="185"/>
    </row>
    <row r="202" ht="15.7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233"/>
      <c r="AF202" s="185"/>
      <c r="AG202" s="185"/>
      <c r="AH202" s="185"/>
      <c r="AI202" s="185"/>
      <c r="AJ202" s="185"/>
      <c r="AK202" s="185"/>
      <c r="AL202" s="185"/>
      <c r="AM202" s="185"/>
      <c r="AN202" s="185"/>
      <c r="AO202" s="185"/>
      <c r="AP202" s="185"/>
      <c r="AQ202" s="185"/>
      <c r="AR202" s="185"/>
      <c r="AS202" s="185"/>
      <c r="AT202" s="185"/>
      <c r="AU202" s="185"/>
      <c r="AV202" s="185"/>
      <c r="AW202" s="185"/>
      <c r="AX202" s="185"/>
      <c r="AY202" s="185"/>
      <c r="AZ202" s="185"/>
      <c r="BA202" s="185"/>
      <c r="BB202" s="185"/>
      <c r="BC202" s="185"/>
      <c r="BD202" s="185"/>
      <c r="BE202" s="185"/>
      <c r="BF202" s="185"/>
      <c r="BG202" s="185"/>
      <c r="BH202" s="185"/>
      <c r="BI202" s="185"/>
      <c r="BJ202" s="185"/>
      <c r="BK202" s="185"/>
      <c r="BL202" s="185"/>
    </row>
    <row r="203" ht="15.7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233"/>
      <c r="AF203" s="185"/>
      <c r="AG203" s="185"/>
      <c r="AH203" s="185"/>
      <c r="AI203" s="185"/>
      <c r="AJ203" s="185"/>
      <c r="AK203" s="185"/>
      <c r="AL203" s="185"/>
      <c r="AM203" s="185"/>
      <c r="AN203" s="185"/>
      <c r="AO203" s="185"/>
      <c r="AP203" s="185"/>
      <c r="AQ203" s="185"/>
      <c r="AR203" s="185"/>
      <c r="AS203" s="185"/>
      <c r="AT203" s="185"/>
      <c r="AU203" s="185"/>
      <c r="AV203" s="185"/>
      <c r="AW203" s="185"/>
      <c r="AX203" s="185"/>
      <c r="AY203" s="185"/>
      <c r="AZ203" s="185"/>
      <c r="BA203" s="185"/>
      <c r="BB203" s="185"/>
      <c r="BC203" s="185"/>
      <c r="BD203" s="185"/>
      <c r="BE203" s="185"/>
      <c r="BF203" s="185"/>
      <c r="BG203" s="185"/>
      <c r="BH203" s="185"/>
      <c r="BI203" s="185"/>
      <c r="BJ203" s="185"/>
      <c r="BK203" s="185"/>
      <c r="BL203" s="185"/>
    </row>
    <row r="204" ht="15.7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233"/>
      <c r="AF204" s="185"/>
      <c r="AG204" s="185"/>
      <c r="AH204" s="185"/>
      <c r="AI204" s="185"/>
      <c r="AJ204" s="185"/>
      <c r="AK204" s="185"/>
      <c r="AL204" s="185"/>
      <c r="AM204" s="185"/>
      <c r="AN204" s="185"/>
      <c r="AO204" s="185"/>
      <c r="AP204" s="185"/>
      <c r="AQ204" s="185"/>
      <c r="AR204" s="185"/>
      <c r="AS204" s="185"/>
      <c r="AT204" s="185"/>
      <c r="AU204" s="185"/>
      <c r="AV204" s="185"/>
      <c r="AW204" s="185"/>
      <c r="AX204" s="185"/>
      <c r="AY204" s="185"/>
      <c r="AZ204" s="185"/>
      <c r="BA204" s="185"/>
      <c r="BB204" s="185"/>
      <c r="BC204" s="185"/>
      <c r="BD204" s="185"/>
      <c r="BE204" s="185"/>
      <c r="BF204" s="185"/>
      <c r="BG204" s="185"/>
      <c r="BH204" s="185"/>
      <c r="BI204" s="185"/>
      <c r="BJ204" s="185"/>
      <c r="BK204" s="185"/>
      <c r="BL204" s="185"/>
    </row>
    <row r="205" ht="15.7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233"/>
      <c r="AF205" s="185"/>
      <c r="AG205" s="185"/>
      <c r="AH205" s="185"/>
      <c r="AI205" s="185"/>
      <c r="AJ205" s="185"/>
      <c r="AK205" s="185"/>
      <c r="AL205" s="185"/>
      <c r="AM205" s="185"/>
      <c r="AN205" s="185"/>
      <c r="AO205" s="185"/>
      <c r="AP205" s="185"/>
      <c r="AQ205" s="185"/>
      <c r="AR205" s="185"/>
      <c r="AS205" s="185"/>
      <c r="AT205" s="185"/>
      <c r="AU205" s="185"/>
      <c r="AV205" s="185"/>
      <c r="AW205" s="185"/>
      <c r="AX205" s="185"/>
      <c r="AY205" s="185"/>
      <c r="AZ205" s="185"/>
      <c r="BA205" s="185"/>
      <c r="BB205" s="185"/>
      <c r="BC205" s="185"/>
      <c r="BD205" s="185"/>
      <c r="BE205" s="185"/>
      <c r="BF205" s="185"/>
      <c r="BG205" s="185"/>
      <c r="BH205" s="185"/>
      <c r="BI205" s="185"/>
      <c r="BJ205" s="185"/>
      <c r="BK205" s="185"/>
      <c r="BL205" s="185"/>
    </row>
    <row r="206" ht="15.7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233"/>
      <c r="AF206" s="185"/>
      <c r="AG206" s="185"/>
      <c r="AH206" s="185"/>
      <c r="AI206" s="185"/>
      <c r="AJ206" s="185"/>
      <c r="AK206" s="185"/>
      <c r="AL206" s="185"/>
      <c r="AM206" s="185"/>
      <c r="AN206" s="185"/>
      <c r="AO206" s="185"/>
      <c r="AP206" s="185"/>
      <c r="AQ206" s="185"/>
      <c r="AR206" s="185"/>
      <c r="AS206" s="185"/>
      <c r="AT206" s="185"/>
      <c r="AU206" s="185"/>
      <c r="AV206" s="185"/>
      <c r="AW206" s="185"/>
      <c r="AX206" s="185"/>
      <c r="AY206" s="185"/>
      <c r="AZ206" s="185"/>
      <c r="BA206" s="185"/>
      <c r="BB206" s="185"/>
      <c r="BC206" s="185"/>
      <c r="BD206" s="185"/>
      <c r="BE206" s="185"/>
      <c r="BF206" s="185"/>
      <c r="BG206" s="185"/>
      <c r="BH206" s="185"/>
      <c r="BI206" s="185"/>
      <c r="BJ206" s="185"/>
      <c r="BK206" s="185"/>
      <c r="BL206" s="185"/>
    </row>
    <row r="207" ht="15.7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233"/>
      <c r="AF207" s="185"/>
      <c r="AG207" s="185"/>
      <c r="AH207" s="185"/>
      <c r="AI207" s="185"/>
      <c r="AJ207" s="185"/>
      <c r="AK207" s="185"/>
      <c r="AL207" s="185"/>
      <c r="AM207" s="185"/>
      <c r="AN207" s="185"/>
      <c r="AO207" s="185"/>
      <c r="AP207" s="185"/>
      <c r="AQ207" s="185"/>
      <c r="AR207" s="185"/>
      <c r="AS207" s="185"/>
      <c r="AT207" s="185"/>
      <c r="AU207" s="185"/>
      <c r="AV207" s="185"/>
      <c r="AW207" s="185"/>
      <c r="AX207" s="185"/>
      <c r="AY207" s="185"/>
      <c r="AZ207" s="185"/>
      <c r="BA207" s="185"/>
      <c r="BB207" s="185"/>
      <c r="BC207" s="185"/>
      <c r="BD207" s="185"/>
      <c r="BE207" s="185"/>
      <c r="BF207" s="185"/>
      <c r="BG207" s="185"/>
      <c r="BH207" s="185"/>
      <c r="BI207" s="185"/>
      <c r="BJ207" s="185"/>
      <c r="BK207" s="185"/>
      <c r="BL207" s="185"/>
    </row>
    <row r="208" ht="15.7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233"/>
      <c r="AF208" s="185"/>
      <c r="AG208" s="185"/>
      <c r="AH208" s="185"/>
      <c r="AI208" s="185"/>
      <c r="AJ208" s="185"/>
      <c r="AK208" s="185"/>
      <c r="AL208" s="185"/>
      <c r="AM208" s="185"/>
      <c r="AN208" s="185"/>
      <c r="AO208" s="185"/>
      <c r="AP208" s="185"/>
      <c r="AQ208" s="185"/>
      <c r="AR208" s="185"/>
      <c r="AS208" s="185"/>
      <c r="AT208" s="185"/>
      <c r="AU208" s="185"/>
      <c r="AV208" s="185"/>
      <c r="AW208" s="185"/>
      <c r="AX208" s="185"/>
      <c r="AY208" s="185"/>
      <c r="AZ208" s="185"/>
      <c r="BA208" s="185"/>
      <c r="BB208" s="185"/>
      <c r="BC208" s="185"/>
      <c r="BD208" s="185"/>
      <c r="BE208" s="185"/>
      <c r="BF208" s="185"/>
      <c r="BG208" s="185"/>
      <c r="BH208" s="185"/>
      <c r="BI208" s="185"/>
      <c r="BJ208" s="185"/>
      <c r="BK208" s="185"/>
      <c r="BL208" s="185"/>
    </row>
    <row r="209" ht="15.7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233"/>
      <c r="AF209" s="185"/>
      <c r="AG209" s="185"/>
      <c r="AH209" s="185"/>
      <c r="AI209" s="185"/>
      <c r="AJ209" s="185"/>
      <c r="AK209" s="185"/>
      <c r="AL209" s="185"/>
      <c r="AM209" s="185"/>
      <c r="AN209" s="185"/>
      <c r="AO209" s="185"/>
      <c r="AP209" s="185"/>
      <c r="AQ209" s="185"/>
      <c r="AR209" s="185"/>
      <c r="AS209" s="185"/>
      <c r="AT209" s="185"/>
      <c r="AU209" s="185"/>
      <c r="AV209" s="185"/>
      <c r="AW209" s="185"/>
      <c r="AX209" s="185"/>
      <c r="AY209" s="185"/>
      <c r="AZ209" s="185"/>
      <c r="BA209" s="185"/>
      <c r="BB209" s="185"/>
      <c r="BC209" s="185"/>
      <c r="BD209" s="185"/>
      <c r="BE209" s="185"/>
      <c r="BF209" s="185"/>
      <c r="BG209" s="185"/>
      <c r="BH209" s="185"/>
      <c r="BI209" s="185"/>
      <c r="BJ209" s="185"/>
      <c r="BK209" s="185"/>
      <c r="BL209" s="185"/>
    </row>
    <row r="210" ht="15.7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233"/>
      <c r="AF210" s="185"/>
      <c r="AG210" s="185"/>
      <c r="AH210" s="185"/>
      <c r="AI210" s="185"/>
      <c r="AJ210" s="185"/>
      <c r="AK210" s="185"/>
      <c r="AL210" s="185"/>
      <c r="AM210" s="185"/>
      <c r="AN210" s="185"/>
      <c r="AO210" s="185"/>
      <c r="AP210" s="185"/>
      <c r="AQ210" s="185"/>
      <c r="AR210" s="185"/>
      <c r="AS210" s="185"/>
      <c r="AT210" s="185"/>
      <c r="AU210" s="185"/>
      <c r="AV210" s="185"/>
      <c r="AW210" s="185"/>
      <c r="AX210" s="185"/>
      <c r="AY210" s="185"/>
      <c r="AZ210" s="185"/>
      <c r="BA210" s="185"/>
      <c r="BB210" s="185"/>
      <c r="BC210" s="185"/>
      <c r="BD210" s="185"/>
      <c r="BE210" s="185"/>
      <c r="BF210" s="185"/>
      <c r="BG210" s="185"/>
      <c r="BH210" s="185"/>
      <c r="BI210" s="185"/>
      <c r="BJ210" s="185"/>
      <c r="BK210" s="185"/>
      <c r="BL210" s="185"/>
    </row>
    <row r="211" ht="15.7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233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  <c r="BA211" s="185"/>
      <c r="BB211" s="185"/>
      <c r="BC211" s="185"/>
      <c r="BD211" s="185"/>
      <c r="BE211" s="185"/>
      <c r="BF211" s="185"/>
      <c r="BG211" s="185"/>
      <c r="BH211" s="185"/>
      <c r="BI211" s="185"/>
      <c r="BJ211" s="185"/>
      <c r="BK211" s="185"/>
      <c r="BL211" s="185"/>
    </row>
    <row r="212" ht="15.7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233"/>
      <c r="AF212" s="185"/>
      <c r="AG212" s="185"/>
      <c r="AH212" s="185"/>
      <c r="AI212" s="185"/>
      <c r="AJ212" s="185"/>
      <c r="AK212" s="185"/>
      <c r="AL212" s="185"/>
      <c r="AM212" s="185"/>
      <c r="AN212" s="185"/>
      <c r="AO212" s="185"/>
      <c r="AP212" s="185"/>
      <c r="AQ212" s="185"/>
      <c r="AR212" s="185"/>
      <c r="AS212" s="185"/>
      <c r="AT212" s="185"/>
      <c r="AU212" s="185"/>
      <c r="AV212" s="185"/>
      <c r="AW212" s="185"/>
      <c r="AX212" s="185"/>
      <c r="AY212" s="185"/>
      <c r="AZ212" s="185"/>
      <c r="BA212" s="185"/>
      <c r="BB212" s="185"/>
      <c r="BC212" s="185"/>
      <c r="BD212" s="185"/>
      <c r="BE212" s="185"/>
      <c r="BF212" s="185"/>
      <c r="BG212" s="185"/>
      <c r="BH212" s="185"/>
      <c r="BI212" s="185"/>
      <c r="BJ212" s="185"/>
      <c r="BK212" s="185"/>
      <c r="BL212" s="185"/>
    </row>
    <row r="213" ht="15.7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233"/>
      <c r="AF213" s="185"/>
      <c r="AG213" s="185"/>
      <c r="AH213" s="185"/>
      <c r="AI213" s="185"/>
      <c r="AJ213" s="185"/>
      <c r="AK213" s="185"/>
      <c r="AL213" s="185"/>
      <c r="AM213" s="185"/>
      <c r="AN213" s="185"/>
      <c r="AO213" s="185"/>
      <c r="AP213" s="185"/>
      <c r="AQ213" s="185"/>
      <c r="AR213" s="185"/>
      <c r="AS213" s="185"/>
      <c r="AT213" s="185"/>
      <c r="AU213" s="185"/>
      <c r="AV213" s="185"/>
      <c r="AW213" s="185"/>
      <c r="AX213" s="185"/>
      <c r="AY213" s="185"/>
      <c r="AZ213" s="185"/>
      <c r="BA213" s="185"/>
      <c r="BB213" s="185"/>
      <c r="BC213" s="185"/>
      <c r="BD213" s="185"/>
      <c r="BE213" s="185"/>
      <c r="BF213" s="185"/>
      <c r="BG213" s="185"/>
      <c r="BH213" s="185"/>
      <c r="BI213" s="185"/>
      <c r="BJ213" s="185"/>
      <c r="BK213" s="185"/>
      <c r="BL213" s="185"/>
    </row>
    <row r="214" ht="15.7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233"/>
      <c r="AF214" s="185"/>
      <c r="AG214" s="185"/>
      <c r="AH214" s="185"/>
      <c r="AI214" s="185"/>
      <c r="AJ214" s="185"/>
      <c r="AK214" s="185"/>
      <c r="AL214" s="185"/>
      <c r="AM214" s="185"/>
      <c r="AN214" s="185"/>
      <c r="AO214" s="185"/>
      <c r="AP214" s="185"/>
      <c r="AQ214" s="185"/>
      <c r="AR214" s="185"/>
      <c r="AS214" s="185"/>
      <c r="AT214" s="185"/>
      <c r="AU214" s="185"/>
      <c r="AV214" s="185"/>
      <c r="AW214" s="185"/>
      <c r="AX214" s="185"/>
      <c r="AY214" s="185"/>
      <c r="AZ214" s="185"/>
      <c r="BA214" s="185"/>
      <c r="BB214" s="185"/>
      <c r="BC214" s="185"/>
      <c r="BD214" s="185"/>
      <c r="BE214" s="185"/>
      <c r="BF214" s="185"/>
      <c r="BG214" s="185"/>
      <c r="BH214" s="185"/>
      <c r="BI214" s="185"/>
      <c r="BJ214" s="185"/>
      <c r="BK214" s="185"/>
      <c r="BL214" s="185"/>
    </row>
    <row r="215" ht="15.7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233"/>
      <c r="AF215" s="185"/>
      <c r="AG215" s="185"/>
      <c r="AH215" s="185"/>
      <c r="AI215" s="185"/>
      <c r="AJ215" s="185"/>
      <c r="AK215" s="185"/>
      <c r="AL215" s="185"/>
      <c r="AM215" s="185"/>
      <c r="AN215" s="185"/>
      <c r="AO215" s="185"/>
      <c r="AP215" s="185"/>
      <c r="AQ215" s="185"/>
      <c r="AR215" s="185"/>
      <c r="AS215" s="185"/>
      <c r="AT215" s="185"/>
      <c r="AU215" s="185"/>
      <c r="AV215" s="185"/>
      <c r="AW215" s="185"/>
      <c r="AX215" s="185"/>
      <c r="AY215" s="185"/>
      <c r="AZ215" s="185"/>
      <c r="BA215" s="185"/>
      <c r="BB215" s="185"/>
      <c r="BC215" s="185"/>
      <c r="BD215" s="185"/>
      <c r="BE215" s="185"/>
      <c r="BF215" s="185"/>
      <c r="BG215" s="185"/>
      <c r="BH215" s="185"/>
      <c r="BI215" s="185"/>
      <c r="BJ215" s="185"/>
      <c r="BK215" s="185"/>
      <c r="BL215" s="185"/>
    </row>
    <row r="216" ht="15.7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233"/>
      <c r="AF216" s="185"/>
      <c r="AG216" s="185"/>
      <c r="AH216" s="185"/>
      <c r="AI216" s="185"/>
      <c r="AJ216" s="185"/>
      <c r="AK216" s="185"/>
      <c r="AL216" s="185"/>
      <c r="AM216" s="185"/>
      <c r="AN216" s="185"/>
      <c r="AO216" s="185"/>
      <c r="AP216" s="185"/>
      <c r="AQ216" s="185"/>
      <c r="AR216" s="185"/>
      <c r="AS216" s="185"/>
      <c r="AT216" s="185"/>
      <c r="AU216" s="185"/>
      <c r="AV216" s="185"/>
      <c r="AW216" s="185"/>
      <c r="AX216" s="185"/>
      <c r="AY216" s="185"/>
      <c r="AZ216" s="185"/>
      <c r="BA216" s="185"/>
      <c r="BB216" s="185"/>
      <c r="BC216" s="185"/>
      <c r="BD216" s="185"/>
      <c r="BE216" s="185"/>
      <c r="BF216" s="185"/>
      <c r="BG216" s="185"/>
      <c r="BH216" s="185"/>
      <c r="BI216" s="185"/>
      <c r="BJ216" s="185"/>
      <c r="BK216" s="185"/>
      <c r="BL216" s="185"/>
    </row>
    <row r="217" ht="15.7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233"/>
      <c r="AF217" s="185"/>
      <c r="AG217" s="185"/>
      <c r="AH217" s="185"/>
      <c r="AI217" s="185"/>
      <c r="AJ217" s="185"/>
      <c r="AK217" s="185"/>
      <c r="AL217" s="185"/>
      <c r="AM217" s="185"/>
      <c r="AN217" s="185"/>
      <c r="AO217" s="185"/>
      <c r="AP217" s="185"/>
      <c r="AQ217" s="185"/>
      <c r="AR217" s="185"/>
      <c r="AS217" s="185"/>
      <c r="AT217" s="185"/>
      <c r="AU217" s="185"/>
      <c r="AV217" s="185"/>
      <c r="AW217" s="185"/>
      <c r="AX217" s="185"/>
      <c r="AY217" s="185"/>
      <c r="AZ217" s="185"/>
      <c r="BA217" s="185"/>
      <c r="BB217" s="185"/>
      <c r="BC217" s="185"/>
      <c r="BD217" s="185"/>
      <c r="BE217" s="185"/>
      <c r="BF217" s="185"/>
      <c r="BG217" s="185"/>
      <c r="BH217" s="185"/>
      <c r="BI217" s="185"/>
      <c r="BJ217" s="185"/>
      <c r="BK217" s="185"/>
      <c r="BL217" s="185"/>
    </row>
    <row r="218" ht="15.7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233"/>
      <c r="AF218" s="185"/>
      <c r="AG218" s="185"/>
      <c r="AH218" s="185"/>
      <c r="AI218" s="185"/>
      <c r="AJ218" s="185"/>
      <c r="AK218" s="185"/>
      <c r="AL218" s="185"/>
      <c r="AM218" s="185"/>
      <c r="AN218" s="185"/>
      <c r="AO218" s="185"/>
      <c r="AP218" s="185"/>
      <c r="AQ218" s="185"/>
      <c r="AR218" s="185"/>
      <c r="AS218" s="185"/>
      <c r="AT218" s="185"/>
      <c r="AU218" s="185"/>
      <c r="AV218" s="185"/>
      <c r="AW218" s="185"/>
      <c r="AX218" s="185"/>
      <c r="AY218" s="185"/>
      <c r="AZ218" s="185"/>
      <c r="BA218" s="185"/>
      <c r="BB218" s="185"/>
      <c r="BC218" s="185"/>
      <c r="BD218" s="185"/>
      <c r="BE218" s="185"/>
      <c r="BF218" s="185"/>
      <c r="BG218" s="185"/>
      <c r="BH218" s="185"/>
      <c r="BI218" s="185"/>
      <c r="BJ218" s="185"/>
      <c r="BK218" s="185"/>
      <c r="BL218" s="185"/>
    </row>
    <row r="219" ht="15.7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233"/>
      <c r="AF219" s="185"/>
      <c r="AG219" s="185"/>
      <c r="AH219" s="185"/>
      <c r="AI219" s="185"/>
      <c r="AJ219" s="185"/>
      <c r="AK219" s="185"/>
      <c r="AL219" s="185"/>
      <c r="AM219" s="185"/>
      <c r="AN219" s="185"/>
      <c r="AO219" s="185"/>
      <c r="AP219" s="185"/>
      <c r="AQ219" s="185"/>
      <c r="AR219" s="185"/>
      <c r="AS219" s="185"/>
      <c r="AT219" s="185"/>
      <c r="AU219" s="185"/>
      <c r="AV219" s="185"/>
      <c r="AW219" s="185"/>
      <c r="AX219" s="185"/>
      <c r="AY219" s="185"/>
      <c r="AZ219" s="185"/>
      <c r="BA219" s="185"/>
      <c r="BB219" s="185"/>
      <c r="BC219" s="185"/>
      <c r="BD219" s="185"/>
      <c r="BE219" s="185"/>
      <c r="BF219" s="185"/>
      <c r="BG219" s="185"/>
      <c r="BH219" s="185"/>
      <c r="BI219" s="185"/>
      <c r="BJ219" s="185"/>
      <c r="BK219" s="185"/>
      <c r="BL219" s="185"/>
    </row>
    <row r="220" ht="15.7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233"/>
      <c r="AF220" s="185"/>
      <c r="AG220" s="185"/>
      <c r="AH220" s="185"/>
      <c r="AI220" s="185"/>
      <c r="AJ220" s="185"/>
      <c r="AK220" s="185"/>
      <c r="AL220" s="185"/>
      <c r="AM220" s="185"/>
      <c r="AN220" s="185"/>
      <c r="AO220" s="185"/>
      <c r="AP220" s="185"/>
      <c r="AQ220" s="185"/>
      <c r="AR220" s="185"/>
      <c r="AS220" s="185"/>
      <c r="AT220" s="185"/>
      <c r="AU220" s="185"/>
      <c r="AV220" s="185"/>
      <c r="AW220" s="185"/>
      <c r="AX220" s="185"/>
      <c r="AY220" s="185"/>
      <c r="AZ220" s="185"/>
      <c r="BA220" s="185"/>
      <c r="BB220" s="185"/>
      <c r="BC220" s="185"/>
      <c r="BD220" s="185"/>
      <c r="BE220" s="185"/>
      <c r="BF220" s="185"/>
      <c r="BG220" s="185"/>
      <c r="BH220" s="185"/>
      <c r="BI220" s="185"/>
      <c r="BJ220" s="185"/>
      <c r="BK220" s="185"/>
      <c r="BL220" s="185"/>
    </row>
    <row r="221" ht="15.7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233"/>
      <c r="AF221" s="185"/>
      <c r="AG221" s="185"/>
      <c r="AH221" s="185"/>
      <c r="AI221" s="185"/>
      <c r="AJ221" s="185"/>
      <c r="AK221" s="185"/>
      <c r="AL221" s="185"/>
      <c r="AM221" s="185"/>
      <c r="AN221" s="185"/>
      <c r="AO221" s="185"/>
      <c r="AP221" s="185"/>
      <c r="AQ221" s="185"/>
      <c r="AR221" s="185"/>
      <c r="AS221" s="185"/>
      <c r="AT221" s="185"/>
      <c r="AU221" s="185"/>
      <c r="AV221" s="185"/>
      <c r="AW221" s="185"/>
      <c r="AX221" s="185"/>
      <c r="AY221" s="185"/>
      <c r="AZ221" s="185"/>
      <c r="BA221" s="185"/>
      <c r="BB221" s="185"/>
      <c r="BC221" s="185"/>
      <c r="BD221" s="185"/>
      <c r="BE221" s="185"/>
      <c r="BF221" s="185"/>
      <c r="BG221" s="185"/>
      <c r="BH221" s="185"/>
      <c r="BI221" s="185"/>
      <c r="BJ221" s="185"/>
      <c r="BK221" s="185"/>
      <c r="BL221" s="185"/>
    </row>
    <row r="222" ht="15.7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233"/>
      <c r="AF222" s="185"/>
      <c r="AG222" s="185"/>
      <c r="AH222" s="185"/>
      <c r="AI222" s="185"/>
      <c r="AJ222" s="185"/>
      <c r="AK222" s="185"/>
      <c r="AL222" s="185"/>
      <c r="AM222" s="185"/>
      <c r="AN222" s="185"/>
      <c r="AO222" s="185"/>
      <c r="AP222" s="185"/>
      <c r="AQ222" s="185"/>
      <c r="AR222" s="185"/>
      <c r="AS222" s="185"/>
      <c r="AT222" s="185"/>
      <c r="AU222" s="185"/>
      <c r="AV222" s="185"/>
      <c r="AW222" s="185"/>
      <c r="AX222" s="185"/>
      <c r="AY222" s="185"/>
      <c r="AZ222" s="185"/>
      <c r="BA222" s="185"/>
      <c r="BB222" s="185"/>
      <c r="BC222" s="185"/>
      <c r="BD222" s="185"/>
      <c r="BE222" s="185"/>
      <c r="BF222" s="185"/>
      <c r="BG222" s="185"/>
      <c r="BH222" s="185"/>
      <c r="BI222" s="185"/>
      <c r="BJ222" s="185"/>
      <c r="BK222" s="185"/>
      <c r="BL222" s="185"/>
    </row>
    <row r="223" ht="15.7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233"/>
      <c r="AF223" s="185"/>
      <c r="AG223" s="185"/>
      <c r="AH223" s="185"/>
      <c r="AI223" s="185"/>
      <c r="AJ223" s="185"/>
      <c r="AK223" s="185"/>
      <c r="AL223" s="185"/>
      <c r="AM223" s="185"/>
      <c r="AN223" s="185"/>
      <c r="AO223" s="185"/>
      <c r="AP223" s="185"/>
      <c r="AQ223" s="185"/>
      <c r="AR223" s="185"/>
      <c r="AS223" s="185"/>
      <c r="AT223" s="185"/>
      <c r="AU223" s="185"/>
      <c r="AV223" s="185"/>
      <c r="AW223" s="185"/>
      <c r="AX223" s="185"/>
      <c r="AY223" s="185"/>
      <c r="AZ223" s="185"/>
      <c r="BA223" s="185"/>
      <c r="BB223" s="185"/>
      <c r="BC223" s="185"/>
      <c r="BD223" s="185"/>
      <c r="BE223" s="185"/>
      <c r="BF223" s="185"/>
      <c r="BG223" s="185"/>
      <c r="BH223" s="185"/>
      <c r="BI223" s="185"/>
      <c r="BJ223" s="185"/>
      <c r="BK223" s="185"/>
      <c r="BL223" s="185"/>
    </row>
    <row r="224" ht="15.7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233"/>
      <c r="AF224" s="185"/>
      <c r="AG224" s="185"/>
      <c r="AH224" s="185"/>
      <c r="AI224" s="185"/>
      <c r="AJ224" s="185"/>
      <c r="AK224" s="185"/>
      <c r="AL224" s="185"/>
      <c r="AM224" s="185"/>
      <c r="AN224" s="185"/>
      <c r="AO224" s="185"/>
      <c r="AP224" s="185"/>
      <c r="AQ224" s="185"/>
      <c r="AR224" s="185"/>
      <c r="AS224" s="185"/>
      <c r="AT224" s="185"/>
      <c r="AU224" s="185"/>
      <c r="AV224" s="185"/>
      <c r="AW224" s="185"/>
      <c r="AX224" s="185"/>
      <c r="AY224" s="185"/>
      <c r="AZ224" s="185"/>
      <c r="BA224" s="185"/>
      <c r="BB224" s="185"/>
      <c r="BC224" s="185"/>
      <c r="BD224" s="185"/>
      <c r="BE224" s="185"/>
      <c r="BF224" s="185"/>
      <c r="BG224" s="185"/>
      <c r="BH224" s="185"/>
      <c r="BI224" s="185"/>
      <c r="BJ224" s="185"/>
      <c r="BK224" s="185"/>
      <c r="BL224" s="185"/>
    </row>
    <row r="225" ht="15.7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233"/>
      <c r="AF225" s="185"/>
      <c r="AG225" s="185"/>
      <c r="AH225" s="185"/>
      <c r="AI225" s="185"/>
      <c r="AJ225" s="185"/>
      <c r="AK225" s="185"/>
      <c r="AL225" s="185"/>
      <c r="AM225" s="185"/>
      <c r="AN225" s="185"/>
      <c r="AO225" s="185"/>
      <c r="AP225" s="185"/>
      <c r="AQ225" s="185"/>
      <c r="AR225" s="185"/>
      <c r="AS225" s="185"/>
      <c r="AT225" s="185"/>
      <c r="AU225" s="185"/>
      <c r="AV225" s="185"/>
      <c r="AW225" s="185"/>
      <c r="AX225" s="185"/>
      <c r="AY225" s="185"/>
      <c r="AZ225" s="185"/>
      <c r="BA225" s="185"/>
      <c r="BB225" s="185"/>
      <c r="BC225" s="185"/>
      <c r="BD225" s="185"/>
      <c r="BE225" s="185"/>
      <c r="BF225" s="185"/>
      <c r="BG225" s="185"/>
      <c r="BH225" s="185"/>
      <c r="BI225" s="185"/>
      <c r="BJ225" s="185"/>
      <c r="BK225" s="185"/>
      <c r="BL225" s="185"/>
    </row>
    <row r="226" ht="15.7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233"/>
      <c r="AF226" s="185"/>
      <c r="AG226" s="185"/>
      <c r="AH226" s="185"/>
      <c r="AI226" s="185"/>
      <c r="AJ226" s="185"/>
      <c r="AK226" s="185"/>
      <c r="AL226" s="185"/>
      <c r="AM226" s="185"/>
      <c r="AN226" s="185"/>
      <c r="AO226" s="185"/>
      <c r="AP226" s="185"/>
      <c r="AQ226" s="185"/>
      <c r="AR226" s="185"/>
      <c r="AS226" s="185"/>
      <c r="AT226" s="185"/>
      <c r="AU226" s="185"/>
      <c r="AV226" s="185"/>
      <c r="AW226" s="185"/>
      <c r="AX226" s="185"/>
      <c r="AY226" s="185"/>
      <c r="AZ226" s="185"/>
      <c r="BA226" s="185"/>
      <c r="BB226" s="185"/>
      <c r="BC226" s="185"/>
      <c r="BD226" s="185"/>
      <c r="BE226" s="185"/>
      <c r="BF226" s="185"/>
      <c r="BG226" s="185"/>
      <c r="BH226" s="185"/>
      <c r="BI226" s="185"/>
      <c r="BJ226" s="185"/>
      <c r="BK226" s="185"/>
      <c r="BL226" s="185"/>
    </row>
    <row r="227" ht="15.7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233"/>
      <c r="AF227" s="185"/>
      <c r="AG227" s="185"/>
      <c r="AH227" s="185"/>
      <c r="AI227" s="185"/>
      <c r="AJ227" s="185"/>
      <c r="AK227" s="185"/>
      <c r="AL227" s="185"/>
      <c r="AM227" s="185"/>
      <c r="AN227" s="185"/>
      <c r="AO227" s="185"/>
      <c r="AP227" s="185"/>
      <c r="AQ227" s="185"/>
      <c r="AR227" s="185"/>
      <c r="AS227" s="185"/>
      <c r="AT227" s="185"/>
      <c r="AU227" s="185"/>
      <c r="AV227" s="185"/>
      <c r="AW227" s="185"/>
      <c r="AX227" s="185"/>
      <c r="AY227" s="185"/>
      <c r="AZ227" s="185"/>
      <c r="BA227" s="185"/>
      <c r="BB227" s="185"/>
      <c r="BC227" s="185"/>
      <c r="BD227" s="185"/>
      <c r="BE227" s="185"/>
      <c r="BF227" s="185"/>
      <c r="BG227" s="185"/>
      <c r="BH227" s="185"/>
      <c r="BI227" s="185"/>
      <c r="BJ227" s="185"/>
      <c r="BK227" s="185"/>
      <c r="BL227" s="185"/>
    </row>
    <row r="228" ht="15.7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233"/>
      <c r="AF228" s="185"/>
      <c r="AG228" s="185"/>
      <c r="AH228" s="185"/>
      <c r="AI228" s="185"/>
      <c r="AJ228" s="185"/>
      <c r="AK228" s="185"/>
      <c r="AL228" s="185"/>
      <c r="AM228" s="185"/>
      <c r="AN228" s="185"/>
      <c r="AO228" s="185"/>
      <c r="AP228" s="185"/>
      <c r="AQ228" s="185"/>
      <c r="AR228" s="185"/>
      <c r="AS228" s="185"/>
      <c r="AT228" s="185"/>
      <c r="AU228" s="185"/>
      <c r="AV228" s="185"/>
      <c r="AW228" s="185"/>
      <c r="AX228" s="185"/>
      <c r="AY228" s="185"/>
      <c r="AZ228" s="185"/>
      <c r="BA228" s="185"/>
      <c r="BB228" s="185"/>
      <c r="BC228" s="185"/>
      <c r="BD228" s="185"/>
      <c r="BE228" s="185"/>
      <c r="BF228" s="185"/>
      <c r="BG228" s="185"/>
      <c r="BH228" s="185"/>
      <c r="BI228" s="185"/>
      <c r="BJ228" s="185"/>
      <c r="BK228" s="185"/>
      <c r="BL228" s="185"/>
    </row>
    <row r="229" ht="15.7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233"/>
      <c r="AF229" s="185"/>
      <c r="AG229" s="185"/>
      <c r="AH229" s="185"/>
      <c r="AI229" s="185"/>
      <c r="AJ229" s="185"/>
      <c r="AK229" s="185"/>
      <c r="AL229" s="185"/>
      <c r="AM229" s="185"/>
      <c r="AN229" s="185"/>
      <c r="AO229" s="185"/>
      <c r="AP229" s="185"/>
      <c r="AQ229" s="185"/>
      <c r="AR229" s="185"/>
      <c r="AS229" s="185"/>
      <c r="AT229" s="185"/>
      <c r="AU229" s="185"/>
      <c r="AV229" s="185"/>
      <c r="AW229" s="185"/>
      <c r="AX229" s="185"/>
      <c r="AY229" s="185"/>
      <c r="AZ229" s="185"/>
      <c r="BA229" s="185"/>
      <c r="BB229" s="185"/>
      <c r="BC229" s="185"/>
      <c r="BD229" s="185"/>
      <c r="BE229" s="185"/>
      <c r="BF229" s="185"/>
      <c r="BG229" s="185"/>
      <c r="BH229" s="185"/>
      <c r="BI229" s="185"/>
      <c r="BJ229" s="185"/>
      <c r="BK229" s="185"/>
      <c r="BL229" s="185"/>
    </row>
    <row r="230" ht="15.7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233"/>
      <c r="AF230" s="185"/>
      <c r="AG230" s="185"/>
      <c r="AH230" s="185"/>
      <c r="AI230" s="185"/>
      <c r="AJ230" s="185"/>
      <c r="AK230" s="185"/>
      <c r="AL230" s="185"/>
      <c r="AM230" s="185"/>
      <c r="AN230" s="185"/>
      <c r="AO230" s="185"/>
      <c r="AP230" s="185"/>
      <c r="AQ230" s="185"/>
      <c r="AR230" s="185"/>
      <c r="AS230" s="185"/>
      <c r="AT230" s="185"/>
      <c r="AU230" s="185"/>
      <c r="AV230" s="185"/>
      <c r="AW230" s="185"/>
      <c r="AX230" s="185"/>
      <c r="AY230" s="185"/>
      <c r="AZ230" s="185"/>
      <c r="BA230" s="185"/>
      <c r="BB230" s="185"/>
      <c r="BC230" s="185"/>
      <c r="BD230" s="185"/>
      <c r="BE230" s="185"/>
      <c r="BF230" s="185"/>
      <c r="BG230" s="185"/>
      <c r="BH230" s="185"/>
      <c r="BI230" s="185"/>
      <c r="BJ230" s="185"/>
      <c r="BK230" s="185"/>
      <c r="BL230" s="185"/>
    </row>
    <row r="231" ht="15.7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233"/>
      <c r="AF231" s="185"/>
      <c r="AG231" s="185"/>
      <c r="AH231" s="185"/>
      <c r="AI231" s="185"/>
      <c r="AJ231" s="185"/>
      <c r="AK231" s="185"/>
      <c r="AL231" s="185"/>
      <c r="AM231" s="185"/>
      <c r="AN231" s="185"/>
      <c r="AO231" s="185"/>
      <c r="AP231" s="185"/>
      <c r="AQ231" s="185"/>
      <c r="AR231" s="185"/>
      <c r="AS231" s="185"/>
      <c r="AT231" s="185"/>
      <c r="AU231" s="185"/>
      <c r="AV231" s="185"/>
      <c r="AW231" s="185"/>
      <c r="AX231" s="185"/>
      <c r="AY231" s="185"/>
      <c r="AZ231" s="185"/>
      <c r="BA231" s="185"/>
      <c r="BB231" s="185"/>
      <c r="BC231" s="185"/>
      <c r="BD231" s="185"/>
      <c r="BE231" s="185"/>
      <c r="BF231" s="185"/>
      <c r="BG231" s="185"/>
      <c r="BH231" s="185"/>
      <c r="BI231" s="185"/>
      <c r="BJ231" s="185"/>
      <c r="BK231" s="185"/>
      <c r="BL231" s="185"/>
    </row>
    <row r="232" ht="15.7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233"/>
      <c r="AF232" s="185"/>
      <c r="AG232" s="185"/>
      <c r="AH232" s="185"/>
      <c r="AI232" s="185"/>
      <c r="AJ232" s="185"/>
      <c r="AK232" s="185"/>
      <c r="AL232" s="185"/>
      <c r="AM232" s="185"/>
      <c r="AN232" s="185"/>
      <c r="AO232" s="185"/>
      <c r="AP232" s="185"/>
      <c r="AQ232" s="185"/>
      <c r="AR232" s="185"/>
      <c r="AS232" s="185"/>
      <c r="AT232" s="185"/>
      <c r="AU232" s="185"/>
      <c r="AV232" s="185"/>
      <c r="AW232" s="185"/>
      <c r="AX232" s="185"/>
      <c r="AY232" s="185"/>
      <c r="AZ232" s="185"/>
      <c r="BA232" s="185"/>
      <c r="BB232" s="185"/>
      <c r="BC232" s="185"/>
      <c r="BD232" s="185"/>
      <c r="BE232" s="185"/>
      <c r="BF232" s="185"/>
      <c r="BG232" s="185"/>
      <c r="BH232" s="185"/>
      <c r="BI232" s="185"/>
      <c r="BJ232" s="185"/>
      <c r="BK232" s="185"/>
      <c r="BL232" s="185"/>
    </row>
    <row r="233" ht="15.7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233"/>
      <c r="AF233" s="185"/>
      <c r="AG233" s="185"/>
      <c r="AH233" s="185"/>
      <c r="AI233" s="185"/>
      <c r="AJ233" s="185"/>
      <c r="AK233" s="185"/>
      <c r="AL233" s="185"/>
      <c r="AM233" s="185"/>
      <c r="AN233" s="185"/>
      <c r="AO233" s="185"/>
      <c r="AP233" s="185"/>
      <c r="AQ233" s="185"/>
      <c r="AR233" s="185"/>
      <c r="AS233" s="185"/>
      <c r="AT233" s="185"/>
      <c r="AU233" s="185"/>
      <c r="AV233" s="185"/>
      <c r="AW233" s="185"/>
      <c r="AX233" s="185"/>
      <c r="AY233" s="185"/>
      <c r="AZ233" s="185"/>
      <c r="BA233" s="185"/>
      <c r="BB233" s="185"/>
      <c r="BC233" s="185"/>
      <c r="BD233" s="185"/>
      <c r="BE233" s="185"/>
      <c r="BF233" s="185"/>
      <c r="BG233" s="185"/>
      <c r="BH233" s="185"/>
      <c r="BI233" s="185"/>
      <c r="BJ233" s="185"/>
      <c r="BK233" s="185"/>
      <c r="BL233" s="185"/>
    </row>
    <row r="234" ht="15.7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233"/>
      <c r="AF234" s="185"/>
      <c r="AG234" s="185"/>
      <c r="AH234" s="185"/>
      <c r="AI234" s="185"/>
      <c r="AJ234" s="185"/>
      <c r="AK234" s="185"/>
      <c r="AL234" s="185"/>
      <c r="AM234" s="185"/>
      <c r="AN234" s="185"/>
      <c r="AO234" s="185"/>
      <c r="AP234" s="185"/>
      <c r="AQ234" s="185"/>
      <c r="AR234" s="185"/>
      <c r="AS234" s="185"/>
      <c r="AT234" s="185"/>
      <c r="AU234" s="185"/>
      <c r="AV234" s="185"/>
      <c r="AW234" s="185"/>
      <c r="AX234" s="185"/>
      <c r="AY234" s="185"/>
      <c r="AZ234" s="185"/>
      <c r="BA234" s="185"/>
      <c r="BB234" s="185"/>
      <c r="BC234" s="185"/>
      <c r="BD234" s="185"/>
      <c r="BE234" s="185"/>
      <c r="BF234" s="185"/>
      <c r="BG234" s="185"/>
      <c r="BH234" s="185"/>
      <c r="BI234" s="185"/>
      <c r="BJ234" s="185"/>
      <c r="BK234" s="185"/>
      <c r="BL234" s="185"/>
    </row>
    <row r="235" ht="15.7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233"/>
      <c r="AF235" s="185"/>
      <c r="AG235" s="185"/>
      <c r="AH235" s="185"/>
      <c r="AI235" s="185"/>
      <c r="AJ235" s="185"/>
      <c r="AK235" s="185"/>
      <c r="AL235" s="185"/>
      <c r="AM235" s="185"/>
      <c r="AN235" s="185"/>
      <c r="AO235" s="185"/>
      <c r="AP235" s="185"/>
      <c r="AQ235" s="185"/>
      <c r="AR235" s="185"/>
      <c r="AS235" s="185"/>
      <c r="AT235" s="185"/>
      <c r="AU235" s="185"/>
      <c r="AV235" s="185"/>
      <c r="AW235" s="185"/>
      <c r="AX235" s="185"/>
      <c r="AY235" s="185"/>
      <c r="AZ235" s="185"/>
      <c r="BA235" s="185"/>
      <c r="BB235" s="185"/>
      <c r="BC235" s="185"/>
      <c r="BD235" s="185"/>
      <c r="BE235" s="185"/>
      <c r="BF235" s="185"/>
      <c r="BG235" s="185"/>
      <c r="BH235" s="185"/>
      <c r="BI235" s="185"/>
      <c r="BJ235" s="185"/>
      <c r="BK235" s="185"/>
      <c r="BL235" s="185"/>
    </row>
    <row r="236" ht="15.7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233"/>
      <c r="AF236" s="185"/>
      <c r="AG236" s="185"/>
      <c r="AH236" s="185"/>
      <c r="AI236" s="185"/>
      <c r="AJ236" s="185"/>
      <c r="AK236" s="185"/>
      <c r="AL236" s="185"/>
      <c r="AM236" s="185"/>
      <c r="AN236" s="185"/>
      <c r="AO236" s="185"/>
      <c r="AP236" s="185"/>
      <c r="AQ236" s="185"/>
      <c r="AR236" s="185"/>
      <c r="AS236" s="185"/>
      <c r="AT236" s="185"/>
      <c r="AU236" s="185"/>
      <c r="AV236" s="185"/>
      <c r="AW236" s="185"/>
      <c r="AX236" s="185"/>
      <c r="AY236" s="185"/>
      <c r="AZ236" s="185"/>
      <c r="BA236" s="185"/>
      <c r="BB236" s="185"/>
      <c r="BC236" s="185"/>
      <c r="BD236" s="185"/>
      <c r="BE236" s="185"/>
      <c r="BF236" s="185"/>
      <c r="BG236" s="185"/>
      <c r="BH236" s="185"/>
      <c r="BI236" s="185"/>
      <c r="BJ236" s="185"/>
      <c r="BK236" s="185"/>
      <c r="BL236" s="185"/>
    </row>
    <row r="237" ht="15.7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233"/>
      <c r="AF237" s="185"/>
      <c r="AG237" s="185"/>
      <c r="AH237" s="185"/>
      <c r="AI237" s="185"/>
      <c r="AJ237" s="185"/>
      <c r="AK237" s="185"/>
      <c r="AL237" s="185"/>
      <c r="AM237" s="185"/>
      <c r="AN237" s="185"/>
      <c r="AO237" s="185"/>
      <c r="AP237" s="185"/>
      <c r="AQ237" s="185"/>
      <c r="AR237" s="185"/>
      <c r="AS237" s="185"/>
      <c r="AT237" s="185"/>
      <c r="AU237" s="185"/>
      <c r="AV237" s="185"/>
      <c r="AW237" s="185"/>
      <c r="AX237" s="185"/>
      <c r="AY237" s="185"/>
      <c r="AZ237" s="185"/>
      <c r="BA237" s="185"/>
      <c r="BB237" s="185"/>
      <c r="BC237" s="185"/>
      <c r="BD237" s="185"/>
      <c r="BE237" s="185"/>
      <c r="BF237" s="185"/>
      <c r="BG237" s="185"/>
      <c r="BH237" s="185"/>
      <c r="BI237" s="185"/>
      <c r="BJ237" s="185"/>
      <c r="BK237" s="185"/>
      <c r="BL237" s="185"/>
    </row>
    <row r="238" ht="15.7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233"/>
      <c r="AF238" s="185"/>
      <c r="AG238" s="185"/>
      <c r="AH238" s="185"/>
      <c r="AI238" s="185"/>
      <c r="AJ238" s="185"/>
      <c r="AK238" s="185"/>
      <c r="AL238" s="185"/>
      <c r="AM238" s="185"/>
      <c r="AN238" s="185"/>
      <c r="AO238" s="185"/>
      <c r="AP238" s="185"/>
      <c r="AQ238" s="185"/>
      <c r="AR238" s="185"/>
      <c r="AS238" s="185"/>
      <c r="AT238" s="185"/>
      <c r="AU238" s="185"/>
      <c r="AV238" s="185"/>
      <c r="AW238" s="185"/>
      <c r="AX238" s="185"/>
      <c r="AY238" s="185"/>
      <c r="AZ238" s="185"/>
      <c r="BA238" s="185"/>
      <c r="BB238" s="185"/>
      <c r="BC238" s="185"/>
      <c r="BD238" s="185"/>
      <c r="BE238" s="185"/>
      <c r="BF238" s="185"/>
      <c r="BG238" s="185"/>
      <c r="BH238" s="185"/>
      <c r="BI238" s="185"/>
      <c r="BJ238" s="185"/>
      <c r="BK238" s="185"/>
      <c r="BL238" s="185"/>
    </row>
    <row r="239" ht="15.7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233"/>
      <c r="AF239" s="185"/>
      <c r="AG239" s="185"/>
      <c r="AH239" s="185"/>
      <c r="AI239" s="185"/>
      <c r="AJ239" s="185"/>
      <c r="AK239" s="185"/>
      <c r="AL239" s="185"/>
      <c r="AM239" s="185"/>
      <c r="AN239" s="185"/>
      <c r="AO239" s="185"/>
      <c r="AP239" s="185"/>
      <c r="AQ239" s="185"/>
      <c r="AR239" s="185"/>
      <c r="AS239" s="185"/>
      <c r="AT239" s="185"/>
      <c r="AU239" s="185"/>
      <c r="AV239" s="185"/>
      <c r="AW239" s="185"/>
      <c r="AX239" s="185"/>
      <c r="AY239" s="185"/>
      <c r="AZ239" s="185"/>
      <c r="BA239" s="185"/>
      <c r="BB239" s="185"/>
      <c r="BC239" s="185"/>
      <c r="BD239" s="185"/>
      <c r="BE239" s="185"/>
      <c r="BF239" s="185"/>
      <c r="BG239" s="185"/>
      <c r="BH239" s="185"/>
      <c r="BI239" s="185"/>
      <c r="BJ239" s="185"/>
      <c r="BK239" s="185"/>
      <c r="BL239" s="185"/>
    </row>
    <row r="240" ht="15.7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233"/>
      <c r="AF240" s="185"/>
      <c r="AG240" s="185"/>
      <c r="AH240" s="185"/>
      <c r="AI240" s="185"/>
      <c r="AJ240" s="185"/>
      <c r="AK240" s="185"/>
      <c r="AL240" s="185"/>
      <c r="AM240" s="185"/>
      <c r="AN240" s="185"/>
      <c r="AO240" s="185"/>
      <c r="AP240" s="185"/>
      <c r="AQ240" s="185"/>
      <c r="AR240" s="185"/>
      <c r="AS240" s="185"/>
      <c r="AT240" s="185"/>
      <c r="AU240" s="185"/>
      <c r="AV240" s="185"/>
      <c r="AW240" s="185"/>
      <c r="AX240" s="185"/>
      <c r="AY240" s="185"/>
      <c r="AZ240" s="185"/>
      <c r="BA240" s="185"/>
      <c r="BB240" s="185"/>
      <c r="BC240" s="185"/>
      <c r="BD240" s="185"/>
      <c r="BE240" s="185"/>
      <c r="BF240" s="185"/>
      <c r="BG240" s="185"/>
      <c r="BH240" s="185"/>
      <c r="BI240" s="185"/>
      <c r="BJ240" s="185"/>
      <c r="BK240" s="185"/>
      <c r="BL240" s="185"/>
    </row>
    <row r="241" ht="15.7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233"/>
      <c r="AF241" s="185"/>
      <c r="AG241" s="185"/>
      <c r="AH241" s="185"/>
      <c r="AI241" s="185"/>
      <c r="AJ241" s="185"/>
      <c r="AK241" s="185"/>
      <c r="AL241" s="185"/>
      <c r="AM241" s="185"/>
      <c r="AN241" s="185"/>
      <c r="AO241" s="185"/>
      <c r="AP241" s="185"/>
      <c r="AQ241" s="185"/>
      <c r="AR241" s="185"/>
      <c r="AS241" s="185"/>
      <c r="AT241" s="185"/>
      <c r="AU241" s="185"/>
      <c r="AV241" s="185"/>
      <c r="AW241" s="185"/>
      <c r="AX241" s="185"/>
      <c r="AY241" s="185"/>
      <c r="AZ241" s="185"/>
      <c r="BA241" s="185"/>
      <c r="BB241" s="185"/>
      <c r="BC241" s="185"/>
      <c r="BD241" s="185"/>
      <c r="BE241" s="185"/>
      <c r="BF241" s="185"/>
      <c r="BG241" s="185"/>
      <c r="BH241" s="185"/>
      <c r="BI241" s="185"/>
      <c r="BJ241" s="185"/>
      <c r="BK241" s="185"/>
      <c r="BL241" s="185"/>
    </row>
    <row r="242" ht="15.7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233"/>
      <c r="AF242" s="185"/>
      <c r="AG242" s="185"/>
      <c r="AH242" s="185"/>
      <c r="AI242" s="185"/>
      <c r="AJ242" s="185"/>
      <c r="AK242" s="185"/>
      <c r="AL242" s="185"/>
      <c r="AM242" s="185"/>
      <c r="AN242" s="185"/>
      <c r="AO242" s="185"/>
      <c r="AP242" s="185"/>
      <c r="AQ242" s="185"/>
      <c r="AR242" s="185"/>
      <c r="AS242" s="185"/>
      <c r="AT242" s="185"/>
      <c r="AU242" s="185"/>
      <c r="AV242" s="185"/>
      <c r="AW242" s="185"/>
      <c r="AX242" s="185"/>
      <c r="AY242" s="185"/>
      <c r="AZ242" s="185"/>
      <c r="BA242" s="185"/>
      <c r="BB242" s="185"/>
      <c r="BC242" s="185"/>
      <c r="BD242" s="185"/>
      <c r="BE242" s="185"/>
      <c r="BF242" s="185"/>
      <c r="BG242" s="185"/>
      <c r="BH242" s="185"/>
      <c r="BI242" s="185"/>
      <c r="BJ242" s="185"/>
      <c r="BK242" s="185"/>
      <c r="BL242" s="185"/>
    </row>
    <row r="243" ht="15.7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233"/>
      <c r="AF243" s="185"/>
      <c r="AG243" s="185"/>
      <c r="AH243" s="185"/>
      <c r="AI243" s="185"/>
      <c r="AJ243" s="185"/>
      <c r="AK243" s="185"/>
      <c r="AL243" s="185"/>
      <c r="AM243" s="185"/>
      <c r="AN243" s="185"/>
      <c r="AO243" s="185"/>
      <c r="AP243" s="185"/>
      <c r="AQ243" s="185"/>
      <c r="AR243" s="185"/>
      <c r="AS243" s="185"/>
      <c r="AT243" s="185"/>
      <c r="AU243" s="185"/>
      <c r="AV243" s="185"/>
      <c r="AW243" s="185"/>
      <c r="AX243" s="185"/>
      <c r="AY243" s="185"/>
      <c r="AZ243" s="185"/>
      <c r="BA243" s="185"/>
      <c r="BB243" s="185"/>
      <c r="BC243" s="185"/>
      <c r="BD243" s="185"/>
      <c r="BE243" s="185"/>
      <c r="BF243" s="185"/>
      <c r="BG243" s="185"/>
      <c r="BH243" s="185"/>
      <c r="BI243" s="185"/>
      <c r="BJ243" s="185"/>
      <c r="BK243" s="185"/>
      <c r="BL243" s="185"/>
    </row>
    <row r="244" ht="15.7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233"/>
      <c r="AF244" s="185"/>
      <c r="AG244" s="185"/>
      <c r="AH244" s="185"/>
      <c r="AI244" s="185"/>
      <c r="AJ244" s="185"/>
      <c r="AK244" s="185"/>
      <c r="AL244" s="185"/>
      <c r="AM244" s="185"/>
      <c r="AN244" s="185"/>
      <c r="AO244" s="185"/>
      <c r="AP244" s="185"/>
      <c r="AQ244" s="185"/>
      <c r="AR244" s="185"/>
      <c r="AS244" s="185"/>
      <c r="AT244" s="185"/>
      <c r="AU244" s="185"/>
      <c r="AV244" s="185"/>
      <c r="AW244" s="185"/>
      <c r="AX244" s="185"/>
      <c r="AY244" s="185"/>
      <c r="AZ244" s="185"/>
      <c r="BA244" s="185"/>
      <c r="BB244" s="185"/>
      <c r="BC244" s="185"/>
      <c r="BD244" s="185"/>
      <c r="BE244" s="185"/>
      <c r="BF244" s="185"/>
      <c r="BG244" s="185"/>
      <c r="BH244" s="185"/>
      <c r="BI244" s="185"/>
      <c r="BJ244" s="185"/>
      <c r="BK244" s="185"/>
      <c r="BL244" s="185"/>
    </row>
    <row r="245" ht="15.7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233"/>
      <c r="AF245" s="185"/>
      <c r="AG245" s="185"/>
      <c r="AH245" s="185"/>
      <c r="AI245" s="185"/>
      <c r="AJ245" s="185"/>
      <c r="AK245" s="185"/>
      <c r="AL245" s="185"/>
      <c r="AM245" s="185"/>
      <c r="AN245" s="185"/>
      <c r="AO245" s="185"/>
      <c r="AP245" s="185"/>
      <c r="AQ245" s="185"/>
      <c r="AR245" s="185"/>
      <c r="AS245" s="185"/>
      <c r="AT245" s="185"/>
      <c r="AU245" s="185"/>
      <c r="AV245" s="185"/>
      <c r="AW245" s="185"/>
      <c r="AX245" s="185"/>
      <c r="AY245" s="185"/>
      <c r="AZ245" s="185"/>
      <c r="BA245" s="185"/>
      <c r="BB245" s="185"/>
      <c r="BC245" s="185"/>
      <c r="BD245" s="185"/>
      <c r="BE245" s="185"/>
      <c r="BF245" s="185"/>
      <c r="BG245" s="185"/>
      <c r="BH245" s="185"/>
      <c r="BI245" s="185"/>
      <c r="BJ245" s="185"/>
      <c r="BK245" s="185"/>
      <c r="BL245" s="185"/>
    </row>
    <row r="246" ht="15.7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233"/>
      <c r="AF246" s="185"/>
      <c r="AG246" s="185"/>
      <c r="AH246" s="185"/>
      <c r="AI246" s="185"/>
      <c r="AJ246" s="185"/>
      <c r="AK246" s="185"/>
      <c r="AL246" s="185"/>
      <c r="AM246" s="185"/>
      <c r="AN246" s="185"/>
      <c r="AO246" s="185"/>
      <c r="AP246" s="185"/>
      <c r="AQ246" s="185"/>
      <c r="AR246" s="185"/>
      <c r="AS246" s="185"/>
      <c r="AT246" s="185"/>
      <c r="AU246" s="185"/>
      <c r="AV246" s="185"/>
      <c r="AW246" s="185"/>
      <c r="AX246" s="185"/>
      <c r="AY246" s="185"/>
      <c r="AZ246" s="185"/>
      <c r="BA246" s="185"/>
      <c r="BB246" s="185"/>
      <c r="BC246" s="185"/>
      <c r="BD246" s="185"/>
      <c r="BE246" s="185"/>
      <c r="BF246" s="185"/>
      <c r="BG246" s="185"/>
      <c r="BH246" s="185"/>
      <c r="BI246" s="185"/>
      <c r="BJ246" s="185"/>
      <c r="BK246" s="185"/>
      <c r="BL246" s="185"/>
    </row>
    <row r="247" ht="15.7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233"/>
      <c r="AF247" s="185"/>
      <c r="AG247" s="185"/>
      <c r="AH247" s="185"/>
      <c r="AI247" s="185"/>
      <c r="AJ247" s="185"/>
      <c r="AK247" s="185"/>
      <c r="AL247" s="185"/>
      <c r="AM247" s="185"/>
      <c r="AN247" s="185"/>
      <c r="AO247" s="185"/>
      <c r="AP247" s="185"/>
      <c r="AQ247" s="185"/>
      <c r="AR247" s="185"/>
      <c r="AS247" s="185"/>
      <c r="AT247" s="185"/>
      <c r="AU247" s="185"/>
      <c r="AV247" s="185"/>
      <c r="AW247" s="185"/>
      <c r="AX247" s="185"/>
      <c r="AY247" s="185"/>
      <c r="AZ247" s="185"/>
      <c r="BA247" s="185"/>
      <c r="BB247" s="185"/>
      <c r="BC247" s="185"/>
      <c r="BD247" s="185"/>
      <c r="BE247" s="185"/>
      <c r="BF247" s="185"/>
      <c r="BG247" s="185"/>
      <c r="BH247" s="185"/>
      <c r="BI247" s="185"/>
      <c r="BJ247" s="185"/>
      <c r="BK247" s="185"/>
      <c r="BL247" s="185"/>
    </row>
    <row r="248" ht="15.7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233"/>
      <c r="AF248" s="185"/>
      <c r="AG248" s="185"/>
      <c r="AH248" s="185"/>
      <c r="AI248" s="185"/>
      <c r="AJ248" s="185"/>
      <c r="AK248" s="185"/>
      <c r="AL248" s="185"/>
      <c r="AM248" s="185"/>
      <c r="AN248" s="185"/>
      <c r="AO248" s="185"/>
      <c r="AP248" s="185"/>
      <c r="AQ248" s="185"/>
      <c r="AR248" s="185"/>
      <c r="AS248" s="185"/>
      <c r="AT248" s="185"/>
      <c r="AU248" s="185"/>
      <c r="AV248" s="185"/>
      <c r="AW248" s="185"/>
      <c r="AX248" s="185"/>
      <c r="AY248" s="185"/>
      <c r="AZ248" s="185"/>
      <c r="BA248" s="185"/>
      <c r="BB248" s="185"/>
      <c r="BC248" s="185"/>
      <c r="BD248" s="185"/>
      <c r="BE248" s="185"/>
      <c r="BF248" s="185"/>
      <c r="BG248" s="185"/>
      <c r="BH248" s="185"/>
      <c r="BI248" s="185"/>
      <c r="BJ248" s="185"/>
      <c r="BK248" s="185"/>
      <c r="BL248" s="185"/>
    </row>
    <row r="249" ht="15.7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233"/>
      <c r="AF249" s="185"/>
      <c r="AG249" s="185"/>
      <c r="AH249" s="185"/>
      <c r="AI249" s="185"/>
      <c r="AJ249" s="185"/>
      <c r="AK249" s="185"/>
      <c r="AL249" s="185"/>
      <c r="AM249" s="185"/>
      <c r="AN249" s="185"/>
      <c r="AO249" s="185"/>
      <c r="AP249" s="185"/>
      <c r="AQ249" s="185"/>
      <c r="AR249" s="185"/>
      <c r="AS249" s="185"/>
      <c r="AT249" s="185"/>
      <c r="AU249" s="185"/>
      <c r="AV249" s="185"/>
      <c r="AW249" s="185"/>
      <c r="AX249" s="185"/>
      <c r="AY249" s="185"/>
      <c r="AZ249" s="185"/>
      <c r="BA249" s="185"/>
      <c r="BB249" s="185"/>
      <c r="BC249" s="185"/>
      <c r="BD249" s="185"/>
      <c r="BE249" s="185"/>
      <c r="BF249" s="185"/>
      <c r="BG249" s="185"/>
      <c r="BH249" s="185"/>
      <c r="BI249" s="185"/>
      <c r="BJ249" s="185"/>
      <c r="BK249" s="185"/>
      <c r="BL249" s="185"/>
    </row>
    <row r="250" ht="15.7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233"/>
      <c r="AF250" s="185"/>
      <c r="AG250" s="185"/>
      <c r="AH250" s="185"/>
      <c r="AI250" s="185"/>
      <c r="AJ250" s="185"/>
      <c r="AK250" s="185"/>
      <c r="AL250" s="185"/>
      <c r="AM250" s="185"/>
      <c r="AN250" s="185"/>
      <c r="AO250" s="185"/>
      <c r="AP250" s="185"/>
      <c r="AQ250" s="185"/>
      <c r="AR250" s="185"/>
      <c r="AS250" s="185"/>
      <c r="AT250" s="185"/>
      <c r="AU250" s="185"/>
      <c r="AV250" s="185"/>
      <c r="AW250" s="185"/>
      <c r="AX250" s="185"/>
      <c r="AY250" s="185"/>
      <c r="AZ250" s="185"/>
      <c r="BA250" s="185"/>
      <c r="BB250" s="185"/>
      <c r="BC250" s="185"/>
      <c r="BD250" s="185"/>
      <c r="BE250" s="185"/>
      <c r="BF250" s="185"/>
      <c r="BG250" s="185"/>
      <c r="BH250" s="185"/>
      <c r="BI250" s="185"/>
      <c r="BJ250" s="185"/>
      <c r="BK250" s="185"/>
      <c r="BL250" s="185"/>
    </row>
    <row r="251" ht="15.7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233"/>
      <c r="AF251" s="185"/>
      <c r="AG251" s="185"/>
      <c r="AH251" s="185"/>
      <c r="AI251" s="185"/>
      <c r="AJ251" s="185"/>
      <c r="AK251" s="185"/>
      <c r="AL251" s="185"/>
      <c r="AM251" s="185"/>
      <c r="AN251" s="185"/>
      <c r="AO251" s="185"/>
      <c r="AP251" s="185"/>
      <c r="AQ251" s="185"/>
      <c r="AR251" s="185"/>
      <c r="AS251" s="185"/>
      <c r="AT251" s="185"/>
      <c r="AU251" s="185"/>
      <c r="AV251" s="185"/>
      <c r="AW251" s="185"/>
      <c r="AX251" s="185"/>
      <c r="AY251" s="185"/>
      <c r="AZ251" s="185"/>
      <c r="BA251" s="185"/>
      <c r="BB251" s="185"/>
      <c r="BC251" s="185"/>
      <c r="BD251" s="185"/>
      <c r="BE251" s="185"/>
      <c r="BF251" s="185"/>
      <c r="BG251" s="185"/>
      <c r="BH251" s="185"/>
      <c r="BI251" s="185"/>
      <c r="BJ251" s="185"/>
      <c r="BK251" s="185"/>
      <c r="BL251" s="185"/>
    </row>
    <row r="252" ht="15.7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233"/>
      <c r="AF252" s="185"/>
      <c r="AG252" s="185"/>
      <c r="AH252" s="185"/>
      <c r="AI252" s="185"/>
      <c r="AJ252" s="185"/>
      <c r="AK252" s="185"/>
      <c r="AL252" s="185"/>
      <c r="AM252" s="185"/>
      <c r="AN252" s="185"/>
      <c r="AO252" s="185"/>
      <c r="AP252" s="185"/>
      <c r="AQ252" s="185"/>
      <c r="AR252" s="185"/>
      <c r="AS252" s="185"/>
      <c r="AT252" s="185"/>
      <c r="AU252" s="185"/>
      <c r="AV252" s="185"/>
      <c r="AW252" s="185"/>
      <c r="AX252" s="185"/>
      <c r="AY252" s="185"/>
      <c r="AZ252" s="185"/>
      <c r="BA252" s="185"/>
      <c r="BB252" s="185"/>
      <c r="BC252" s="185"/>
      <c r="BD252" s="185"/>
      <c r="BE252" s="185"/>
      <c r="BF252" s="185"/>
      <c r="BG252" s="185"/>
      <c r="BH252" s="185"/>
      <c r="BI252" s="185"/>
      <c r="BJ252" s="185"/>
      <c r="BK252" s="185"/>
      <c r="BL252" s="185"/>
    </row>
    <row r="253" ht="15.7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233"/>
      <c r="AF253" s="185"/>
      <c r="AG253" s="185"/>
      <c r="AH253" s="185"/>
      <c r="AI253" s="185"/>
      <c r="AJ253" s="185"/>
      <c r="AK253" s="185"/>
      <c r="AL253" s="185"/>
      <c r="AM253" s="185"/>
      <c r="AN253" s="185"/>
      <c r="AO253" s="185"/>
      <c r="AP253" s="185"/>
      <c r="AQ253" s="185"/>
      <c r="AR253" s="185"/>
      <c r="AS253" s="185"/>
      <c r="AT253" s="185"/>
      <c r="AU253" s="185"/>
      <c r="AV253" s="185"/>
      <c r="AW253" s="185"/>
      <c r="AX253" s="185"/>
      <c r="AY253" s="185"/>
      <c r="AZ253" s="185"/>
      <c r="BA253" s="185"/>
      <c r="BB253" s="185"/>
      <c r="BC253" s="185"/>
      <c r="BD253" s="185"/>
      <c r="BE253" s="185"/>
      <c r="BF253" s="185"/>
      <c r="BG253" s="185"/>
      <c r="BH253" s="185"/>
      <c r="BI253" s="185"/>
      <c r="BJ253" s="185"/>
      <c r="BK253" s="185"/>
      <c r="BL253" s="185"/>
    </row>
    <row r="254" ht="15.7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233"/>
      <c r="AF254" s="185"/>
      <c r="AG254" s="185"/>
      <c r="AH254" s="185"/>
      <c r="AI254" s="185"/>
      <c r="AJ254" s="185"/>
      <c r="AK254" s="185"/>
      <c r="AL254" s="185"/>
      <c r="AM254" s="185"/>
      <c r="AN254" s="185"/>
      <c r="AO254" s="185"/>
      <c r="AP254" s="185"/>
      <c r="AQ254" s="185"/>
      <c r="AR254" s="185"/>
      <c r="AS254" s="185"/>
      <c r="AT254" s="185"/>
      <c r="AU254" s="185"/>
      <c r="AV254" s="185"/>
      <c r="AW254" s="185"/>
      <c r="AX254" s="185"/>
      <c r="AY254" s="185"/>
      <c r="AZ254" s="185"/>
      <c r="BA254" s="185"/>
      <c r="BB254" s="185"/>
      <c r="BC254" s="185"/>
      <c r="BD254" s="185"/>
      <c r="BE254" s="185"/>
      <c r="BF254" s="185"/>
      <c r="BG254" s="185"/>
      <c r="BH254" s="185"/>
      <c r="BI254" s="185"/>
      <c r="BJ254" s="185"/>
      <c r="BK254" s="185"/>
      <c r="BL254" s="185"/>
    </row>
    <row r="255" ht="15.7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233"/>
      <c r="AF255" s="185"/>
      <c r="AG255" s="185"/>
      <c r="AH255" s="185"/>
      <c r="AI255" s="185"/>
      <c r="AJ255" s="185"/>
      <c r="AK255" s="185"/>
      <c r="AL255" s="185"/>
      <c r="AM255" s="185"/>
      <c r="AN255" s="185"/>
      <c r="AO255" s="185"/>
      <c r="AP255" s="185"/>
      <c r="AQ255" s="185"/>
      <c r="AR255" s="185"/>
      <c r="AS255" s="185"/>
      <c r="AT255" s="185"/>
      <c r="AU255" s="185"/>
      <c r="AV255" s="185"/>
      <c r="AW255" s="185"/>
      <c r="AX255" s="185"/>
      <c r="AY255" s="185"/>
      <c r="AZ255" s="185"/>
      <c r="BA255" s="185"/>
      <c r="BB255" s="185"/>
      <c r="BC255" s="185"/>
      <c r="BD255" s="185"/>
      <c r="BE255" s="185"/>
      <c r="BF255" s="185"/>
      <c r="BG255" s="185"/>
      <c r="BH255" s="185"/>
      <c r="BI255" s="185"/>
      <c r="BJ255" s="185"/>
      <c r="BK255" s="185"/>
      <c r="BL255" s="185"/>
    </row>
    <row r="256" ht="15.7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233"/>
      <c r="AF256" s="185"/>
      <c r="AG256" s="185"/>
      <c r="AH256" s="185"/>
      <c r="AI256" s="185"/>
      <c r="AJ256" s="185"/>
      <c r="AK256" s="185"/>
      <c r="AL256" s="185"/>
      <c r="AM256" s="185"/>
      <c r="AN256" s="185"/>
      <c r="AO256" s="185"/>
      <c r="AP256" s="185"/>
      <c r="AQ256" s="185"/>
      <c r="AR256" s="185"/>
      <c r="AS256" s="185"/>
      <c r="AT256" s="185"/>
      <c r="AU256" s="185"/>
      <c r="AV256" s="185"/>
      <c r="AW256" s="185"/>
      <c r="AX256" s="185"/>
      <c r="AY256" s="185"/>
      <c r="AZ256" s="185"/>
      <c r="BA256" s="185"/>
      <c r="BB256" s="185"/>
      <c r="BC256" s="185"/>
      <c r="BD256" s="185"/>
      <c r="BE256" s="185"/>
      <c r="BF256" s="185"/>
      <c r="BG256" s="185"/>
      <c r="BH256" s="185"/>
      <c r="BI256" s="185"/>
      <c r="BJ256" s="185"/>
      <c r="BK256" s="185"/>
      <c r="BL256" s="185"/>
    </row>
    <row r="257" ht="15.7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233"/>
      <c r="AF257" s="185"/>
      <c r="AG257" s="185"/>
      <c r="AH257" s="185"/>
      <c r="AI257" s="185"/>
      <c r="AJ257" s="185"/>
      <c r="AK257" s="185"/>
      <c r="AL257" s="185"/>
      <c r="AM257" s="185"/>
      <c r="AN257" s="185"/>
      <c r="AO257" s="185"/>
      <c r="AP257" s="185"/>
      <c r="AQ257" s="185"/>
      <c r="AR257" s="185"/>
      <c r="AS257" s="185"/>
      <c r="AT257" s="185"/>
      <c r="AU257" s="185"/>
      <c r="AV257" s="185"/>
      <c r="AW257" s="185"/>
      <c r="AX257" s="185"/>
      <c r="AY257" s="185"/>
      <c r="AZ257" s="185"/>
      <c r="BA257" s="185"/>
      <c r="BB257" s="185"/>
      <c r="BC257" s="185"/>
      <c r="BD257" s="185"/>
      <c r="BE257" s="185"/>
      <c r="BF257" s="185"/>
      <c r="BG257" s="185"/>
      <c r="BH257" s="185"/>
      <c r="BI257" s="185"/>
      <c r="BJ257" s="185"/>
      <c r="BK257" s="185"/>
      <c r="BL257" s="185"/>
    </row>
    <row r="258" ht="15.7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233"/>
      <c r="AF258" s="185"/>
      <c r="AG258" s="185"/>
      <c r="AH258" s="185"/>
      <c r="AI258" s="185"/>
      <c r="AJ258" s="185"/>
      <c r="AK258" s="185"/>
      <c r="AL258" s="185"/>
      <c r="AM258" s="185"/>
      <c r="AN258" s="185"/>
      <c r="AO258" s="185"/>
      <c r="AP258" s="185"/>
      <c r="AQ258" s="185"/>
      <c r="AR258" s="185"/>
      <c r="AS258" s="185"/>
      <c r="AT258" s="185"/>
      <c r="AU258" s="185"/>
      <c r="AV258" s="185"/>
      <c r="AW258" s="185"/>
      <c r="AX258" s="185"/>
      <c r="AY258" s="185"/>
      <c r="AZ258" s="185"/>
      <c r="BA258" s="185"/>
      <c r="BB258" s="185"/>
      <c r="BC258" s="185"/>
      <c r="BD258" s="185"/>
      <c r="BE258" s="185"/>
      <c r="BF258" s="185"/>
      <c r="BG258" s="185"/>
      <c r="BH258" s="185"/>
      <c r="BI258" s="185"/>
      <c r="BJ258" s="185"/>
      <c r="BK258" s="185"/>
      <c r="BL258" s="185"/>
    </row>
    <row r="259" ht="15.7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233"/>
      <c r="AF259" s="185"/>
      <c r="AG259" s="185"/>
      <c r="AH259" s="185"/>
      <c r="AI259" s="185"/>
      <c r="AJ259" s="185"/>
      <c r="AK259" s="185"/>
      <c r="AL259" s="185"/>
      <c r="AM259" s="185"/>
      <c r="AN259" s="185"/>
      <c r="AO259" s="185"/>
      <c r="AP259" s="185"/>
      <c r="AQ259" s="185"/>
      <c r="AR259" s="185"/>
      <c r="AS259" s="185"/>
      <c r="AT259" s="185"/>
      <c r="AU259" s="185"/>
      <c r="AV259" s="185"/>
      <c r="AW259" s="185"/>
      <c r="AX259" s="185"/>
      <c r="AY259" s="185"/>
      <c r="AZ259" s="185"/>
      <c r="BA259" s="185"/>
      <c r="BB259" s="185"/>
      <c r="BC259" s="185"/>
      <c r="BD259" s="185"/>
      <c r="BE259" s="185"/>
      <c r="BF259" s="185"/>
      <c r="BG259" s="185"/>
      <c r="BH259" s="185"/>
      <c r="BI259" s="185"/>
      <c r="BJ259" s="185"/>
      <c r="BK259" s="185"/>
      <c r="BL259" s="185"/>
    </row>
    <row r="260" ht="15.7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233"/>
      <c r="AF260" s="185"/>
      <c r="AG260" s="185"/>
      <c r="AH260" s="185"/>
      <c r="AI260" s="185"/>
      <c r="AJ260" s="185"/>
      <c r="AK260" s="185"/>
      <c r="AL260" s="185"/>
      <c r="AM260" s="185"/>
      <c r="AN260" s="185"/>
      <c r="AO260" s="185"/>
      <c r="AP260" s="185"/>
      <c r="AQ260" s="185"/>
      <c r="AR260" s="185"/>
      <c r="AS260" s="185"/>
      <c r="AT260" s="185"/>
      <c r="AU260" s="185"/>
      <c r="AV260" s="185"/>
      <c r="AW260" s="185"/>
      <c r="AX260" s="185"/>
      <c r="AY260" s="185"/>
      <c r="AZ260" s="185"/>
      <c r="BA260" s="185"/>
      <c r="BB260" s="185"/>
      <c r="BC260" s="185"/>
      <c r="BD260" s="185"/>
      <c r="BE260" s="185"/>
      <c r="BF260" s="185"/>
      <c r="BG260" s="185"/>
      <c r="BH260" s="185"/>
      <c r="BI260" s="185"/>
      <c r="BJ260" s="185"/>
      <c r="BK260" s="185"/>
      <c r="BL260" s="185"/>
    </row>
    <row r="261" ht="15.7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233"/>
      <c r="AF261" s="185"/>
      <c r="AG261" s="185"/>
      <c r="AH261" s="185"/>
      <c r="AI261" s="185"/>
      <c r="AJ261" s="185"/>
      <c r="AK261" s="185"/>
      <c r="AL261" s="185"/>
      <c r="AM261" s="185"/>
      <c r="AN261" s="185"/>
      <c r="AO261" s="185"/>
      <c r="AP261" s="185"/>
      <c r="AQ261" s="185"/>
      <c r="AR261" s="185"/>
      <c r="AS261" s="185"/>
      <c r="AT261" s="185"/>
      <c r="AU261" s="185"/>
      <c r="AV261" s="185"/>
      <c r="AW261" s="185"/>
      <c r="AX261" s="185"/>
      <c r="AY261" s="185"/>
      <c r="AZ261" s="185"/>
      <c r="BA261" s="185"/>
      <c r="BB261" s="185"/>
      <c r="BC261" s="185"/>
      <c r="BD261" s="185"/>
      <c r="BE261" s="185"/>
      <c r="BF261" s="185"/>
      <c r="BG261" s="185"/>
      <c r="BH261" s="185"/>
      <c r="BI261" s="185"/>
      <c r="BJ261" s="185"/>
      <c r="BK261" s="185"/>
      <c r="BL261" s="185"/>
    </row>
    <row r="262" ht="15.7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233"/>
      <c r="AF262" s="185"/>
      <c r="AG262" s="185"/>
      <c r="AH262" s="185"/>
      <c r="AI262" s="185"/>
      <c r="AJ262" s="185"/>
      <c r="AK262" s="185"/>
      <c r="AL262" s="185"/>
      <c r="AM262" s="185"/>
      <c r="AN262" s="185"/>
      <c r="AO262" s="185"/>
      <c r="AP262" s="185"/>
      <c r="AQ262" s="185"/>
      <c r="AR262" s="185"/>
      <c r="AS262" s="185"/>
      <c r="AT262" s="185"/>
      <c r="AU262" s="185"/>
      <c r="AV262" s="185"/>
      <c r="AW262" s="185"/>
      <c r="AX262" s="185"/>
      <c r="AY262" s="185"/>
      <c r="AZ262" s="185"/>
      <c r="BA262" s="185"/>
      <c r="BB262" s="185"/>
      <c r="BC262" s="185"/>
      <c r="BD262" s="185"/>
      <c r="BE262" s="185"/>
      <c r="BF262" s="185"/>
      <c r="BG262" s="185"/>
      <c r="BH262" s="185"/>
      <c r="BI262" s="185"/>
      <c r="BJ262" s="185"/>
      <c r="BK262" s="185"/>
      <c r="BL262" s="185"/>
    </row>
    <row r="263" ht="15.7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233"/>
      <c r="AF263" s="185"/>
      <c r="AG263" s="185"/>
      <c r="AH263" s="185"/>
      <c r="AI263" s="185"/>
      <c r="AJ263" s="185"/>
      <c r="AK263" s="185"/>
      <c r="AL263" s="185"/>
      <c r="AM263" s="185"/>
      <c r="AN263" s="185"/>
      <c r="AO263" s="185"/>
      <c r="AP263" s="185"/>
      <c r="AQ263" s="185"/>
      <c r="AR263" s="185"/>
      <c r="AS263" s="185"/>
      <c r="AT263" s="185"/>
      <c r="AU263" s="185"/>
      <c r="AV263" s="185"/>
      <c r="AW263" s="185"/>
      <c r="AX263" s="185"/>
      <c r="AY263" s="185"/>
      <c r="AZ263" s="185"/>
      <c r="BA263" s="185"/>
      <c r="BB263" s="185"/>
      <c r="BC263" s="185"/>
      <c r="BD263" s="185"/>
      <c r="BE263" s="185"/>
      <c r="BF263" s="185"/>
      <c r="BG263" s="185"/>
      <c r="BH263" s="185"/>
      <c r="BI263" s="185"/>
      <c r="BJ263" s="185"/>
      <c r="BK263" s="185"/>
      <c r="BL263" s="185"/>
    </row>
    <row r="264" ht="15.7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233"/>
      <c r="AF264" s="185"/>
      <c r="AG264" s="185"/>
      <c r="AH264" s="185"/>
      <c r="AI264" s="185"/>
      <c r="AJ264" s="185"/>
      <c r="AK264" s="185"/>
      <c r="AL264" s="185"/>
      <c r="AM264" s="185"/>
      <c r="AN264" s="185"/>
      <c r="AO264" s="185"/>
      <c r="AP264" s="185"/>
      <c r="AQ264" s="185"/>
      <c r="AR264" s="185"/>
      <c r="AS264" s="185"/>
      <c r="AT264" s="185"/>
      <c r="AU264" s="185"/>
      <c r="AV264" s="185"/>
      <c r="AW264" s="185"/>
      <c r="AX264" s="185"/>
      <c r="AY264" s="185"/>
      <c r="AZ264" s="185"/>
      <c r="BA264" s="185"/>
      <c r="BB264" s="185"/>
      <c r="BC264" s="185"/>
      <c r="BD264" s="185"/>
      <c r="BE264" s="185"/>
      <c r="BF264" s="185"/>
      <c r="BG264" s="185"/>
      <c r="BH264" s="185"/>
      <c r="BI264" s="185"/>
      <c r="BJ264" s="185"/>
      <c r="BK264" s="185"/>
      <c r="BL264" s="185"/>
    </row>
    <row r="265" ht="15.7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233"/>
      <c r="AF265" s="185"/>
      <c r="AG265" s="185"/>
      <c r="AH265" s="185"/>
      <c r="AI265" s="185"/>
      <c r="AJ265" s="185"/>
      <c r="AK265" s="185"/>
      <c r="AL265" s="185"/>
      <c r="AM265" s="185"/>
      <c r="AN265" s="185"/>
      <c r="AO265" s="185"/>
      <c r="AP265" s="185"/>
      <c r="AQ265" s="185"/>
      <c r="AR265" s="185"/>
      <c r="AS265" s="185"/>
      <c r="AT265" s="185"/>
      <c r="AU265" s="185"/>
      <c r="AV265" s="185"/>
      <c r="AW265" s="185"/>
      <c r="AX265" s="185"/>
      <c r="AY265" s="185"/>
      <c r="AZ265" s="185"/>
      <c r="BA265" s="185"/>
      <c r="BB265" s="185"/>
      <c r="BC265" s="185"/>
      <c r="BD265" s="185"/>
      <c r="BE265" s="185"/>
      <c r="BF265" s="185"/>
      <c r="BG265" s="185"/>
      <c r="BH265" s="185"/>
      <c r="BI265" s="185"/>
      <c r="BJ265" s="185"/>
      <c r="BK265" s="185"/>
      <c r="BL265" s="185"/>
    </row>
    <row r="266" ht="15.7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233"/>
      <c r="AF266" s="185"/>
      <c r="AG266" s="185"/>
      <c r="AH266" s="185"/>
      <c r="AI266" s="185"/>
      <c r="AJ266" s="185"/>
      <c r="AK266" s="185"/>
      <c r="AL266" s="185"/>
      <c r="AM266" s="185"/>
      <c r="AN266" s="185"/>
      <c r="AO266" s="185"/>
      <c r="AP266" s="185"/>
      <c r="AQ266" s="185"/>
      <c r="AR266" s="185"/>
      <c r="AS266" s="185"/>
      <c r="AT266" s="185"/>
      <c r="AU266" s="185"/>
      <c r="AV266" s="185"/>
      <c r="AW266" s="185"/>
      <c r="AX266" s="185"/>
      <c r="AY266" s="185"/>
      <c r="AZ266" s="185"/>
      <c r="BA266" s="185"/>
      <c r="BB266" s="185"/>
      <c r="BC266" s="185"/>
      <c r="BD266" s="185"/>
      <c r="BE266" s="185"/>
      <c r="BF266" s="185"/>
      <c r="BG266" s="185"/>
      <c r="BH266" s="185"/>
      <c r="BI266" s="185"/>
      <c r="BJ266" s="185"/>
      <c r="BK266" s="185"/>
      <c r="BL266" s="185"/>
    </row>
    <row r="267" ht="15.7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233"/>
      <c r="AF267" s="185"/>
      <c r="AG267" s="185"/>
      <c r="AH267" s="185"/>
      <c r="AI267" s="185"/>
      <c r="AJ267" s="185"/>
      <c r="AK267" s="185"/>
      <c r="AL267" s="185"/>
      <c r="AM267" s="185"/>
      <c r="AN267" s="185"/>
      <c r="AO267" s="185"/>
      <c r="AP267" s="185"/>
      <c r="AQ267" s="185"/>
      <c r="AR267" s="185"/>
      <c r="AS267" s="185"/>
      <c r="AT267" s="185"/>
      <c r="AU267" s="185"/>
      <c r="AV267" s="185"/>
      <c r="AW267" s="185"/>
      <c r="AX267" s="185"/>
      <c r="AY267" s="185"/>
      <c r="AZ267" s="185"/>
      <c r="BA267" s="185"/>
      <c r="BB267" s="185"/>
      <c r="BC267" s="185"/>
      <c r="BD267" s="185"/>
      <c r="BE267" s="185"/>
      <c r="BF267" s="185"/>
      <c r="BG267" s="185"/>
      <c r="BH267" s="185"/>
      <c r="BI267" s="185"/>
      <c r="BJ267" s="185"/>
      <c r="BK267" s="185"/>
      <c r="BL267" s="185"/>
    </row>
    <row r="268" ht="15.7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233"/>
      <c r="AF268" s="185"/>
      <c r="AG268" s="185"/>
      <c r="AH268" s="185"/>
      <c r="AI268" s="185"/>
      <c r="AJ268" s="185"/>
      <c r="AK268" s="185"/>
      <c r="AL268" s="185"/>
      <c r="AM268" s="185"/>
      <c r="AN268" s="185"/>
      <c r="AO268" s="185"/>
      <c r="AP268" s="185"/>
      <c r="AQ268" s="185"/>
      <c r="AR268" s="185"/>
      <c r="AS268" s="185"/>
      <c r="AT268" s="185"/>
      <c r="AU268" s="185"/>
      <c r="AV268" s="185"/>
      <c r="AW268" s="185"/>
      <c r="AX268" s="185"/>
      <c r="AY268" s="185"/>
      <c r="AZ268" s="185"/>
      <c r="BA268" s="185"/>
      <c r="BB268" s="185"/>
      <c r="BC268" s="185"/>
      <c r="BD268" s="185"/>
      <c r="BE268" s="185"/>
      <c r="BF268" s="185"/>
      <c r="BG268" s="185"/>
      <c r="BH268" s="185"/>
      <c r="BI268" s="185"/>
      <c r="BJ268" s="185"/>
      <c r="BK268" s="185"/>
      <c r="BL268" s="185"/>
    </row>
    <row r="269" ht="15.7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233"/>
      <c r="AF269" s="185"/>
      <c r="AG269" s="185"/>
      <c r="AH269" s="185"/>
      <c r="AI269" s="185"/>
      <c r="AJ269" s="185"/>
      <c r="AK269" s="185"/>
      <c r="AL269" s="185"/>
      <c r="AM269" s="185"/>
      <c r="AN269" s="185"/>
      <c r="AO269" s="185"/>
      <c r="AP269" s="185"/>
      <c r="AQ269" s="185"/>
      <c r="AR269" s="185"/>
      <c r="AS269" s="185"/>
      <c r="AT269" s="185"/>
      <c r="AU269" s="185"/>
      <c r="AV269" s="185"/>
      <c r="AW269" s="185"/>
      <c r="AX269" s="185"/>
      <c r="AY269" s="185"/>
      <c r="AZ269" s="185"/>
      <c r="BA269" s="185"/>
      <c r="BB269" s="185"/>
      <c r="BC269" s="185"/>
      <c r="BD269" s="185"/>
      <c r="BE269" s="185"/>
      <c r="BF269" s="185"/>
      <c r="BG269" s="185"/>
      <c r="BH269" s="185"/>
      <c r="BI269" s="185"/>
      <c r="BJ269" s="185"/>
      <c r="BK269" s="185"/>
      <c r="BL269" s="18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 ht="15.75" customHeight="1">
      <c r="A1" s="43" t="s">
        <v>0</v>
      </c>
      <c r="B1" s="203"/>
      <c r="C1" s="203"/>
      <c r="D1" s="43" t="s">
        <v>7</v>
      </c>
      <c r="E1" s="43" t="s">
        <v>8</v>
      </c>
      <c r="F1" s="43" t="s">
        <v>9</v>
      </c>
      <c r="G1" s="43" t="s">
        <v>10</v>
      </c>
      <c r="H1" s="43" t="s">
        <v>11</v>
      </c>
      <c r="I1" s="43" t="s">
        <v>12</v>
      </c>
      <c r="J1" s="43" t="s">
        <v>13</v>
      </c>
      <c r="K1" s="43" t="s">
        <v>63</v>
      </c>
      <c r="L1" s="43" t="s">
        <v>64</v>
      </c>
      <c r="M1" s="43" t="s">
        <v>65</v>
      </c>
      <c r="N1" s="43" t="s">
        <v>66</v>
      </c>
      <c r="O1" s="43" t="s">
        <v>67</v>
      </c>
      <c r="P1" s="43" t="s">
        <v>68</v>
      </c>
      <c r="Q1" s="43" t="s">
        <v>69</v>
      </c>
      <c r="R1" s="43" t="s">
        <v>70</v>
      </c>
      <c r="S1" s="43" t="str">
        <f t="array" ref="S1:AD1">transpose(A22:A33)</f>
        <v>Q1 26</v>
      </c>
      <c r="T1" s="43" t="s">
        <v>72</v>
      </c>
      <c r="U1" s="43" t="s">
        <v>73</v>
      </c>
      <c r="V1" s="43" t="s">
        <v>74</v>
      </c>
      <c r="W1" s="43" t="s">
        <v>75</v>
      </c>
      <c r="X1" s="43" t="s">
        <v>76</v>
      </c>
      <c r="Y1" s="43" t="s">
        <v>77</v>
      </c>
      <c r="Z1" s="43" t="s">
        <v>78</v>
      </c>
      <c r="AA1" s="43" t="s">
        <v>79</v>
      </c>
      <c r="AB1" s="43" t="s">
        <v>80</v>
      </c>
      <c r="AC1" s="43" t="s">
        <v>81</v>
      </c>
      <c r="AD1" s="43" t="s">
        <v>82</v>
      </c>
      <c r="AE1" s="204"/>
      <c r="AF1" s="43" t="s">
        <v>14</v>
      </c>
      <c r="AG1" s="43" t="s">
        <v>2</v>
      </c>
      <c r="AH1" s="43" t="s">
        <v>3</v>
      </c>
      <c r="AI1" s="43" t="s">
        <v>4</v>
      </c>
      <c r="AJ1" s="43" t="s">
        <v>5</v>
      </c>
      <c r="AK1" s="43" t="s">
        <v>6</v>
      </c>
      <c r="AL1" s="43" t="s">
        <v>7</v>
      </c>
      <c r="AM1" s="43" t="s">
        <v>8</v>
      </c>
      <c r="AN1" s="43" t="s">
        <v>9</v>
      </c>
      <c r="AO1" s="43" t="s">
        <v>10</v>
      </c>
      <c r="AP1" s="43" t="s">
        <v>11</v>
      </c>
      <c r="AQ1" s="43" t="s">
        <v>12</v>
      </c>
      <c r="AR1" s="43" t="s">
        <v>13</v>
      </c>
      <c r="AS1" s="43" t="s">
        <v>63</v>
      </c>
      <c r="AT1" s="43" t="s">
        <v>64</v>
      </c>
      <c r="AU1" s="43" t="s">
        <v>65</v>
      </c>
      <c r="AV1" s="43" t="s">
        <v>66</v>
      </c>
      <c r="AW1" s="43" t="s">
        <v>67</v>
      </c>
      <c r="AX1" s="43" t="s">
        <v>68</v>
      </c>
      <c r="AY1" s="43" t="s">
        <v>69</v>
      </c>
      <c r="AZ1" s="43" t="s">
        <v>70</v>
      </c>
      <c r="BA1" s="43" t="str">
        <f t="array" ref="BA1:BL1">transpose(A22:A33)</f>
        <v>Q1 26</v>
      </c>
      <c r="BB1" s="43" t="s">
        <v>72</v>
      </c>
      <c r="BC1" s="43" t="s">
        <v>73</v>
      </c>
      <c r="BD1" s="43" t="s">
        <v>74</v>
      </c>
      <c r="BE1" s="43" t="s">
        <v>75</v>
      </c>
      <c r="BF1" s="43" t="s">
        <v>76</v>
      </c>
      <c r="BG1" s="43" t="s">
        <v>77</v>
      </c>
      <c r="BH1" s="43" t="s">
        <v>78</v>
      </c>
      <c r="BI1" s="43" t="s">
        <v>79</v>
      </c>
      <c r="BJ1" s="43" t="s">
        <v>80</v>
      </c>
      <c r="BK1" s="43" t="s">
        <v>81</v>
      </c>
      <c r="BL1" s="43" t="s">
        <v>82</v>
      </c>
    </row>
    <row r="2" ht="15.75" customHeight="1">
      <c r="A2" s="43" t="s">
        <v>2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4"/>
      <c r="AF2" s="205"/>
      <c r="AG2" s="206">
        <v>0.14</v>
      </c>
      <c r="AH2" s="206">
        <v>0.33</v>
      </c>
      <c r="AI2" s="206">
        <v>0.25</v>
      </c>
      <c r="AJ2" s="206">
        <v>0.15</v>
      </c>
      <c r="AK2" s="206">
        <v>0.07</v>
      </c>
      <c r="AL2" s="206">
        <v>0.04</v>
      </c>
      <c r="AM2" s="206">
        <v>0.02</v>
      </c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</row>
    <row r="3" ht="15.75" customHeight="1">
      <c r="A3" s="43" t="s">
        <v>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4"/>
      <c r="AF3" s="205"/>
      <c r="AG3" s="205"/>
      <c r="AH3" s="206">
        <v>0.14</v>
      </c>
      <c r="AI3" s="206">
        <v>0.33</v>
      </c>
      <c r="AJ3" s="206">
        <v>0.25</v>
      </c>
      <c r="AK3" s="206">
        <v>0.15</v>
      </c>
      <c r="AL3" s="206">
        <v>0.07</v>
      </c>
      <c r="AM3" s="206">
        <v>0.04</v>
      </c>
      <c r="AN3" s="206">
        <v>0.02</v>
      </c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</row>
    <row r="4" ht="15.75" customHeight="1">
      <c r="A4" s="43" t="s">
        <v>4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4"/>
      <c r="AF4" s="205"/>
      <c r="AG4" s="205"/>
      <c r="AH4" s="205"/>
      <c r="AI4" s="206">
        <v>0.14</v>
      </c>
      <c r="AJ4" s="206">
        <v>0.33</v>
      </c>
      <c r="AK4" s="206">
        <v>0.25</v>
      </c>
      <c r="AL4" s="206">
        <v>0.15</v>
      </c>
      <c r="AM4" s="206">
        <v>0.07</v>
      </c>
      <c r="AN4" s="206">
        <v>0.04</v>
      </c>
      <c r="AO4" s="206">
        <v>0.02</v>
      </c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</row>
    <row r="5" ht="15.75" customHeight="1">
      <c r="A5" s="43" t="s">
        <v>5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4"/>
      <c r="AF5" s="205"/>
      <c r="AG5" s="205"/>
      <c r="AH5" s="205"/>
      <c r="AI5" s="205"/>
      <c r="AJ5" s="206">
        <v>0.14</v>
      </c>
      <c r="AK5" s="206">
        <v>0.33</v>
      </c>
      <c r="AL5" s="206">
        <v>0.25</v>
      </c>
      <c r="AM5" s="206">
        <v>0.15</v>
      </c>
      <c r="AN5" s="206">
        <v>0.07</v>
      </c>
      <c r="AO5" s="206">
        <v>0.04</v>
      </c>
      <c r="AP5" s="206">
        <v>0.02</v>
      </c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</row>
    <row r="6" ht="15.75" customHeight="1">
      <c r="A6" s="43" t="s">
        <v>6</v>
      </c>
      <c r="B6" s="205"/>
      <c r="C6" s="205"/>
      <c r="D6" s="206">
        <v>0.1</v>
      </c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8"/>
      <c r="AF6" s="207"/>
      <c r="AG6" s="207"/>
      <c r="AH6" s="207"/>
      <c r="AI6" s="207"/>
      <c r="AJ6" s="207"/>
      <c r="AK6" s="206">
        <v>0.14</v>
      </c>
      <c r="AL6" s="206">
        <v>0.33</v>
      </c>
      <c r="AM6" s="206">
        <v>0.25</v>
      </c>
      <c r="AN6" s="206">
        <v>0.15</v>
      </c>
      <c r="AO6" s="206">
        <v>0.07</v>
      </c>
      <c r="AP6" s="206">
        <v>0.04</v>
      </c>
      <c r="AQ6" s="206">
        <v>0.02</v>
      </c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</row>
    <row r="7" ht="15.75" customHeight="1">
      <c r="A7" s="43" t="s">
        <v>7</v>
      </c>
      <c r="B7" s="205"/>
      <c r="C7" s="205"/>
      <c r="D7" s="206">
        <f>227/255</f>
        <v>0.8901960784</v>
      </c>
      <c r="E7" s="206">
        <v>0.1</v>
      </c>
      <c r="F7" s="206">
        <v>0.01</v>
      </c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8"/>
      <c r="AF7" s="207"/>
      <c r="AG7" s="207"/>
      <c r="AH7" s="207"/>
      <c r="AI7" s="207"/>
      <c r="AJ7" s="207"/>
      <c r="AK7" s="207"/>
      <c r="AL7" s="206">
        <v>0.14</v>
      </c>
      <c r="AM7" s="206">
        <v>0.33</v>
      </c>
      <c r="AN7" s="206">
        <v>0.25</v>
      </c>
      <c r="AO7" s="206">
        <v>0.15</v>
      </c>
      <c r="AP7" s="206">
        <v>0.07</v>
      </c>
      <c r="AQ7" s="206">
        <v>0.04</v>
      </c>
      <c r="AR7" s="206">
        <v>0.02</v>
      </c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</row>
    <row r="8" ht="15.75" customHeight="1">
      <c r="A8" s="43" t="s">
        <v>8</v>
      </c>
      <c r="B8" s="205"/>
      <c r="C8" s="205"/>
      <c r="D8" s="207"/>
      <c r="E8" s="206">
        <f>227/255</f>
        <v>0.8901960784</v>
      </c>
      <c r="F8" s="206">
        <v>0.1</v>
      </c>
      <c r="G8" s="206">
        <v>0.01</v>
      </c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8"/>
      <c r="AF8" s="207"/>
      <c r="AG8" s="207"/>
      <c r="AH8" s="207"/>
      <c r="AI8" s="207"/>
      <c r="AJ8" s="207"/>
      <c r="AK8" s="207"/>
      <c r="AL8" s="207"/>
      <c r="AM8" s="206">
        <v>0.14</v>
      </c>
      <c r="AN8" s="206">
        <v>0.33</v>
      </c>
      <c r="AO8" s="206">
        <v>0.25</v>
      </c>
      <c r="AP8" s="206">
        <v>0.15</v>
      </c>
      <c r="AQ8" s="206">
        <v>0.07</v>
      </c>
      <c r="AR8" s="206">
        <v>0.04</v>
      </c>
      <c r="AS8" s="206">
        <v>0.02</v>
      </c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</row>
    <row r="9" ht="15.75" customHeight="1">
      <c r="A9" s="43" t="s">
        <v>9</v>
      </c>
      <c r="B9" s="205"/>
      <c r="C9" s="205"/>
      <c r="D9" s="207"/>
      <c r="E9" s="207"/>
      <c r="F9" s="206">
        <f>227/255</f>
        <v>0.8901960784</v>
      </c>
      <c r="G9" s="206">
        <v>0.1</v>
      </c>
      <c r="H9" s="206">
        <v>0.01</v>
      </c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8"/>
      <c r="AF9" s="207"/>
      <c r="AG9" s="207"/>
      <c r="AH9" s="207"/>
      <c r="AI9" s="207"/>
      <c r="AJ9" s="207"/>
      <c r="AK9" s="207"/>
      <c r="AL9" s="207"/>
      <c r="AM9" s="207"/>
      <c r="AN9" s="206">
        <v>0.14</v>
      </c>
      <c r="AO9" s="206">
        <v>0.33</v>
      </c>
      <c r="AP9" s="206">
        <v>0.25</v>
      </c>
      <c r="AQ9" s="206">
        <v>0.15</v>
      </c>
      <c r="AR9" s="206">
        <v>0.07</v>
      </c>
      <c r="AS9" s="206">
        <v>0.04</v>
      </c>
      <c r="AT9" s="206">
        <v>0.02</v>
      </c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</row>
    <row r="10" ht="15.75" customHeight="1">
      <c r="A10" s="43" t="s">
        <v>10</v>
      </c>
      <c r="B10" s="205"/>
      <c r="C10" s="205"/>
      <c r="D10" s="207"/>
      <c r="E10" s="207"/>
      <c r="F10" s="207"/>
      <c r="G10" s="206">
        <f>227/255</f>
        <v>0.8901960784</v>
      </c>
      <c r="H10" s="206">
        <v>0.1</v>
      </c>
      <c r="I10" s="206">
        <v>0.01</v>
      </c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8"/>
      <c r="AF10" s="207"/>
      <c r="AG10" s="207"/>
      <c r="AH10" s="207"/>
      <c r="AI10" s="207"/>
      <c r="AJ10" s="207"/>
      <c r="AK10" s="207"/>
      <c r="AL10" s="207"/>
      <c r="AM10" s="207"/>
      <c r="AN10" s="207"/>
      <c r="AO10" s="206">
        <v>0.14</v>
      </c>
      <c r="AP10" s="206">
        <v>0.33</v>
      </c>
      <c r="AQ10" s="206">
        <v>0.25</v>
      </c>
      <c r="AR10" s="206">
        <v>0.15</v>
      </c>
      <c r="AS10" s="206">
        <v>0.07</v>
      </c>
      <c r="AT10" s="206">
        <v>0.04</v>
      </c>
      <c r="AU10" s="206">
        <v>0.02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</row>
    <row r="11" ht="15.75" customHeight="1">
      <c r="A11" s="43" t="s">
        <v>11</v>
      </c>
      <c r="B11" s="205"/>
      <c r="C11" s="205"/>
      <c r="D11" s="207"/>
      <c r="E11" s="207"/>
      <c r="F11" s="207"/>
      <c r="G11" s="207"/>
      <c r="H11" s="206">
        <f>227/255</f>
        <v>0.8901960784</v>
      </c>
      <c r="I11" s="206">
        <v>0.1</v>
      </c>
      <c r="J11" s="206">
        <v>0.01</v>
      </c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8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6">
        <v>0.14</v>
      </c>
      <c r="AQ11" s="206">
        <v>0.33</v>
      </c>
      <c r="AR11" s="206">
        <v>0.25</v>
      </c>
      <c r="AS11" s="206">
        <v>0.15</v>
      </c>
      <c r="AT11" s="206">
        <v>0.07</v>
      </c>
      <c r="AU11" s="206">
        <v>0.04</v>
      </c>
      <c r="AV11" s="206">
        <v>0.02</v>
      </c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</row>
    <row r="12" ht="15.75" customHeight="1">
      <c r="A12" s="43" t="s">
        <v>12</v>
      </c>
      <c r="B12" s="205"/>
      <c r="C12" s="205"/>
      <c r="D12" s="207"/>
      <c r="E12" s="207"/>
      <c r="F12" s="207"/>
      <c r="G12" s="207"/>
      <c r="H12" s="207"/>
      <c r="I12" s="206">
        <f>227/255</f>
        <v>0.8901960784</v>
      </c>
      <c r="J12" s="206">
        <v>0.1</v>
      </c>
      <c r="K12" s="206">
        <v>0.01</v>
      </c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8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>
        <v>0.14</v>
      </c>
      <c r="AR12" s="206">
        <v>0.33</v>
      </c>
      <c r="AS12" s="206">
        <v>0.25</v>
      </c>
      <c r="AT12" s="206">
        <v>0.15</v>
      </c>
      <c r="AU12" s="206">
        <v>0.07</v>
      </c>
      <c r="AV12" s="206">
        <v>0.04</v>
      </c>
      <c r="AW12" s="206">
        <v>0.02</v>
      </c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</row>
    <row r="13" ht="15.75" customHeight="1">
      <c r="A13" s="43" t="s">
        <v>13</v>
      </c>
      <c r="B13" s="205"/>
      <c r="C13" s="205"/>
      <c r="D13" s="207"/>
      <c r="E13" s="207"/>
      <c r="F13" s="207"/>
      <c r="G13" s="207"/>
      <c r="H13" s="207"/>
      <c r="I13" s="207"/>
      <c r="J13" s="206">
        <f>227/255</f>
        <v>0.8901960784</v>
      </c>
      <c r="K13" s="206">
        <v>0.1</v>
      </c>
      <c r="L13" s="206">
        <v>0.01</v>
      </c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8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6">
        <v>0.14</v>
      </c>
      <c r="AS13" s="206">
        <v>0.33</v>
      </c>
      <c r="AT13" s="206">
        <v>0.25</v>
      </c>
      <c r="AU13" s="206">
        <v>0.15</v>
      </c>
      <c r="AV13" s="206">
        <v>0.07</v>
      </c>
      <c r="AW13" s="206">
        <v>0.04</v>
      </c>
      <c r="AX13" s="206">
        <v>0.02</v>
      </c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</row>
    <row r="14" ht="15.75" customHeight="1">
      <c r="A14" s="43" t="s">
        <v>63</v>
      </c>
      <c r="B14" s="205"/>
      <c r="C14" s="205"/>
      <c r="D14" s="207"/>
      <c r="E14" s="207"/>
      <c r="F14" s="207"/>
      <c r="G14" s="207"/>
      <c r="H14" s="207"/>
      <c r="I14" s="207"/>
      <c r="J14" s="207"/>
      <c r="K14" s="206">
        <f>227/255</f>
        <v>0.8901960784</v>
      </c>
      <c r="L14" s="206">
        <v>0.1</v>
      </c>
      <c r="M14" s="206">
        <v>0.01</v>
      </c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8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6">
        <v>0.14</v>
      </c>
      <c r="AT14" s="206">
        <v>0.33</v>
      </c>
      <c r="AU14" s="206">
        <v>0.25</v>
      </c>
      <c r="AV14" s="206">
        <v>0.15</v>
      </c>
      <c r="AW14" s="206">
        <v>0.07</v>
      </c>
      <c r="AX14" s="206">
        <v>0.04</v>
      </c>
      <c r="AY14" s="206">
        <v>0.02</v>
      </c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</row>
    <row r="15" ht="15.75" customHeight="1">
      <c r="A15" s="43" t="s">
        <v>64</v>
      </c>
      <c r="B15" s="205"/>
      <c r="C15" s="205"/>
      <c r="D15" s="207"/>
      <c r="E15" s="207"/>
      <c r="F15" s="207"/>
      <c r="G15" s="207"/>
      <c r="H15" s="207"/>
      <c r="I15" s="207"/>
      <c r="J15" s="207"/>
      <c r="K15" s="207"/>
      <c r="L15" s="206">
        <f>227/255</f>
        <v>0.8901960784</v>
      </c>
      <c r="M15" s="206">
        <v>0.1</v>
      </c>
      <c r="N15" s="206">
        <v>0.01</v>
      </c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8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6">
        <v>0.14</v>
      </c>
      <c r="AU15" s="206">
        <v>0.33</v>
      </c>
      <c r="AV15" s="206">
        <v>0.25</v>
      </c>
      <c r="AW15" s="206">
        <v>0.15</v>
      </c>
      <c r="AX15" s="206">
        <v>0.07</v>
      </c>
      <c r="AY15" s="206">
        <v>0.04</v>
      </c>
      <c r="AZ15" s="206">
        <v>0.02</v>
      </c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</row>
    <row r="16" ht="15.75" customHeight="1">
      <c r="A16" s="43" t="s">
        <v>65</v>
      </c>
      <c r="B16" s="205"/>
      <c r="C16" s="205"/>
      <c r="D16" s="207"/>
      <c r="E16" s="207"/>
      <c r="F16" s="207"/>
      <c r="G16" s="207"/>
      <c r="H16" s="207"/>
      <c r="I16" s="207"/>
      <c r="J16" s="207"/>
      <c r="K16" s="207"/>
      <c r="L16" s="207"/>
      <c r="M16" s="206">
        <f>227/255</f>
        <v>0.8901960784</v>
      </c>
      <c r="N16" s="206">
        <v>0.1</v>
      </c>
      <c r="O16" s="206">
        <v>0.01</v>
      </c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8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6">
        <v>0.14</v>
      </c>
      <c r="AV16" s="206">
        <v>0.33</v>
      </c>
      <c r="AW16" s="206">
        <v>0.25</v>
      </c>
      <c r="AX16" s="206">
        <v>0.15</v>
      </c>
      <c r="AY16" s="206">
        <v>0.07</v>
      </c>
      <c r="AZ16" s="206">
        <v>0.04</v>
      </c>
      <c r="BA16" s="206">
        <v>0.02</v>
      </c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</row>
    <row r="17" ht="15.75" customHeight="1">
      <c r="A17" s="43" t="s">
        <v>66</v>
      </c>
      <c r="B17" s="205"/>
      <c r="C17" s="205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6">
        <v>0.89</v>
      </c>
      <c r="O17" s="206">
        <v>0.1</v>
      </c>
      <c r="P17" s="206">
        <v>0.01</v>
      </c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8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6">
        <v>0.14</v>
      </c>
      <c r="AW17" s="206">
        <v>0.33</v>
      </c>
      <c r="AX17" s="206">
        <v>0.25</v>
      </c>
      <c r="AY17" s="206">
        <v>0.15</v>
      </c>
      <c r="AZ17" s="206">
        <v>0.07</v>
      </c>
      <c r="BA17" s="206">
        <v>0.04</v>
      </c>
      <c r="BB17" s="206">
        <v>0.02</v>
      </c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</row>
    <row r="18" ht="15.75" customHeight="1">
      <c r="A18" s="43" t="s">
        <v>67</v>
      </c>
      <c r="B18" s="205"/>
      <c r="C18" s="205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6">
        <v>0.89</v>
      </c>
      <c r="P18" s="206">
        <v>0.1</v>
      </c>
      <c r="Q18" s="206">
        <v>0.01</v>
      </c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8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6">
        <v>0.14</v>
      </c>
      <c r="AX18" s="206">
        <v>0.33</v>
      </c>
      <c r="AY18" s="206">
        <v>0.25</v>
      </c>
      <c r="AZ18" s="206">
        <v>0.15</v>
      </c>
      <c r="BA18" s="206">
        <v>0.07</v>
      </c>
      <c r="BB18" s="206">
        <v>0.04</v>
      </c>
      <c r="BC18" s="206">
        <v>0.02</v>
      </c>
      <c r="BD18" s="207"/>
      <c r="BE18" s="207"/>
      <c r="BF18" s="207"/>
      <c r="BG18" s="207"/>
      <c r="BH18" s="207"/>
      <c r="BI18" s="207"/>
      <c r="BJ18" s="207"/>
      <c r="BK18" s="207"/>
      <c r="BL18" s="207"/>
    </row>
    <row r="19" ht="15.75" customHeight="1">
      <c r="A19" s="43" t="s">
        <v>68</v>
      </c>
      <c r="B19" s="205"/>
      <c r="C19" s="205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6">
        <v>0.89</v>
      </c>
      <c r="Q19" s="206">
        <v>0.1</v>
      </c>
      <c r="R19" s="206">
        <v>0.01</v>
      </c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8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6">
        <v>0.14</v>
      </c>
      <c r="AY19" s="206">
        <v>0.33</v>
      </c>
      <c r="AZ19" s="206">
        <v>0.25</v>
      </c>
      <c r="BA19" s="206">
        <v>0.15</v>
      </c>
      <c r="BB19" s="206">
        <v>0.07</v>
      </c>
      <c r="BC19" s="206">
        <v>0.04</v>
      </c>
      <c r="BD19" s="206">
        <v>0.02</v>
      </c>
      <c r="BE19" s="207"/>
      <c r="BF19" s="207"/>
      <c r="BG19" s="207"/>
      <c r="BH19" s="207"/>
      <c r="BI19" s="207"/>
      <c r="BJ19" s="207"/>
      <c r="BK19" s="207"/>
      <c r="BL19" s="207"/>
    </row>
    <row r="20" ht="15.75" customHeight="1">
      <c r="A20" s="43" t="s">
        <v>69</v>
      </c>
      <c r="B20" s="205"/>
      <c r="C20" s="205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6">
        <v>0.89</v>
      </c>
      <c r="R20" s="206">
        <v>0.1</v>
      </c>
      <c r="S20" s="206">
        <v>0.01</v>
      </c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8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6">
        <v>0.14</v>
      </c>
      <c r="AZ20" s="206">
        <v>0.33</v>
      </c>
      <c r="BA20" s="206">
        <v>0.25</v>
      </c>
      <c r="BB20" s="206">
        <v>0.15</v>
      </c>
      <c r="BC20" s="206">
        <v>0.07</v>
      </c>
      <c r="BD20" s="206">
        <v>0.04</v>
      </c>
      <c r="BE20" s="206">
        <v>0.02</v>
      </c>
      <c r="BF20" s="207"/>
      <c r="BG20" s="207"/>
      <c r="BH20" s="207"/>
      <c r="BI20" s="207"/>
      <c r="BJ20" s="207"/>
      <c r="BK20" s="207"/>
      <c r="BL20" s="207"/>
    </row>
    <row r="21" ht="15.75" customHeight="1">
      <c r="A21" s="43" t="s">
        <v>70</v>
      </c>
      <c r="B21" s="205"/>
      <c r="C21" s="205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6">
        <v>0.89</v>
      </c>
      <c r="S21" s="206">
        <v>0.1</v>
      </c>
      <c r="T21" s="206">
        <v>0.01</v>
      </c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8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6">
        <v>0.14</v>
      </c>
      <c r="BA21" s="206">
        <v>0.33</v>
      </c>
      <c r="BB21" s="206">
        <v>0.25</v>
      </c>
      <c r="BC21" s="206">
        <v>0.15</v>
      </c>
      <c r="BD21" s="206">
        <v>0.07</v>
      </c>
      <c r="BE21" s="206">
        <v>0.04</v>
      </c>
      <c r="BF21" s="206">
        <v>0.02</v>
      </c>
      <c r="BG21" s="207"/>
      <c r="BH21" s="207"/>
      <c r="BI21" s="207"/>
      <c r="BJ21" s="207"/>
      <c r="BK21" s="207"/>
      <c r="BL21" s="207"/>
    </row>
    <row r="22" ht="15.75" customHeight="1">
      <c r="A22" s="43" t="s">
        <v>71</v>
      </c>
      <c r="B22" s="205"/>
      <c r="C22" s="205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6">
        <f>227/255</f>
        <v>0.8901960784</v>
      </c>
      <c r="T22" s="206">
        <v>0.1</v>
      </c>
      <c r="U22" s="206">
        <v>0.01</v>
      </c>
      <c r="V22" s="207"/>
      <c r="W22" s="207"/>
      <c r="X22" s="207"/>
      <c r="Y22" s="207"/>
      <c r="Z22" s="207"/>
      <c r="AA22" s="207"/>
      <c r="AB22" s="207"/>
      <c r="AC22" s="207"/>
      <c r="AD22" s="207"/>
      <c r="AE22" s="208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6">
        <v>0.14</v>
      </c>
      <c r="BB22" s="206">
        <v>0.33</v>
      </c>
      <c r="BC22" s="206">
        <v>0.25</v>
      </c>
      <c r="BD22" s="206">
        <v>0.15</v>
      </c>
      <c r="BE22" s="206">
        <v>0.07</v>
      </c>
      <c r="BF22" s="206">
        <v>0.04</v>
      </c>
      <c r="BG22" s="206">
        <v>0.02</v>
      </c>
      <c r="BH22" s="207"/>
      <c r="BI22" s="207"/>
      <c r="BJ22" s="207"/>
      <c r="BK22" s="207"/>
      <c r="BL22" s="207"/>
    </row>
    <row r="23" ht="15.75" customHeight="1">
      <c r="A23" s="43" t="s">
        <v>72</v>
      </c>
      <c r="B23" s="205"/>
      <c r="C23" s="205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6">
        <f>227/255</f>
        <v>0.8901960784</v>
      </c>
      <c r="U23" s="206">
        <v>0.1</v>
      </c>
      <c r="V23" s="206">
        <v>0.01</v>
      </c>
      <c r="W23" s="207"/>
      <c r="X23" s="207"/>
      <c r="Y23" s="207"/>
      <c r="Z23" s="207"/>
      <c r="AA23" s="207"/>
      <c r="AB23" s="207"/>
      <c r="AC23" s="207"/>
      <c r="AD23" s="207"/>
      <c r="AE23" s="208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6">
        <v>0.14</v>
      </c>
      <c r="BC23" s="206">
        <v>0.33</v>
      </c>
      <c r="BD23" s="206">
        <v>0.25</v>
      </c>
      <c r="BE23" s="206">
        <v>0.15</v>
      </c>
      <c r="BF23" s="206">
        <v>0.07</v>
      </c>
      <c r="BG23" s="206">
        <v>0.04</v>
      </c>
      <c r="BH23" s="206">
        <v>0.02</v>
      </c>
      <c r="BI23" s="207"/>
      <c r="BJ23" s="207"/>
      <c r="BK23" s="207"/>
      <c r="BL23" s="207"/>
    </row>
    <row r="24" ht="15.75" customHeight="1">
      <c r="A24" s="43" t="s">
        <v>73</v>
      </c>
      <c r="B24" s="205"/>
      <c r="C24" s="205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6">
        <f>227/255</f>
        <v>0.8901960784</v>
      </c>
      <c r="V24" s="206">
        <v>0.1</v>
      </c>
      <c r="W24" s="206">
        <v>0.01</v>
      </c>
      <c r="X24" s="207"/>
      <c r="Y24" s="207"/>
      <c r="Z24" s="207"/>
      <c r="AA24" s="207"/>
      <c r="AB24" s="207"/>
      <c r="AC24" s="207"/>
      <c r="AD24" s="207"/>
      <c r="AE24" s="208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6">
        <v>0.14</v>
      </c>
      <c r="BD24" s="206">
        <v>0.33</v>
      </c>
      <c r="BE24" s="206">
        <v>0.25</v>
      </c>
      <c r="BF24" s="206">
        <v>0.15</v>
      </c>
      <c r="BG24" s="206">
        <v>0.07</v>
      </c>
      <c r="BH24" s="206">
        <v>0.04</v>
      </c>
      <c r="BI24" s="206">
        <v>0.02</v>
      </c>
      <c r="BJ24" s="207"/>
      <c r="BK24" s="207"/>
      <c r="BL24" s="207"/>
    </row>
    <row r="25" ht="15.75" customHeight="1">
      <c r="A25" s="43" t="s">
        <v>74</v>
      </c>
      <c r="B25" s="205"/>
      <c r="C25" s="205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6">
        <f>227/255</f>
        <v>0.8901960784</v>
      </c>
      <c r="W25" s="206">
        <v>0.1</v>
      </c>
      <c r="X25" s="206">
        <v>0.01</v>
      </c>
      <c r="Y25" s="207"/>
      <c r="Z25" s="207"/>
      <c r="AA25" s="207"/>
      <c r="AB25" s="207"/>
      <c r="AC25" s="207"/>
      <c r="AD25" s="207"/>
      <c r="AE25" s="208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6">
        <v>0.14</v>
      </c>
      <c r="BE25" s="206">
        <v>0.33</v>
      </c>
      <c r="BF25" s="206">
        <v>0.25</v>
      </c>
      <c r="BG25" s="206">
        <v>0.15</v>
      </c>
      <c r="BH25" s="206">
        <v>0.07</v>
      </c>
      <c r="BI25" s="206">
        <v>0.04</v>
      </c>
      <c r="BJ25" s="206">
        <v>0.02</v>
      </c>
      <c r="BK25" s="207"/>
      <c r="BL25" s="207"/>
    </row>
    <row r="26" ht="15.75" customHeight="1">
      <c r="A26" s="43" t="s">
        <v>75</v>
      </c>
      <c r="B26" s="205"/>
      <c r="C26" s="205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6">
        <f>227/255</f>
        <v>0.8901960784</v>
      </c>
      <c r="X26" s="206">
        <v>0.1</v>
      </c>
      <c r="Y26" s="206">
        <v>0.01</v>
      </c>
      <c r="Z26" s="207"/>
      <c r="AA26" s="207"/>
      <c r="AB26" s="207"/>
      <c r="AC26" s="207"/>
      <c r="AD26" s="207"/>
      <c r="AE26" s="208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6">
        <v>0.14</v>
      </c>
      <c r="BF26" s="206">
        <v>0.33</v>
      </c>
      <c r="BG26" s="206">
        <v>0.25</v>
      </c>
      <c r="BH26" s="206">
        <v>0.15</v>
      </c>
      <c r="BI26" s="206">
        <v>0.07</v>
      </c>
      <c r="BJ26" s="206">
        <v>0.04</v>
      </c>
      <c r="BK26" s="206">
        <v>0.02</v>
      </c>
      <c r="BL26" s="207"/>
    </row>
    <row r="27" ht="15.75" customHeight="1">
      <c r="A27" s="43" t="s">
        <v>76</v>
      </c>
      <c r="B27" s="205"/>
      <c r="C27" s="205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6">
        <f>227/255</f>
        <v>0.8901960784</v>
      </c>
      <c r="Y27" s="206">
        <v>0.1</v>
      </c>
      <c r="Z27" s="206">
        <v>0.01</v>
      </c>
      <c r="AA27" s="207"/>
      <c r="AB27" s="207"/>
      <c r="AC27" s="207"/>
      <c r="AD27" s="207"/>
      <c r="AE27" s="208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6">
        <v>0.14</v>
      </c>
      <c r="BG27" s="206">
        <v>0.33</v>
      </c>
      <c r="BH27" s="206">
        <v>0.25</v>
      </c>
      <c r="BI27" s="206">
        <v>0.15</v>
      </c>
      <c r="BJ27" s="206">
        <v>0.07</v>
      </c>
      <c r="BK27" s="206">
        <v>0.04</v>
      </c>
      <c r="BL27" s="206">
        <v>0.02</v>
      </c>
    </row>
    <row r="28" ht="15.75" customHeight="1">
      <c r="A28" s="43" t="s">
        <v>77</v>
      </c>
      <c r="B28" s="205"/>
      <c r="C28" s="205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6">
        <f>227/255</f>
        <v>0.8901960784</v>
      </c>
      <c r="Z28" s="206">
        <v>0.1</v>
      </c>
      <c r="AA28" s="206">
        <v>0.01</v>
      </c>
      <c r="AB28" s="207"/>
      <c r="AC28" s="207"/>
      <c r="AD28" s="207"/>
      <c r="AE28" s="208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6">
        <v>0.14</v>
      </c>
      <c r="BH28" s="206">
        <v>0.33</v>
      </c>
      <c r="BI28" s="206">
        <v>0.25</v>
      </c>
      <c r="BJ28" s="206">
        <v>0.15</v>
      </c>
      <c r="BK28" s="206">
        <v>0.07</v>
      </c>
      <c r="BL28" s="206">
        <v>0.04</v>
      </c>
    </row>
    <row r="29" ht="15.75" customHeight="1">
      <c r="A29" s="43" t="s">
        <v>78</v>
      </c>
      <c r="B29" s="205"/>
      <c r="C29" s="205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6">
        <v>0.89</v>
      </c>
      <c r="AA29" s="206">
        <v>0.1</v>
      </c>
      <c r="AB29" s="206">
        <v>0.01</v>
      </c>
      <c r="AC29" s="207"/>
      <c r="AD29" s="207"/>
      <c r="AE29" s="208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6">
        <v>0.14</v>
      </c>
      <c r="BI29" s="206">
        <v>0.33</v>
      </c>
      <c r="BJ29" s="206">
        <v>0.25</v>
      </c>
      <c r="BK29" s="206">
        <v>0.15</v>
      </c>
      <c r="BL29" s="206">
        <v>0.07</v>
      </c>
    </row>
    <row r="30" ht="15.75" customHeight="1">
      <c r="A30" s="43" t="s">
        <v>79</v>
      </c>
      <c r="B30" s="205"/>
      <c r="C30" s="205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6">
        <v>0.89</v>
      </c>
      <c r="AB30" s="206">
        <v>0.1</v>
      </c>
      <c r="AC30" s="206">
        <v>0.01</v>
      </c>
      <c r="AD30" s="207"/>
      <c r="AE30" s="208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6">
        <v>0.14</v>
      </c>
      <c r="BJ30" s="206">
        <v>0.33</v>
      </c>
      <c r="BK30" s="206">
        <v>0.25</v>
      </c>
      <c r="BL30" s="206">
        <v>0.15</v>
      </c>
    </row>
    <row r="31" ht="15.75" customHeight="1">
      <c r="A31" s="43" t="s">
        <v>80</v>
      </c>
      <c r="B31" s="205"/>
      <c r="C31" s="205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6">
        <v>0.89</v>
      </c>
      <c r="AC31" s="206">
        <v>0.1</v>
      </c>
      <c r="AD31" s="206">
        <v>0.01</v>
      </c>
      <c r="AE31" s="208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6">
        <v>0.14</v>
      </c>
      <c r="BK31" s="206">
        <v>0.33</v>
      </c>
      <c r="BL31" s="206">
        <v>0.25</v>
      </c>
    </row>
    <row r="32" ht="15.75" customHeight="1">
      <c r="A32" s="43" t="s">
        <v>81</v>
      </c>
      <c r="B32" s="205"/>
      <c r="C32" s="205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6">
        <v>0.89</v>
      </c>
      <c r="AD32" s="206">
        <v>0.1</v>
      </c>
      <c r="AE32" s="208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6">
        <v>0.14</v>
      </c>
      <c r="BL32" s="206">
        <v>0.33</v>
      </c>
    </row>
    <row r="33" ht="15.75" customHeight="1">
      <c r="A33" s="43" t="s">
        <v>82</v>
      </c>
      <c r="B33" s="205"/>
      <c r="C33" s="205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6">
        <v>0.89</v>
      </c>
      <c r="AE33" s="208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6">
        <v>0.14</v>
      </c>
    </row>
    <row r="34" ht="15.75" customHeight="1">
      <c r="A34" s="205"/>
      <c r="B34" s="209" t="s">
        <v>54</v>
      </c>
      <c r="C34" s="209" t="s">
        <v>170</v>
      </c>
      <c r="D34" s="209" t="s">
        <v>7</v>
      </c>
      <c r="E34" s="209" t="s">
        <v>8</v>
      </c>
      <c r="F34" s="209" t="s">
        <v>9</v>
      </c>
      <c r="G34" s="209" t="s">
        <v>10</v>
      </c>
      <c r="H34" s="209" t="s">
        <v>11</v>
      </c>
      <c r="I34" s="209" t="s">
        <v>12</v>
      </c>
      <c r="J34" s="209" t="s">
        <v>13</v>
      </c>
      <c r="K34" s="209" t="s">
        <v>63</v>
      </c>
      <c r="L34" s="209" t="s">
        <v>64</v>
      </c>
      <c r="M34" s="209" t="s">
        <v>65</v>
      </c>
      <c r="N34" s="209" t="s">
        <v>66</v>
      </c>
      <c r="O34" s="209" t="s">
        <v>67</v>
      </c>
      <c r="P34" s="209" t="s">
        <v>68</v>
      </c>
      <c r="Q34" s="209" t="s">
        <v>69</v>
      </c>
      <c r="R34" s="209" t="s">
        <v>70</v>
      </c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04"/>
      <c r="AF34" s="209" t="s">
        <v>14</v>
      </c>
      <c r="AG34" s="209" t="s">
        <v>2</v>
      </c>
      <c r="AH34" s="209" t="s">
        <v>3</v>
      </c>
      <c r="AI34" s="209" t="s">
        <v>4</v>
      </c>
      <c r="AJ34" s="209" t="s">
        <v>5</v>
      </c>
      <c r="AK34" s="209" t="s">
        <v>6</v>
      </c>
      <c r="AL34" s="209" t="s">
        <v>7</v>
      </c>
      <c r="AM34" s="209" t="s">
        <v>8</v>
      </c>
      <c r="AN34" s="209" t="s">
        <v>9</v>
      </c>
      <c r="AO34" s="209" t="s">
        <v>10</v>
      </c>
      <c r="AP34" s="209" t="s">
        <v>11</v>
      </c>
      <c r="AQ34" s="209" t="s">
        <v>12</v>
      </c>
      <c r="AR34" s="209" t="s">
        <v>13</v>
      </c>
      <c r="AS34" s="209" t="s">
        <v>63</v>
      </c>
      <c r="AT34" s="209" t="s">
        <v>64</v>
      </c>
      <c r="AU34" s="209" t="s">
        <v>65</v>
      </c>
      <c r="AV34" s="209" t="s">
        <v>66</v>
      </c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</row>
    <row r="35" ht="15.75" customHeight="1">
      <c r="A35" s="209" t="s">
        <v>2</v>
      </c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04"/>
      <c r="AF35" s="212">
        <v>0.0</v>
      </c>
      <c r="AG35" s="53">
        <f t="shared" ref="AG35:AM35" si="1">$AF35*AG2</f>
        <v>0</v>
      </c>
      <c r="AH35" s="53">
        <f t="shared" si="1"/>
        <v>0</v>
      </c>
      <c r="AI35" s="53">
        <f t="shared" si="1"/>
        <v>0</v>
      </c>
      <c r="AJ35" s="53">
        <f t="shared" si="1"/>
        <v>0</v>
      </c>
      <c r="AK35" s="53">
        <f t="shared" si="1"/>
        <v>0</v>
      </c>
      <c r="AL35" s="53">
        <f t="shared" si="1"/>
        <v>0</v>
      </c>
      <c r="AM35" s="53">
        <f t="shared" si="1"/>
        <v>0</v>
      </c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</row>
    <row r="36" ht="15.75" customHeight="1">
      <c r="A36" s="209" t="s">
        <v>3</v>
      </c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04"/>
      <c r="AF36" s="212">
        <v>0.0</v>
      </c>
      <c r="AG36" s="211"/>
      <c r="AH36" s="53">
        <f t="shared" ref="AH36:AN36" si="2">$AF36*AH3</f>
        <v>0</v>
      </c>
      <c r="AI36" s="53">
        <f t="shared" si="2"/>
        <v>0</v>
      </c>
      <c r="AJ36" s="53">
        <f t="shared" si="2"/>
        <v>0</v>
      </c>
      <c r="AK36" s="53">
        <f t="shared" si="2"/>
        <v>0</v>
      </c>
      <c r="AL36" s="53">
        <f t="shared" si="2"/>
        <v>0</v>
      </c>
      <c r="AM36" s="53">
        <f t="shared" si="2"/>
        <v>0</v>
      </c>
      <c r="AN36" s="53">
        <f t="shared" si="2"/>
        <v>0</v>
      </c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</row>
    <row r="37" ht="15.75" customHeight="1">
      <c r="A37" s="209" t="s">
        <v>4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04"/>
      <c r="AF37" s="212">
        <v>0.0</v>
      </c>
      <c r="AG37" s="207"/>
      <c r="AH37" s="211"/>
      <c r="AI37" s="53">
        <f t="shared" ref="AI37:AO37" si="3">$AF37*AI4</f>
        <v>0</v>
      </c>
      <c r="AJ37" s="53">
        <f t="shared" si="3"/>
        <v>0</v>
      </c>
      <c r="AK37" s="53">
        <f t="shared" si="3"/>
        <v>0</v>
      </c>
      <c r="AL37" s="53">
        <f t="shared" si="3"/>
        <v>0</v>
      </c>
      <c r="AM37" s="53">
        <f t="shared" si="3"/>
        <v>0</v>
      </c>
      <c r="AN37" s="53">
        <f t="shared" si="3"/>
        <v>0</v>
      </c>
      <c r="AO37" s="53">
        <f t="shared" si="3"/>
        <v>0</v>
      </c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</row>
    <row r="38" ht="15.75" customHeight="1">
      <c r="A38" s="209" t="s">
        <v>5</v>
      </c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04"/>
      <c r="AF38" s="212">
        <v>0.0</v>
      </c>
      <c r="AG38" s="207"/>
      <c r="AH38" s="211"/>
      <c r="AI38" s="211"/>
      <c r="AJ38" s="53">
        <f t="shared" ref="AJ38:AP38" si="4">$AF38*AJ5</f>
        <v>0</v>
      </c>
      <c r="AK38" s="53">
        <f t="shared" si="4"/>
        <v>0</v>
      </c>
      <c r="AL38" s="53">
        <f t="shared" si="4"/>
        <v>0</v>
      </c>
      <c r="AM38" s="53">
        <f t="shared" si="4"/>
        <v>0</v>
      </c>
      <c r="AN38" s="53">
        <f t="shared" si="4"/>
        <v>0</v>
      </c>
      <c r="AO38" s="53">
        <f t="shared" si="4"/>
        <v>0</v>
      </c>
      <c r="AP38" s="53">
        <f t="shared" si="4"/>
        <v>0</v>
      </c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</row>
    <row r="39" ht="15.75" customHeight="1">
      <c r="A39" s="209" t="s">
        <v>6</v>
      </c>
      <c r="B39" s="159"/>
      <c r="C39" s="159"/>
      <c r="D39" s="53">
        <f>$B39*D6</f>
        <v>0</v>
      </c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04"/>
      <c r="AF39" s="212">
        <v>0.0</v>
      </c>
      <c r="AG39" s="207"/>
      <c r="AH39" s="211"/>
      <c r="AI39" s="211"/>
      <c r="AJ39" s="211"/>
      <c r="AK39" s="53">
        <f t="shared" ref="AK39:AQ39" si="5">$AF39*AK6</f>
        <v>0</v>
      </c>
      <c r="AL39" s="53">
        <f t="shared" si="5"/>
        <v>0</v>
      </c>
      <c r="AM39" s="53">
        <f t="shared" si="5"/>
        <v>0</v>
      </c>
      <c r="AN39" s="53">
        <f t="shared" si="5"/>
        <v>0</v>
      </c>
      <c r="AO39" s="53">
        <f t="shared" si="5"/>
        <v>0</v>
      </c>
      <c r="AP39" s="53">
        <f t="shared" si="5"/>
        <v>0</v>
      </c>
      <c r="AQ39" s="53">
        <f t="shared" si="5"/>
        <v>0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</row>
    <row r="40" ht="15.75" customHeight="1">
      <c r="A40" s="209" t="s">
        <v>7</v>
      </c>
      <c r="B40" s="205"/>
      <c r="C40" s="207"/>
      <c r="D40" s="53">
        <f t="shared" ref="D40:F40" si="6">$B40*D7*$C40</f>
        <v>0</v>
      </c>
      <c r="E40" s="53">
        <f t="shared" si="6"/>
        <v>0</v>
      </c>
      <c r="F40" s="53">
        <f t="shared" si="6"/>
        <v>0</v>
      </c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5"/>
      <c r="AF40" s="216">
        <f t="array" ref="AF40:AF66">transpose(D67:AD67)</f>
        <v>0</v>
      </c>
      <c r="AG40" s="207"/>
      <c r="AH40" s="211"/>
      <c r="AI40" s="211"/>
      <c r="AJ40" s="211"/>
      <c r="AK40" s="211"/>
      <c r="AL40" s="53">
        <f t="shared" ref="AL40:AR40" si="7">$AF40*AL7</f>
        <v>0</v>
      </c>
      <c r="AM40" s="53">
        <f t="shared" si="7"/>
        <v>0</v>
      </c>
      <c r="AN40" s="53">
        <f t="shared" si="7"/>
        <v>0</v>
      </c>
      <c r="AO40" s="53">
        <f t="shared" si="7"/>
        <v>0</v>
      </c>
      <c r="AP40" s="53">
        <f t="shared" si="7"/>
        <v>0</v>
      </c>
      <c r="AQ40" s="53">
        <f t="shared" si="7"/>
        <v>0</v>
      </c>
      <c r="AR40" s="53">
        <f t="shared" si="7"/>
        <v>0</v>
      </c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</row>
    <row r="41" ht="15.75" customHeight="1">
      <c r="A41" s="209" t="s">
        <v>8</v>
      </c>
      <c r="B41" s="205"/>
      <c r="C41" s="207"/>
      <c r="D41" s="211"/>
      <c r="E41" s="53">
        <f t="shared" ref="E41:G41" si="8">$B41*E8*$C41</f>
        <v>0</v>
      </c>
      <c r="F41" s="53">
        <f t="shared" si="8"/>
        <v>0</v>
      </c>
      <c r="G41" s="53">
        <f t="shared" si="8"/>
        <v>0</v>
      </c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7"/>
      <c r="AF41" s="53">
        <v>0.0</v>
      </c>
      <c r="AG41" s="207"/>
      <c r="AH41" s="211"/>
      <c r="AI41" s="211"/>
      <c r="AJ41" s="211"/>
      <c r="AK41" s="211"/>
      <c r="AL41" s="211"/>
      <c r="AM41" s="53">
        <f t="shared" ref="AM41:AS41" si="9">$AF41*AM8</f>
        <v>0</v>
      </c>
      <c r="AN41" s="53">
        <f t="shared" si="9"/>
        <v>0</v>
      </c>
      <c r="AO41" s="53">
        <f t="shared" si="9"/>
        <v>0</v>
      </c>
      <c r="AP41" s="53">
        <f t="shared" si="9"/>
        <v>0</v>
      </c>
      <c r="AQ41" s="53">
        <f t="shared" si="9"/>
        <v>0</v>
      </c>
      <c r="AR41" s="53">
        <f t="shared" si="9"/>
        <v>0</v>
      </c>
      <c r="AS41" s="53">
        <f t="shared" si="9"/>
        <v>0</v>
      </c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</row>
    <row r="42" ht="15.75" customHeight="1">
      <c r="A42" s="209" t="s">
        <v>9</v>
      </c>
      <c r="B42" s="205"/>
      <c r="C42" s="207"/>
      <c r="D42" s="205"/>
      <c r="E42" s="211"/>
      <c r="F42" s="53">
        <f t="shared" ref="F42:H42" si="10">$B42*F9*$C42</f>
        <v>0</v>
      </c>
      <c r="G42" s="53">
        <f t="shared" si="10"/>
        <v>0</v>
      </c>
      <c r="H42" s="53">
        <f t="shared" si="10"/>
        <v>0</v>
      </c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7"/>
      <c r="AF42" s="53">
        <v>0.0</v>
      </c>
      <c r="AG42" s="207"/>
      <c r="AH42" s="211"/>
      <c r="AI42" s="211"/>
      <c r="AJ42" s="211"/>
      <c r="AK42" s="211"/>
      <c r="AL42" s="211"/>
      <c r="AM42" s="211"/>
      <c r="AN42" s="53">
        <f t="shared" ref="AN42:AT42" si="11">$AF42*AN9</f>
        <v>0</v>
      </c>
      <c r="AO42" s="53">
        <f t="shared" si="11"/>
        <v>0</v>
      </c>
      <c r="AP42" s="53">
        <f t="shared" si="11"/>
        <v>0</v>
      </c>
      <c r="AQ42" s="53">
        <f t="shared" si="11"/>
        <v>0</v>
      </c>
      <c r="AR42" s="53">
        <f t="shared" si="11"/>
        <v>0</v>
      </c>
      <c r="AS42" s="53">
        <f t="shared" si="11"/>
        <v>0</v>
      </c>
      <c r="AT42" s="53">
        <f t="shared" si="11"/>
        <v>0</v>
      </c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</row>
    <row r="43" ht="15.75" customHeight="1">
      <c r="A43" s="209" t="s">
        <v>10</v>
      </c>
      <c r="B43" s="205"/>
      <c r="C43" s="207"/>
      <c r="D43" s="205"/>
      <c r="E43" s="205"/>
      <c r="F43" s="211"/>
      <c r="G43" s="53">
        <f t="shared" ref="G43:I43" si="12">$B43*G10*$C43</f>
        <v>0</v>
      </c>
      <c r="H43" s="53">
        <f t="shared" si="12"/>
        <v>0</v>
      </c>
      <c r="I43" s="53">
        <f t="shared" si="12"/>
        <v>0</v>
      </c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7"/>
      <c r="AF43" s="53">
        <v>0.0</v>
      </c>
      <c r="AG43" s="207"/>
      <c r="AH43" s="211"/>
      <c r="AI43" s="211"/>
      <c r="AJ43" s="211"/>
      <c r="AK43" s="211"/>
      <c r="AL43" s="211"/>
      <c r="AM43" s="211"/>
      <c r="AN43" s="211"/>
      <c r="AO43" s="53">
        <f t="shared" ref="AO43:AU43" si="13">$AF43*AO10</f>
        <v>0</v>
      </c>
      <c r="AP43" s="53">
        <f t="shared" si="13"/>
        <v>0</v>
      </c>
      <c r="AQ43" s="53">
        <f t="shared" si="13"/>
        <v>0</v>
      </c>
      <c r="AR43" s="53">
        <f t="shared" si="13"/>
        <v>0</v>
      </c>
      <c r="AS43" s="53">
        <f t="shared" si="13"/>
        <v>0</v>
      </c>
      <c r="AT43" s="53">
        <f t="shared" si="13"/>
        <v>0</v>
      </c>
      <c r="AU43" s="53">
        <f t="shared" si="13"/>
        <v>0</v>
      </c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</row>
    <row r="44" ht="15.75" customHeight="1">
      <c r="A44" s="209" t="s">
        <v>11</v>
      </c>
      <c r="B44" s="205"/>
      <c r="C44" s="207"/>
      <c r="D44" s="205"/>
      <c r="E44" s="205"/>
      <c r="F44" s="205"/>
      <c r="G44" s="205"/>
      <c r="H44" s="53">
        <f t="shared" ref="H44:J44" si="14">$B44*H11*$C44</f>
        <v>0</v>
      </c>
      <c r="I44" s="53">
        <f t="shared" si="14"/>
        <v>0</v>
      </c>
      <c r="J44" s="53">
        <f t="shared" si="14"/>
        <v>0</v>
      </c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7"/>
      <c r="AF44" s="53">
        <v>0.0</v>
      </c>
      <c r="AG44" s="207"/>
      <c r="AH44" s="211"/>
      <c r="AI44" s="211"/>
      <c r="AJ44" s="211"/>
      <c r="AK44" s="211"/>
      <c r="AL44" s="211"/>
      <c r="AM44" s="211"/>
      <c r="AN44" s="211"/>
      <c r="AO44" s="211"/>
      <c r="AP44" s="53">
        <f t="shared" ref="AP44:AV44" si="15">$AF44*AP11</f>
        <v>0</v>
      </c>
      <c r="AQ44" s="53">
        <f t="shared" si="15"/>
        <v>0</v>
      </c>
      <c r="AR44" s="53">
        <f t="shared" si="15"/>
        <v>0</v>
      </c>
      <c r="AS44" s="53">
        <f t="shared" si="15"/>
        <v>0</v>
      </c>
      <c r="AT44" s="53">
        <f t="shared" si="15"/>
        <v>0</v>
      </c>
      <c r="AU44" s="53">
        <f t="shared" si="15"/>
        <v>0</v>
      </c>
      <c r="AV44" s="53">
        <f t="shared" si="15"/>
        <v>0</v>
      </c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</row>
    <row r="45" ht="15.75" customHeight="1">
      <c r="A45" s="209" t="s">
        <v>12</v>
      </c>
      <c r="B45" s="205"/>
      <c r="C45" s="207"/>
      <c r="D45" s="205"/>
      <c r="E45" s="205"/>
      <c r="F45" s="205"/>
      <c r="G45" s="205"/>
      <c r="H45" s="205"/>
      <c r="I45" s="53">
        <f t="shared" ref="I45:K45" si="16">$B45*I12*$C45</f>
        <v>0</v>
      </c>
      <c r="J45" s="53">
        <f t="shared" si="16"/>
        <v>0</v>
      </c>
      <c r="K45" s="53">
        <f t="shared" si="16"/>
        <v>0</v>
      </c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7"/>
      <c r="AF45" s="53">
        <v>0.0</v>
      </c>
      <c r="AG45" s="207"/>
      <c r="AH45" s="211"/>
      <c r="AI45" s="211"/>
      <c r="AJ45" s="211"/>
      <c r="AK45" s="211"/>
      <c r="AL45" s="211"/>
      <c r="AM45" s="211"/>
      <c r="AN45" s="211"/>
      <c r="AO45" s="211"/>
      <c r="AP45" s="211"/>
      <c r="AQ45" s="53">
        <f t="shared" ref="AQ45:AW45" si="17">$AF45*AQ12</f>
        <v>0</v>
      </c>
      <c r="AR45" s="53">
        <f t="shared" si="17"/>
        <v>0</v>
      </c>
      <c r="AS45" s="53">
        <f t="shared" si="17"/>
        <v>0</v>
      </c>
      <c r="AT45" s="53">
        <f t="shared" si="17"/>
        <v>0</v>
      </c>
      <c r="AU45" s="53">
        <f t="shared" si="17"/>
        <v>0</v>
      </c>
      <c r="AV45" s="53">
        <f t="shared" si="17"/>
        <v>0</v>
      </c>
      <c r="AW45" s="53">
        <f t="shared" si="17"/>
        <v>0</v>
      </c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</row>
    <row r="46" ht="15.75" customHeight="1">
      <c r="A46" s="209" t="s">
        <v>13</v>
      </c>
      <c r="B46" s="236"/>
      <c r="C46" s="207"/>
      <c r="D46" s="205"/>
      <c r="E46" s="205"/>
      <c r="F46" s="205"/>
      <c r="G46" s="205"/>
      <c r="H46" s="205"/>
      <c r="I46" s="205"/>
      <c r="J46" s="53">
        <f t="shared" ref="J46:L46" si="18">$B46*J13*$C46</f>
        <v>0</v>
      </c>
      <c r="K46" s="53">
        <f t="shared" si="18"/>
        <v>0</v>
      </c>
      <c r="L46" s="53">
        <f t="shared" si="18"/>
        <v>0</v>
      </c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7"/>
      <c r="AF46" s="53">
        <v>0.0</v>
      </c>
      <c r="AG46" s="207"/>
      <c r="AH46" s="211"/>
      <c r="AI46" s="211"/>
      <c r="AJ46" s="211"/>
      <c r="AK46" s="211"/>
      <c r="AL46" s="211"/>
      <c r="AM46" s="211"/>
      <c r="AN46" s="211"/>
      <c r="AO46" s="211"/>
      <c r="AP46" s="207"/>
      <c r="AQ46" s="211"/>
      <c r="AR46" s="53">
        <f t="shared" ref="AR46:AX46" si="19">$AF46*AR13</f>
        <v>0</v>
      </c>
      <c r="AS46" s="53">
        <f t="shared" si="19"/>
        <v>0</v>
      </c>
      <c r="AT46" s="53">
        <f t="shared" si="19"/>
        <v>0</v>
      </c>
      <c r="AU46" s="53">
        <f t="shared" si="19"/>
        <v>0</v>
      </c>
      <c r="AV46" s="53">
        <f t="shared" si="19"/>
        <v>0</v>
      </c>
      <c r="AW46" s="53">
        <f t="shared" si="19"/>
        <v>0</v>
      </c>
      <c r="AX46" s="53">
        <f t="shared" si="19"/>
        <v>0</v>
      </c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</row>
    <row r="47" ht="15.75" customHeight="1">
      <c r="A47" s="209" t="s">
        <v>63</v>
      </c>
      <c r="B47" s="236"/>
      <c r="C47" s="207"/>
      <c r="D47" s="205"/>
      <c r="E47" s="205"/>
      <c r="F47" s="205"/>
      <c r="G47" s="205"/>
      <c r="H47" s="205"/>
      <c r="I47" s="205"/>
      <c r="J47" s="211"/>
      <c r="K47" s="53">
        <f t="shared" ref="K47:M47" si="20">$B47*K14*$C47</f>
        <v>0</v>
      </c>
      <c r="L47" s="53">
        <f t="shared" si="20"/>
        <v>0</v>
      </c>
      <c r="M47" s="53">
        <f t="shared" si="20"/>
        <v>0</v>
      </c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7"/>
      <c r="AF47" s="53">
        <v>0.0</v>
      </c>
      <c r="AG47" s="207"/>
      <c r="AH47" s="211"/>
      <c r="AI47" s="211"/>
      <c r="AJ47" s="211"/>
      <c r="AK47" s="211"/>
      <c r="AL47" s="211"/>
      <c r="AM47" s="211"/>
      <c r="AN47" s="211"/>
      <c r="AO47" s="211"/>
      <c r="AP47" s="207"/>
      <c r="AQ47" s="211"/>
      <c r="AR47" s="211"/>
      <c r="AS47" s="53">
        <f t="shared" ref="AS47:AY47" si="21">$AF47*AS14</f>
        <v>0</v>
      </c>
      <c r="AT47" s="53">
        <f t="shared" si="21"/>
        <v>0</v>
      </c>
      <c r="AU47" s="53">
        <f t="shared" si="21"/>
        <v>0</v>
      </c>
      <c r="AV47" s="53">
        <f t="shared" si="21"/>
        <v>0</v>
      </c>
      <c r="AW47" s="53">
        <f t="shared" si="21"/>
        <v>0</v>
      </c>
      <c r="AX47" s="53">
        <f t="shared" si="21"/>
        <v>0</v>
      </c>
      <c r="AY47" s="53">
        <f t="shared" si="21"/>
        <v>0</v>
      </c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</row>
    <row r="48" ht="15.75" customHeight="1">
      <c r="A48" s="209" t="s">
        <v>64</v>
      </c>
      <c r="B48" s="236"/>
      <c r="C48" s="207"/>
      <c r="D48" s="205"/>
      <c r="E48" s="205"/>
      <c r="F48" s="205"/>
      <c r="G48" s="205"/>
      <c r="H48" s="205"/>
      <c r="I48" s="205"/>
      <c r="J48" s="211"/>
      <c r="K48" s="211"/>
      <c r="L48" s="53">
        <f t="shared" ref="L48:N48" si="22">$B48*L15*$C48</f>
        <v>0</v>
      </c>
      <c r="M48" s="53">
        <f t="shared" si="22"/>
        <v>0</v>
      </c>
      <c r="N48" s="53">
        <f t="shared" si="22"/>
        <v>0</v>
      </c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7"/>
      <c r="AF48" s="53">
        <v>0.0</v>
      </c>
      <c r="AG48" s="207"/>
      <c r="AH48" s="211"/>
      <c r="AI48" s="211"/>
      <c r="AJ48" s="211"/>
      <c r="AK48" s="211"/>
      <c r="AL48" s="211"/>
      <c r="AM48" s="211"/>
      <c r="AN48" s="211"/>
      <c r="AO48" s="211"/>
      <c r="AP48" s="207"/>
      <c r="AQ48" s="211"/>
      <c r="AR48" s="211"/>
      <c r="AS48" s="211"/>
      <c r="AT48" s="53">
        <f t="shared" ref="AT48:AZ48" si="23">$AF48*AT15</f>
        <v>0</v>
      </c>
      <c r="AU48" s="53">
        <f t="shared" si="23"/>
        <v>0</v>
      </c>
      <c r="AV48" s="53">
        <f t="shared" si="23"/>
        <v>0</v>
      </c>
      <c r="AW48" s="53">
        <f t="shared" si="23"/>
        <v>0</v>
      </c>
      <c r="AX48" s="53">
        <f t="shared" si="23"/>
        <v>0</v>
      </c>
      <c r="AY48" s="53">
        <f t="shared" si="23"/>
        <v>0</v>
      </c>
      <c r="AZ48" s="53">
        <f t="shared" si="23"/>
        <v>0</v>
      </c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</row>
    <row r="49" ht="15.75" customHeight="1">
      <c r="A49" s="209" t="s">
        <v>65</v>
      </c>
      <c r="B49" s="236"/>
      <c r="C49" s="207"/>
      <c r="D49" s="205"/>
      <c r="E49" s="205"/>
      <c r="F49" s="205"/>
      <c r="G49" s="205"/>
      <c r="H49" s="205"/>
      <c r="I49" s="205"/>
      <c r="J49" s="211"/>
      <c r="K49" s="211"/>
      <c r="L49" s="211"/>
      <c r="M49" s="53">
        <f t="shared" ref="M49:O49" si="24">$B49*M16*$C49</f>
        <v>0</v>
      </c>
      <c r="N49" s="53">
        <f t="shared" si="24"/>
        <v>0</v>
      </c>
      <c r="O49" s="53">
        <f t="shared" si="24"/>
        <v>0</v>
      </c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7"/>
      <c r="AF49" s="53">
        <v>0.0</v>
      </c>
      <c r="AG49" s="207"/>
      <c r="AH49" s="211"/>
      <c r="AI49" s="211"/>
      <c r="AJ49" s="211"/>
      <c r="AK49" s="211"/>
      <c r="AL49" s="211"/>
      <c r="AM49" s="211"/>
      <c r="AN49" s="211"/>
      <c r="AO49" s="211"/>
      <c r="AP49" s="207"/>
      <c r="AQ49" s="211"/>
      <c r="AR49" s="211"/>
      <c r="AS49" s="211"/>
      <c r="AT49" s="211"/>
      <c r="AU49" s="53">
        <f t="shared" ref="AU49:BA49" si="25">$AF49*AU16</f>
        <v>0</v>
      </c>
      <c r="AV49" s="53">
        <f t="shared" si="25"/>
        <v>0</v>
      </c>
      <c r="AW49" s="53">
        <f t="shared" si="25"/>
        <v>0</v>
      </c>
      <c r="AX49" s="53">
        <f t="shared" si="25"/>
        <v>0</v>
      </c>
      <c r="AY49" s="53">
        <f t="shared" si="25"/>
        <v>0</v>
      </c>
      <c r="AZ49" s="53">
        <f t="shared" si="25"/>
        <v>0</v>
      </c>
      <c r="BA49" s="53">
        <f t="shared" si="25"/>
        <v>0</v>
      </c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</row>
    <row r="50" ht="15.75" customHeight="1">
      <c r="A50" s="209" t="s">
        <v>66</v>
      </c>
      <c r="B50" s="213">
        <v>26.0</v>
      </c>
      <c r="C50" s="214">
        <v>0.15</v>
      </c>
      <c r="D50" s="205"/>
      <c r="E50" s="205"/>
      <c r="F50" s="205"/>
      <c r="G50" s="205"/>
      <c r="H50" s="205"/>
      <c r="I50" s="205"/>
      <c r="J50" s="211"/>
      <c r="K50" s="211"/>
      <c r="L50" s="211"/>
      <c r="M50" s="211"/>
      <c r="N50" s="53">
        <f t="shared" ref="N50:P50" si="26">$B50*N17*$C50</f>
        <v>3.471</v>
      </c>
      <c r="O50" s="53">
        <f t="shared" si="26"/>
        <v>0.39</v>
      </c>
      <c r="P50" s="53">
        <f t="shared" si="26"/>
        <v>0.039</v>
      </c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7"/>
      <c r="AF50" s="53">
        <v>3.471</v>
      </c>
      <c r="AG50" s="207"/>
      <c r="AH50" s="211"/>
      <c r="AI50" s="211"/>
      <c r="AJ50" s="211"/>
      <c r="AK50" s="211"/>
      <c r="AL50" s="211"/>
      <c r="AM50" s="211"/>
      <c r="AN50" s="211"/>
      <c r="AO50" s="211"/>
      <c r="AP50" s="207"/>
      <c r="AQ50" s="211"/>
      <c r="AR50" s="211"/>
      <c r="AS50" s="211"/>
      <c r="AT50" s="211"/>
      <c r="AU50" s="211"/>
      <c r="AV50" s="53">
        <f t="shared" ref="AV50:BB50" si="27">$AF50*AV17</f>
        <v>0.48594</v>
      </c>
      <c r="AW50" s="53">
        <f t="shared" si="27"/>
        <v>1.14543</v>
      </c>
      <c r="AX50" s="53">
        <f t="shared" si="27"/>
        <v>0.86775</v>
      </c>
      <c r="AY50" s="53">
        <f t="shared" si="27"/>
        <v>0.52065</v>
      </c>
      <c r="AZ50" s="53">
        <f t="shared" si="27"/>
        <v>0.24297</v>
      </c>
      <c r="BA50" s="53">
        <f t="shared" si="27"/>
        <v>0.13884</v>
      </c>
      <c r="BB50" s="53">
        <f t="shared" si="27"/>
        <v>0.06942</v>
      </c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</row>
    <row r="51" ht="15.75" customHeight="1">
      <c r="A51" s="209" t="s">
        <v>67</v>
      </c>
      <c r="B51" s="213">
        <v>10.0</v>
      </c>
      <c r="C51" s="214">
        <v>0.15</v>
      </c>
      <c r="D51" s="205"/>
      <c r="E51" s="205"/>
      <c r="F51" s="205"/>
      <c r="G51" s="205"/>
      <c r="H51" s="205"/>
      <c r="I51" s="205"/>
      <c r="J51" s="211"/>
      <c r="K51" s="211"/>
      <c r="L51" s="211"/>
      <c r="M51" s="211"/>
      <c r="N51" s="211"/>
      <c r="O51" s="53">
        <f t="shared" ref="O51:Q51" si="28">$B51*O18*$C51</f>
        <v>1.335</v>
      </c>
      <c r="P51" s="53">
        <f t="shared" si="28"/>
        <v>0.15</v>
      </c>
      <c r="Q51" s="53">
        <f t="shared" si="28"/>
        <v>0.015</v>
      </c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7"/>
      <c r="AF51" s="53">
        <v>1.725</v>
      </c>
      <c r="AG51" s="207"/>
      <c r="AH51" s="211"/>
      <c r="AI51" s="211"/>
      <c r="AJ51" s="211"/>
      <c r="AK51" s="211"/>
      <c r="AL51" s="211"/>
      <c r="AM51" s="211"/>
      <c r="AN51" s="211"/>
      <c r="AO51" s="211"/>
      <c r="AP51" s="207"/>
      <c r="AQ51" s="211"/>
      <c r="AR51" s="211"/>
      <c r="AS51" s="211"/>
      <c r="AT51" s="211"/>
      <c r="AU51" s="211"/>
      <c r="AV51" s="211"/>
      <c r="AW51" s="53">
        <f t="shared" ref="AW51:BC51" si="29">$AF51*AW18</f>
        <v>0.2415</v>
      </c>
      <c r="AX51" s="53">
        <f t="shared" si="29"/>
        <v>0.56925</v>
      </c>
      <c r="AY51" s="53">
        <f t="shared" si="29"/>
        <v>0.43125</v>
      </c>
      <c r="AZ51" s="53">
        <f t="shared" si="29"/>
        <v>0.25875</v>
      </c>
      <c r="BA51" s="53">
        <f t="shared" si="29"/>
        <v>0.12075</v>
      </c>
      <c r="BB51" s="53">
        <f t="shared" si="29"/>
        <v>0.069</v>
      </c>
      <c r="BC51" s="53">
        <f t="shared" si="29"/>
        <v>0.0345</v>
      </c>
      <c r="BD51" s="211"/>
      <c r="BE51" s="211"/>
      <c r="BF51" s="211"/>
      <c r="BG51" s="211"/>
      <c r="BH51" s="211"/>
      <c r="BI51" s="211"/>
      <c r="BJ51" s="211"/>
      <c r="BK51" s="211"/>
      <c r="BL51" s="211"/>
    </row>
    <row r="52" ht="15.75" customHeight="1">
      <c r="A52" s="209" t="s">
        <v>68</v>
      </c>
      <c r="B52" s="213">
        <v>10.0</v>
      </c>
      <c r="C52" s="214">
        <v>0.15</v>
      </c>
      <c r="D52" s="205"/>
      <c r="E52" s="205"/>
      <c r="F52" s="205"/>
      <c r="G52" s="205"/>
      <c r="H52" s="205"/>
      <c r="I52" s="205"/>
      <c r="J52" s="211"/>
      <c r="K52" s="211"/>
      <c r="L52" s="211"/>
      <c r="M52" s="211"/>
      <c r="N52" s="211"/>
      <c r="O52" s="211"/>
      <c r="P52" s="53">
        <f t="shared" ref="P52:R52" si="30">$B52*P19*$C52</f>
        <v>1.335</v>
      </c>
      <c r="Q52" s="53">
        <f t="shared" si="30"/>
        <v>0.15</v>
      </c>
      <c r="R52" s="53">
        <f t="shared" si="30"/>
        <v>0.015</v>
      </c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7"/>
      <c r="AF52" s="53">
        <v>1.524</v>
      </c>
      <c r="AG52" s="211"/>
      <c r="AH52" s="211"/>
      <c r="AI52" s="211"/>
      <c r="AJ52" s="211"/>
      <c r="AK52" s="211"/>
      <c r="AL52" s="211"/>
      <c r="AM52" s="211"/>
      <c r="AN52" s="211"/>
      <c r="AO52" s="211"/>
      <c r="AP52" s="207"/>
      <c r="AQ52" s="211"/>
      <c r="AR52" s="211"/>
      <c r="AS52" s="211"/>
      <c r="AT52" s="211"/>
      <c r="AU52" s="211"/>
      <c r="AV52" s="211"/>
      <c r="AW52" s="211"/>
      <c r="AX52" s="53">
        <f t="shared" ref="AX52:BD52" si="31">$AF52*AX19</f>
        <v>0.21336</v>
      </c>
      <c r="AY52" s="53">
        <f t="shared" si="31"/>
        <v>0.50292</v>
      </c>
      <c r="AZ52" s="53">
        <f t="shared" si="31"/>
        <v>0.381</v>
      </c>
      <c r="BA52" s="53">
        <f t="shared" si="31"/>
        <v>0.2286</v>
      </c>
      <c r="BB52" s="53">
        <f t="shared" si="31"/>
        <v>0.10668</v>
      </c>
      <c r="BC52" s="53">
        <f t="shared" si="31"/>
        <v>0.06096</v>
      </c>
      <c r="BD52" s="53">
        <f t="shared" si="31"/>
        <v>0.03048</v>
      </c>
      <c r="BE52" s="211"/>
      <c r="BF52" s="211"/>
      <c r="BG52" s="211"/>
      <c r="BH52" s="211"/>
      <c r="BI52" s="211"/>
      <c r="BJ52" s="211"/>
      <c r="BK52" s="211"/>
      <c r="BL52" s="211"/>
    </row>
    <row r="53" ht="15.75" customHeight="1">
      <c r="A53" s="209" t="s">
        <v>69</v>
      </c>
      <c r="B53" s="213">
        <v>15.0</v>
      </c>
      <c r="C53" s="214">
        <v>0.15</v>
      </c>
      <c r="D53" s="205"/>
      <c r="E53" s="205"/>
      <c r="F53" s="205"/>
      <c r="G53" s="205"/>
      <c r="H53" s="205"/>
      <c r="I53" s="205"/>
      <c r="J53" s="211"/>
      <c r="K53" s="211"/>
      <c r="L53" s="211"/>
      <c r="M53" s="211"/>
      <c r="N53" s="211"/>
      <c r="O53" s="211"/>
      <c r="P53" s="211"/>
      <c r="Q53" s="53">
        <f t="shared" ref="Q53:S53" si="32">$B53*Q20*$C53</f>
        <v>2.0025</v>
      </c>
      <c r="R53" s="53">
        <f t="shared" si="32"/>
        <v>0.225</v>
      </c>
      <c r="S53" s="53">
        <f t="shared" si="32"/>
        <v>0.0225</v>
      </c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7"/>
      <c r="AF53" s="53">
        <v>2.1675</v>
      </c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53">
        <f t="shared" ref="AY53:BE53" si="33">$AF53*AY20</f>
        <v>0.30345</v>
      </c>
      <c r="AZ53" s="53">
        <f t="shared" si="33"/>
        <v>0.715275</v>
      </c>
      <c r="BA53" s="53">
        <f t="shared" si="33"/>
        <v>0.541875</v>
      </c>
      <c r="BB53" s="53">
        <f t="shared" si="33"/>
        <v>0.325125</v>
      </c>
      <c r="BC53" s="53">
        <f t="shared" si="33"/>
        <v>0.151725</v>
      </c>
      <c r="BD53" s="53">
        <f t="shared" si="33"/>
        <v>0.0867</v>
      </c>
      <c r="BE53" s="53">
        <f t="shared" si="33"/>
        <v>0.04335</v>
      </c>
      <c r="BF53" s="211"/>
      <c r="BG53" s="211"/>
      <c r="BH53" s="211"/>
      <c r="BI53" s="211"/>
      <c r="BJ53" s="211"/>
      <c r="BK53" s="211"/>
      <c r="BL53" s="211"/>
    </row>
    <row r="54" ht="15.75" customHeight="1">
      <c r="A54" s="218" t="s">
        <v>70</v>
      </c>
      <c r="B54" s="213">
        <v>15.0</v>
      </c>
      <c r="C54" s="214">
        <v>0.15</v>
      </c>
      <c r="D54" s="205"/>
      <c r="E54" s="205"/>
      <c r="F54" s="205"/>
      <c r="G54" s="205"/>
      <c r="H54" s="205"/>
      <c r="I54" s="205"/>
      <c r="J54" s="211"/>
      <c r="K54" s="211"/>
      <c r="L54" s="211"/>
      <c r="M54" s="211"/>
      <c r="N54" s="211"/>
      <c r="O54" s="211"/>
      <c r="P54" s="211"/>
      <c r="Q54" s="211"/>
      <c r="R54" s="53">
        <f t="shared" ref="R54:T54" si="34">$B54*R21*$C54</f>
        <v>2.0025</v>
      </c>
      <c r="S54" s="53">
        <f t="shared" si="34"/>
        <v>0.225</v>
      </c>
      <c r="T54" s="53">
        <f t="shared" si="34"/>
        <v>0.0225</v>
      </c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7"/>
      <c r="AF54" s="53">
        <v>2.2424999999999997</v>
      </c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53">
        <f t="shared" ref="AZ54:BF54" si="35">$AF54*AZ21</f>
        <v>0.31395</v>
      </c>
      <c r="BA54" s="53">
        <f t="shared" si="35"/>
        <v>0.740025</v>
      </c>
      <c r="BB54" s="53">
        <f t="shared" si="35"/>
        <v>0.560625</v>
      </c>
      <c r="BC54" s="53">
        <f t="shared" si="35"/>
        <v>0.336375</v>
      </c>
      <c r="BD54" s="53">
        <f t="shared" si="35"/>
        <v>0.156975</v>
      </c>
      <c r="BE54" s="53">
        <f t="shared" si="35"/>
        <v>0.0897</v>
      </c>
      <c r="BF54" s="53">
        <f t="shared" si="35"/>
        <v>0.04485</v>
      </c>
      <c r="BG54" s="211"/>
      <c r="BH54" s="211"/>
      <c r="BI54" s="211"/>
      <c r="BJ54" s="211"/>
      <c r="BK54" s="211"/>
      <c r="BL54" s="211"/>
    </row>
    <row r="55" ht="15.75" customHeight="1">
      <c r="A55" s="209" t="s">
        <v>71</v>
      </c>
      <c r="B55" s="213">
        <v>15.0</v>
      </c>
      <c r="C55" s="214">
        <v>0.15</v>
      </c>
      <c r="D55" s="205"/>
      <c r="E55" s="205"/>
      <c r="F55" s="205"/>
      <c r="G55" s="205"/>
      <c r="H55" s="205"/>
      <c r="I55" s="205"/>
      <c r="J55" s="211"/>
      <c r="K55" s="211"/>
      <c r="L55" s="211"/>
      <c r="M55" s="211"/>
      <c r="N55" s="211"/>
      <c r="O55" s="211"/>
      <c r="P55" s="211"/>
      <c r="Q55" s="211"/>
      <c r="R55" s="211"/>
      <c r="S55" s="53">
        <f t="shared" ref="S55:U55" si="36">$B55*S22*$C55</f>
        <v>2.002941176</v>
      </c>
      <c r="T55" s="53">
        <f t="shared" si="36"/>
        <v>0.225</v>
      </c>
      <c r="U55" s="53">
        <f t="shared" si="36"/>
        <v>0.0225</v>
      </c>
      <c r="V55" s="211"/>
      <c r="W55" s="211"/>
      <c r="X55" s="211"/>
      <c r="Y55" s="211"/>
      <c r="Z55" s="211"/>
      <c r="AA55" s="211"/>
      <c r="AB55" s="211"/>
      <c r="AC55" s="211"/>
      <c r="AD55" s="211"/>
      <c r="AE55" s="217"/>
      <c r="AF55" s="53">
        <v>2.250441176470588</v>
      </c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07"/>
      <c r="AZ55" s="211"/>
      <c r="BA55" s="53">
        <f t="shared" ref="BA55:BG55" si="37">$AF55*BA22</f>
        <v>0.3150617647</v>
      </c>
      <c r="BB55" s="53">
        <f t="shared" si="37"/>
        <v>0.7426455882</v>
      </c>
      <c r="BC55" s="53">
        <f t="shared" si="37"/>
        <v>0.5626102941</v>
      </c>
      <c r="BD55" s="53">
        <f t="shared" si="37"/>
        <v>0.3375661765</v>
      </c>
      <c r="BE55" s="53">
        <f t="shared" si="37"/>
        <v>0.1575308824</v>
      </c>
      <c r="BF55" s="53">
        <f t="shared" si="37"/>
        <v>0.09001764706</v>
      </c>
      <c r="BG55" s="53">
        <f t="shared" si="37"/>
        <v>0.04500882353</v>
      </c>
      <c r="BH55" s="211"/>
      <c r="BI55" s="211"/>
      <c r="BJ55" s="211"/>
      <c r="BK55" s="211"/>
      <c r="BL55" s="211"/>
    </row>
    <row r="56" ht="15.75" customHeight="1">
      <c r="A56" s="209" t="s">
        <v>72</v>
      </c>
      <c r="B56" s="213">
        <v>15.0</v>
      </c>
      <c r="C56" s="214">
        <v>0.15</v>
      </c>
      <c r="D56" s="205"/>
      <c r="E56" s="205"/>
      <c r="F56" s="205"/>
      <c r="G56" s="205"/>
      <c r="H56" s="205"/>
      <c r="I56" s="205"/>
      <c r="J56" s="211"/>
      <c r="K56" s="211"/>
      <c r="L56" s="211"/>
      <c r="M56" s="211"/>
      <c r="N56" s="211"/>
      <c r="O56" s="211"/>
      <c r="P56" s="211"/>
      <c r="Q56" s="211"/>
      <c r="R56" s="211"/>
      <c r="S56" s="205"/>
      <c r="T56" s="53">
        <f t="shared" ref="T56:V56" si="38">$B56*T23*$C56</f>
        <v>2.002941176</v>
      </c>
      <c r="U56" s="53">
        <f t="shared" si="38"/>
        <v>0.225</v>
      </c>
      <c r="V56" s="53">
        <f t="shared" si="38"/>
        <v>0.0225</v>
      </c>
      <c r="W56" s="211"/>
      <c r="X56" s="211"/>
      <c r="Y56" s="211"/>
      <c r="Z56" s="211"/>
      <c r="AA56" s="211"/>
      <c r="AB56" s="211"/>
      <c r="AC56" s="211"/>
      <c r="AD56" s="211"/>
      <c r="AE56" s="217"/>
      <c r="AF56" s="53">
        <v>2.250441176470588</v>
      </c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07"/>
      <c r="AZ56" s="211"/>
      <c r="BA56" s="211"/>
      <c r="BB56" s="53">
        <f t="shared" ref="BB56:BH56" si="39">$AF56*BB23</f>
        <v>0.3150617647</v>
      </c>
      <c r="BC56" s="53">
        <f t="shared" si="39"/>
        <v>0.7426455882</v>
      </c>
      <c r="BD56" s="53">
        <f t="shared" si="39"/>
        <v>0.5626102941</v>
      </c>
      <c r="BE56" s="53">
        <f t="shared" si="39"/>
        <v>0.3375661765</v>
      </c>
      <c r="BF56" s="53">
        <f t="shared" si="39"/>
        <v>0.1575308824</v>
      </c>
      <c r="BG56" s="53">
        <f t="shared" si="39"/>
        <v>0.09001764706</v>
      </c>
      <c r="BH56" s="53">
        <f t="shared" si="39"/>
        <v>0.04500882353</v>
      </c>
      <c r="BI56" s="211"/>
      <c r="BJ56" s="211"/>
      <c r="BK56" s="211"/>
      <c r="BL56" s="211"/>
    </row>
    <row r="57" ht="15.75" customHeight="1">
      <c r="A57" s="209" t="s">
        <v>73</v>
      </c>
      <c r="B57" s="213">
        <v>15.0</v>
      </c>
      <c r="C57" s="214">
        <v>0.15</v>
      </c>
      <c r="D57" s="205"/>
      <c r="E57" s="205"/>
      <c r="F57" s="205"/>
      <c r="G57" s="205"/>
      <c r="H57" s="205"/>
      <c r="I57" s="205"/>
      <c r="J57" s="211"/>
      <c r="K57" s="211"/>
      <c r="L57" s="211"/>
      <c r="M57" s="211"/>
      <c r="N57" s="211"/>
      <c r="O57" s="211"/>
      <c r="P57" s="211"/>
      <c r="Q57" s="211"/>
      <c r="R57" s="211"/>
      <c r="S57" s="205"/>
      <c r="T57" s="205"/>
      <c r="U57" s="53">
        <f t="shared" ref="U57:W57" si="40">$B57*U24*$C57</f>
        <v>2.002941176</v>
      </c>
      <c r="V57" s="53">
        <f t="shared" si="40"/>
        <v>0.225</v>
      </c>
      <c r="W57" s="53">
        <f t="shared" si="40"/>
        <v>0.0225</v>
      </c>
      <c r="X57" s="211"/>
      <c r="Y57" s="211"/>
      <c r="Z57" s="211"/>
      <c r="AA57" s="211"/>
      <c r="AB57" s="211"/>
      <c r="AC57" s="211"/>
      <c r="AD57" s="211"/>
      <c r="AE57" s="217"/>
      <c r="AF57" s="53">
        <v>2.250441176470588</v>
      </c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07"/>
      <c r="AZ57" s="211"/>
      <c r="BA57" s="211"/>
      <c r="BB57" s="211"/>
      <c r="BC57" s="53">
        <f t="shared" ref="BC57:BI57" si="41">$AF57*BC24</f>
        <v>0.3150617647</v>
      </c>
      <c r="BD57" s="53">
        <f t="shared" si="41"/>
        <v>0.7426455882</v>
      </c>
      <c r="BE57" s="53">
        <f t="shared" si="41"/>
        <v>0.5626102941</v>
      </c>
      <c r="BF57" s="53">
        <f t="shared" si="41"/>
        <v>0.3375661765</v>
      </c>
      <c r="BG57" s="53">
        <f t="shared" si="41"/>
        <v>0.1575308824</v>
      </c>
      <c r="BH57" s="53">
        <f t="shared" si="41"/>
        <v>0.09001764706</v>
      </c>
      <c r="BI57" s="53">
        <f t="shared" si="41"/>
        <v>0.04500882353</v>
      </c>
      <c r="BJ57" s="211"/>
      <c r="BK57" s="211"/>
      <c r="BL57" s="211"/>
    </row>
    <row r="58" ht="15.75" customHeight="1">
      <c r="A58" s="209" t="s">
        <v>74</v>
      </c>
      <c r="B58" s="213">
        <v>15.0</v>
      </c>
      <c r="C58" s="214">
        <v>0.15</v>
      </c>
      <c r="D58" s="205"/>
      <c r="E58" s="205"/>
      <c r="F58" s="205"/>
      <c r="G58" s="205"/>
      <c r="H58" s="205"/>
      <c r="I58" s="205"/>
      <c r="J58" s="211"/>
      <c r="K58" s="211"/>
      <c r="L58" s="211"/>
      <c r="M58" s="211"/>
      <c r="N58" s="211"/>
      <c r="O58" s="211"/>
      <c r="P58" s="211"/>
      <c r="Q58" s="211"/>
      <c r="R58" s="211"/>
      <c r="S58" s="205"/>
      <c r="T58" s="205"/>
      <c r="U58" s="205"/>
      <c r="V58" s="53">
        <f t="shared" ref="V58:X58" si="42">$B58*V25*$C58</f>
        <v>2.002941176</v>
      </c>
      <c r="W58" s="53">
        <f t="shared" si="42"/>
        <v>0.225</v>
      </c>
      <c r="X58" s="53">
        <f t="shared" si="42"/>
        <v>0.0225</v>
      </c>
      <c r="Y58" s="211"/>
      <c r="Z58" s="211"/>
      <c r="AA58" s="211"/>
      <c r="AB58" s="211"/>
      <c r="AC58" s="211"/>
      <c r="AD58" s="211"/>
      <c r="AE58" s="217"/>
      <c r="AF58" s="53">
        <v>2.250441176470588</v>
      </c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07"/>
      <c r="AZ58" s="211"/>
      <c r="BA58" s="211"/>
      <c r="BB58" s="211"/>
      <c r="BC58" s="211"/>
      <c r="BD58" s="53">
        <f t="shared" ref="BD58:BJ58" si="43">$AF58*BD25</f>
        <v>0.3150617647</v>
      </c>
      <c r="BE58" s="53">
        <f t="shared" si="43"/>
        <v>0.7426455882</v>
      </c>
      <c r="BF58" s="53">
        <f t="shared" si="43"/>
        <v>0.5626102941</v>
      </c>
      <c r="BG58" s="53">
        <f t="shared" si="43"/>
        <v>0.3375661765</v>
      </c>
      <c r="BH58" s="53">
        <f t="shared" si="43"/>
        <v>0.1575308824</v>
      </c>
      <c r="BI58" s="53">
        <f t="shared" si="43"/>
        <v>0.09001764706</v>
      </c>
      <c r="BJ58" s="53">
        <f t="shared" si="43"/>
        <v>0.04500882353</v>
      </c>
      <c r="BK58" s="211"/>
      <c r="BL58" s="211"/>
    </row>
    <row r="59" ht="15.75" customHeight="1">
      <c r="A59" s="209" t="s">
        <v>75</v>
      </c>
      <c r="B59" s="213">
        <v>15.0</v>
      </c>
      <c r="C59" s="214">
        <v>0.15</v>
      </c>
      <c r="D59" s="205"/>
      <c r="E59" s="205"/>
      <c r="F59" s="205"/>
      <c r="G59" s="205"/>
      <c r="H59" s="205"/>
      <c r="I59" s="205"/>
      <c r="J59" s="211"/>
      <c r="K59" s="211"/>
      <c r="L59" s="211"/>
      <c r="M59" s="211"/>
      <c r="N59" s="211"/>
      <c r="O59" s="211"/>
      <c r="P59" s="211"/>
      <c r="Q59" s="211"/>
      <c r="R59" s="211"/>
      <c r="S59" s="205"/>
      <c r="T59" s="205"/>
      <c r="U59" s="205"/>
      <c r="V59" s="211"/>
      <c r="W59" s="53">
        <f t="shared" ref="W59:Y59" si="44">$B59*W26*$C59</f>
        <v>2.002941176</v>
      </c>
      <c r="X59" s="53">
        <f t="shared" si="44"/>
        <v>0.225</v>
      </c>
      <c r="Y59" s="53">
        <f t="shared" si="44"/>
        <v>0.0225</v>
      </c>
      <c r="Z59" s="211"/>
      <c r="AA59" s="211"/>
      <c r="AB59" s="211"/>
      <c r="AC59" s="211"/>
      <c r="AD59" s="211"/>
      <c r="AE59" s="217"/>
      <c r="AF59" s="53">
        <v>2.250441176470588</v>
      </c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07"/>
      <c r="AZ59" s="211"/>
      <c r="BA59" s="211"/>
      <c r="BB59" s="211"/>
      <c r="BC59" s="211"/>
      <c r="BD59" s="211"/>
      <c r="BE59" s="53">
        <f t="shared" ref="BE59:BK59" si="45">$AF59*BE26</f>
        <v>0.3150617647</v>
      </c>
      <c r="BF59" s="53">
        <f t="shared" si="45"/>
        <v>0.7426455882</v>
      </c>
      <c r="BG59" s="53">
        <f t="shared" si="45"/>
        <v>0.5626102941</v>
      </c>
      <c r="BH59" s="53">
        <f t="shared" si="45"/>
        <v>0.3375661765</v>
      </c>
      <c r="BI59" s="53">
        <f t="shared" si="45"/>
        <v>0.1575308824</v>
      </c>
      <c r="BJ59" s="53">
        <f t="shared" si="45"/>
        <v>0.09001764706</v>
      </c>
      <c r="BK59" s="53">
        <f t="shared" si="45"/>
        <v>0.04500882353</v>
      </c>
      <c r="BL59" s="211"/>
    </row>
    <row r="60" ht="15.75" customHeight="1">
      <c r="A60" s="209" t="s">
        <v>76</v>
      </c>
      <c r="B60" s="213">
        <v>15.0</v>
      </c>
      <c r="C60" s="214">
        <v>0.15</v>
      </c>
      <c r="D60" s="205"/>
      <c r="E60" s="205"/>
      <c r="F60" s="205"/>
      <c r="G60" s="205"/>
      <c r="H60" s="205"/>
      <c r="I60" s="205"/>
      <c r="J60" s="211"/>
      <c r="K60" s="211"/>
      <c r="L60" s="211"/>
      <c r="M60" s="211"/>
      <c r="N60" s="211"/>
      <c r="O60" s="211"/>
      <c r="P60" s="211"/>
      <c r="Q60" s="211"/>
      <c r="R60" s="211"/>
      <c r="S60" s="205"/>
      <c r="T60" s="205"/>
      <c r="U60" s="205"/>
      <c r="V60" s="211"/>
      <c r="W60" s="211"/>
      <c r="X60" s="53">
        <f t="shared" ref="X60:Z60" si="46">$B60*X27*$C60</f>
        <v>2.002941176</v>
      </c>
      <c r="Y60" s="53">
        <f t="shared" si="46"/>
        <v>0.225</v>
      </c>
      <c r="Z60" s="53">
        <f t="shared" si="46"/>
        <v>0.0225</v>
      </c>
      <c r="AA60" s="211"/>
      <c r="AB60" s="211"/>
      <c r="AC60" s="211"/>
      <c r="AD60" s="211"/>
      <c r="AE60" s="217"/>
      <c r="AF60" s="53">
        <v>2.250441176470588</v>
      </c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07"/>
      <c r="AZ60" s="211"/>
      <c r="BA60" s="211"/>
      <c r="BB60" s="211"/>
      <c r="BC60" s="211"/>
      <c r="BD60" s="211"/>
      <c r="BE60" s="211"/>
      <c r="BF60" s="53">
        <f t="shared" ref="BF60:BL60" si="47">$AF60*BF27</f>
        <v>0.3150617647</v>
      </c>
      <c r="BG60" s="53">
        <f t="shared" si="47"/>
        <v>0.7426455882</v>
      </c>
      <c r="BH60" s="53">
        <f t="shared" si="47"/>
        <v>0.5626102941</v>
      </c>
      <c r="BI60" s="53">
        <f t="shared" si="47"/>
        <v>0.3375661765</v>
      </c>
      <c r="BJ60" s="53">
        <f t="shared" si="47"/>
        <v>0.1575308824</v>
      </c>
      <c r="BK60" s="53">
        <f t="shared" si="47"/>
        <v>0.09001764706</v>
      </c>
      <c r="BL60" s="53">
        <f t="shared" si="47"/>
        <v>0.04500882353</v>
      </c>
    </row>
    <row r="61" ht="15.75" customHeight="1">
      <c r="A61" s="209" t="s">
        <v>77</v>
      </c>
      <c r="B61" s="213">
        <v>15.0</v>
      </c>
      <c r="C61" s="214">
        <v>0.15</v>
      </c>
      <c r="D61" s="205"/>
      <c r="E61" s="205"/>
      <c r="F61" s="205"/>
      <c r="G61" s="205"/>
      <c r="H61" s="205"/>
      <c r="I61" s="205"/>
      <c r="J61" s="211"/>
      <c r="K61" s="211"/>
      <c r="L61" s="211"/>
      <c r="M61" s="211"/>
      <c r="N61" s="211"/>
      <c r="O61" s="211"/>
      <c r="P61" s="211"/>
      <c r="Q61" s="211"/>
      <c r="R61" s="211"/>
      <c r="S61" s="205"/>
      <c r="T61" s="205"/>
      <c r="U61" s="205"/>
      <c r="V61" s="211"/>
      <c r="W61" s="211"/>
      <c r="X61" s="211"/>
      <c r="Y61" s="53">
        <f t="shared" ref="Y61:AA61" si="48">$B61*Y28*$C61</f>
        <v>2.002941176</v>
      </c>
      <c r="Z61" s="53">
        <f t="shared" si="48"/>
        <v>0.225</v>
      </c>
      <c r="AA61" s="53">
        <f t="shared" si="48"/>
        <v>0.0225</v>
      </c>
      <c r="AB61" s="211"/>
      <c r="AC61" s="211"/>
      <c r="AD61" s="211"/>
      <c r="AE61" s="217"/>
      <c r="AF61" s="53">
        <v>2.250441176470588</v>
      </c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07"/>
      <c r="AZ61" s="211"/>
      <c r="BA61" s="211"/>
      <c r="BB61" s="211"/>
      <c r="BC61" s="211"/>
      <c r="BD61" s="211"/>
      <c r="BE61" s="211"/>
      <c r="BF61" s="211"/>
      <c r="BG61" s="53">
        <f t="shared" ref="BG61:BL61" si="49">$AF61*BG28</f>
        <v>0.3150617647</v>
      </c>
      <c r="BH61" s="53">
        <f t="shared" si="49"/>
        <v>0.7426455882</v>
      </c>
      <c r="BI61" s="53">
        <f t="shared" si="49"/>
        <v>0.5626102941</v>
      </c>
      <c r="BJ61" s="53">
        <f t="shared" si="49"/>
        <v>0.3375661765</v>
      </c>
      <c r="BK61" s="53">
        <f t="shared" si="49"/>
        <v>0.1575308824</v>
      </c>
      <c r="BL61" s="53">
        <f t="shared" si="49"/>
        <v>0.09001764706</v>
      </c>
    </row>
    <row r="62" ht="15.75" customHeight="1">
      <c r="A62" s="209" t="s">
        <v>78</v>
      </c>
      <c r="B62" s="213">
        <v>15.0</v>
      </c>
      <c r="C62" s="214">
        <v>0.15</v>
      </c>
      <c r="D62" s="205"/>
      <c r="E62" s="205"/>
      <c r="F62" s="205"/>
      <c r="G62" s="205"/>
      <c r="H62" s="205"/>
      <c r="I62" s="205"/>
      <c r="J62" s="211"/>
      <c r="K62" s="211"/>
      <c r="L62" s="211"/>
      <c r="M62" s="211"/>
      <c r="N62" s="211"/>
      <c r="O62" s="211"/>
      <c r="P62" s="211"/>
      <c r="Q62" s="211"/>
      <c r="R62" s="211"/>
      <c r="S62" s="205"/>
      <c r="T62" s="205"/>
      <c r="U62" s="205"/>
      <c r="V62" s="211"/>
      <c r="W62" s="211"/>
      <c r="X62" s="211"/>
      <c r="Y62" s="211"/>
      <c r="Z62" s="53">
        <f t="shared" ref="Z62:AB62" si="50">$B62*Z29*$C62</f>
        <v>2.0025</v>
      </c>
      <c r="AA62" s="53">
        <f t="shared" si="50"/>
        <v>0.225</v>
      </c>
      <c r="AB62" s="53">
        <f t="shared" si="50"/>
        <v>0.0225</v>
      </c>
      <c r="AC62" s="211"/>
      <c r="AD62" s="211"/>
      <c r="AE62" s="217"/>
      <c r="AF62" s="53">
        <v>2.25</v>
      </c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53">
        <f t="shared" ref="BH62:BL62" si="51">$AF62*BH29</f>
        <v>0.315</v>
      </c>
      <c r="BI62" s="53">
        <f t="shared" si="51"/>
        <v>0.7425</v>
      </c>
      <c r="BJ62" s="53">
        <f t="shared" si="51"/>
        <v>0.5625</v>
      </c>
      <c r="BK62" s="53">
        <f t="shared" si="51"/>
        <v>0.3375</v>
      </c>
      <c r="BL62" s="53">
        <f t="shared" si="51"/>
        <v>0.1575</v>
      </c>
    </row>
    <row r="63" ht="15.75" customHeight="1">
      <c r="A63" s="209" t="s">
        <v>79</v>
      </c>
      <c r="B63" s="213">
        <v>15.0</v>
      </c>
      <c r="C63" s="214">
        <v>0.15</v>
      </c>
      <c r="D63" s="205"/>
      <c r="E63" s="205"/>
      <c r="F63" s="205"/>
      <c r="G63" s="205"/>
      <c r="H63" s="205"/>
      <c r="I63" s="205"/>
      <c r="J63" s="211"/>
      <c r="K63" s="211"/>
      <c r="L63" s="211"/>
      <c r="M63" s="211"/>
      <c r="N63" s="211"/>
      <c r="O63" s="211"/>
      <c r="P63" s="211"/>
      <c r="Q63" s="211"/>
      <c r="R63" s="211"/>
      <c r="S63" s="205"/>
      <c r="T63" s="205"/>
      <c r="U63" s="205"/>
      <c r="V63" s="211"/>
      <c r="W63" s="211"/>
      <c r="X63" s="211"/>
      <c r="Y63" s="211"/>
      <c r="Z63" s="211"/>
      <c r="AA63" s="53">
        <f t="shared" ref="AA63:AC63" si="52">$B63*AA30*$C63</f>
        <v>2.0025</v>
      </c>
      <c r="AB63" s="53">
        <f t="shared" si="52"/>
        <v>0.225</v>
      </c>
      <c r="AC63" s="53">
        <f t="shared" si="52"/>
        <v>0.0225</v>
      </c>
      <c r="AD63" s="211"/>
      <c r="AE63" s="217"/>
      <c r="AF63" s="53">
        <v>2.25</v>
      </c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53">
        <f t="shared" ref="BI63:BL63" si="53">$AF63*BI30</f>
        <v>0.315</v>
      </c>
      <c r="BJ63" s="53">
        <f t="shared" si="53"/>
        <v>0.7425</v>
      </c>
      <c r="BK63" s="53">
        <f t="shared" si="53"/>
        <v>0.5625</v>
      </c>
      <c r="BL63" s="53">
        <f t="shared" si="53"/>
        <v>0.3375</v>
      </c>
    </row>
    <row r="64" ht="15.75" customHeight="1">
      <c r="A64" s="209" t="s">
        <v>80</v>
      </c>
      <c r="B64" s="213">
        <v>15.0</v>
      </c>
      <c r="C64" s="214">
        <v>0.15</v>
      </c>
      <c r="D64" s="205"/>
      <c r="E64" s="205"/>
      <c r="F64" s="205"/>
      <c r="G64" s="205"/>
      <c r="H64" s="205"/>
      <c r="I64" s="205"/>
      <c r="J64" s="211"/>
      <c r="K64" s="211"/>
      <c r="L64" s="211"/>
      <c r="M64" s="211"/>
      <c r="N64" s="211"/>
      <c r="O64" s="211"/>
      <c r="P64" s="211"/>
      <c r="Q64" s="211"/>
      <c r="R64" s="211"/>
      <c r="S64" s="205"/>
      <c r="T64" s="205"/>
      <c r="U64" s="205"/>
      <c r="V64" s="211"/>
      <c r="W64" s="211"/>
      <c r="X64" s="211"/>
      <c r="Y64" s="211"/>
      <c r="Z64" s="211"/>
      <c r="AA64" s="211"/>
      <c r="AB64" s="53">
        <f t="shared" ref="AB64:AD64" si="54">$B64*AB31*$C64</f>
        <v>2.0025</v>
      </c>
      <c r="AC64" s="53">
        <f t="shared" si="54"/>
        <v>0.225</v>
      </c>
      <c r="AD64" s="53">
        <f t="shared" si="54"/>
        <v>0.0225</v>
      </c>
      <c r="AE64" s="217"/>
      <c r="AF64" s="53">
        <v>2.25</v>
      </c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53">
        <f t="shared" ref="BJ64:BL64" si="55">$AF64*BJ31</f>
        <v>0.315</v>
      </c>
      <c r="BK64" s="53">
        <f t="shared" si="55"/>
        <v>0.7425</v>
      </c>
      <c r="BL64" s="53">
        <f t="shared" si="55"/>
        <v>0.5625</v>
      </c>
    </row>
    <row r="65" ht="15.75" customHeight="1">
      <c r="A65" s="209" t="s">
        <v>81</v>
      </c>
      <c r="B65" s="213">
        <v>15.0</v>
      </c>
      <c r="C65" s="214">
        <v>0.15</v>
      </c>
      <c r="D65" s="205"/>
      <c r="E65" s="205"/>
      <c r="F65" s="205"/>
      <c r="G65" s="205"/>
      <c r="H65" s="205"/>
      <c r="I65" s="205"/>
      <c r="J65" s="211"/>
      <c r="K65" s="211"/>
      <c r="L65" s="211"/>
      <c r="M65" s="211"/>
      <c r="N65" s="211"/>
      <c r="O65" s="211"/>
      <c r="P65" s="211"/>
      <c r="Q65" s="211"/>
      <c r="R65" s="211"/>
      <c r="S65" s="205"/>
      <c r="T65" s="205"/>
      <c r="U65" s="205"/>
      <c r="V65" s="211"/>
      <c r="W65" s="211"/>
      <c r="X65" s="211"/>
      <c r="Y65" s="211"/>
      <c r="Z65" s="211"/>
      <c r="AA65" s="211"/>
      <c r="AB65" s="211"/>
      <c r="AC65" s="53">
        <f t="shared" ref="AC65:AD65" si="56">$B65*AC32*$C65</f>
        <v>2.0025</v>
      </c>
      <c r="AD65" s="53">
        <f t="shared" si="56"/>
        <v>0.225</v>
      </c>
      <c r="AE65" s="217"/>
      <c r="AF65" s="53">
        <v>2.25</v>
      </c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53">
        <f t="shared" ref="BK65:BL65" si="57">$AF65*BK32</f>
        <v>0.315</v>
      </c>
      <c r="BL65" s="53">
        <f t="shared" si="57"/>
        <v>0.7425</v>
      </c>
    </row>
    <row r="66" ht="15.75" customHeight="1">
      <c r="A66" s="209" t="s">
        <v>82</v>
      </c>
      <c r="B66" s="213">
        <v>15.0</v>
      </c>
      <c r="C66" s="214">
        <v>0.15</v>
      </c>
      <c r="D66" s="219"/>
      <c r="E66" s="219"/>
      <c r="F66" s="219"/>
      <c r="G66" s="219"/>
      <c r="H66" s="219"/>
      <c r="I66" s="219"/>
      <c r="J66" s="220"/>
      <c r="K66" s="220"/>
      <c r="L66" s="220"/>
      <c r="M66" s="220"/>
      <c r="N66" s="220"/>
      <c r="O66" s="221"/>
      <c r="P66" s="221"/>
      <c r="Q66" s="221"/>
      <c r="R66" s="221"/>
      <c r="S66" s="205"/>
      <c r="T66" s="205"/>
      <c r="U66" s="205"/>
      <c r="V66" s="211"/>
      <c r="W66" s="211"/>
      <c r="X66" s="211"/>
      <c r="Y66" s="211"/>
      <c r="Z66" s="211"/>
      <c r="AA66" s="211"/>
      <c r="AB66" s="211"/>
      <c r="AC66" s="211"/>
      <c r="AD66" s="53">
        <f>$B66*AD33*$C66</f>
        <v>2.0025</v>
      </c>
      <c r="AE66" s="222"/>
      <c r="AF66" s="53">
        <v>2.25</v>
      </c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3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53">
        <f>$AF66*BL33</f>
        <v>0.315</v>
      </c>
    </row>
    <row r="67" ht="15.75" customHeight="1">
      <c r="A67" s="224" t="s">
        <v>171</v>
      </c>
      <c r="B67" s="225"/>
      <c r="C67" s="225"/>
      <c r="D67" s="118">
        <f t="shared" ref="D67:AD67" si="58">sum(D39:D66)</f>
        <v>0</v>
      </c>
      <c r="E67" s="118">
        <f t="shared" si="58"/>
        <v>0</v>
      </c>
      <c r="F67" s="118">
        <f t="shared" si="58"/>
        <v>0</v>
      </c>
      <c r="G67" s="118">
        <f t="shared" si="58"/>
        <v>0</v>
      </c>
      <c r="H67" s="118">
        <f t="shared" si="58"/>
        <v>0</v>
      </c>
      <c r="I67" s="118">
        <f t="shared" si="58"/>
        <v>0</v>
      </c>
      <c r="J67" s="118">
        <f t="shared" si="58"/>
        <v>0</v>
      </c>
      <c r="K67" s="118">
        <f t="shared" si="58"/>
        <v>0</v>
      </c>
      <c r="L67" s="118">
        <f t="shared" si="58"/>
        <v>0</v>
      </c>
      <c r="M67" s="118">
        <f t="shared" si="58"/>
        <v>0</v>
      </c>
      <c r="N67" s="118">
        <f t="shared" si="58"/>
        <v>3.471</v>
      </c>
      <c r="O67" s="118">
        <f t="shared" si="58"/>
        <v>1.725</v>
      </c>
      <c r="P67" s="118">
        <f t="shared" si="58"/>
        <v>1.524</v>
      </c>
      <c r="Q67" s="118">
        <f t="shared" si="58"/>
        <v>2.1675</v>
      </c>
      <c r="R67" s="118">
        <f t="shared" si="58"/>
        <v>2.2425</v>
      </c>
      <c r="S67" s="118">
        <f t="shared" si="58"/>
        <v>2.250441176</v>
      </c>
      <c r="T67" s="118">
        <f t="shared" si="58"/>
        <v>2.250441176</v>
      </c>
      <c r="U67" s="118">
        <f t="shared" si="58"/>
        <v>2.250441176</v>
      </c>
      <c r="V67" s="118">
        <f t="shared" si="58"/>
        <v>2.250441176</v>
      </c>
      <c r="W67" s="118">
        <f t="shared" si="58"/>
        <v>2.250441176</v>
      </c>
      <c r="X67" s="118">
        <f t="shared" si="58"/>
        <v>2.250441176</v>
      </c>
      <c r="Y67" s="118">
        <f t="shared" si="58"/>
        <v>2.250441176</v>
      </c>
      <c r="Z67" s="118">
        <f t="shared" si="58"/>
        <v>2.25</v>
      </c>
      <c r="AA67" s="118">
        <f t="shared" si="58"/>
        <v>2.25</v>
      </c>
      <c r="AB67" s="118">
        <f t="shared" si="58"/>
        <v>2.25</v>
      </c>
      <c r="AC67" s="118">
        <f t="shared" si="58"/>
        <v>2.25</v>
      </c>
      <c r="AD67" s="118">
        <f t="shared" si="58"/>
        <v>2.25</v>
      </c>
      <c r="AE67" s="226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7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9"/>
    </row>
    <row r="68" ht="15.75" customHeight="1">
      <c r="A68" s="230" t="s">
        <v>172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2"/>
      <c r="AF68" s="231"/>
      <c r="AG68" s="60">
        <f t="shared" ref="AG68:BL68" si="59">sum(AG35:AG66)</f>
        <v>0</v>
      </c>
      <c r="AH68" s="60">
        <f t="shared" si="59"/>
        <v>0</v>
      </c>
      <c r="AI68" s="60">
        <f t="shared" si="59"/>
        <v>0</v>
      </c>
      <c r="AJ68" s="60">
        <f t="shared" si="59"/>
        <v>0</v>
      </c>
      <c r="AK68" s="60">
        <f t="shared" si="59"/>
        <v>0</v>
      </c>
      <c r="AL68" s="60">
        <f t="shared" si="59"/>
        <v>0</v>
      </c>
      <c r="AM68" s="60">
        <f t="shared" si="59"/>
        <v>0</v>
      </c>
      <c r="AN68" s="60">
        <f t="shared" si="59"/>
        <v>0</v>
      </c>
      <c r="AO68" s="60">
        <f t="shared" si="59"/>
        <v>0</v>
      </c>
      <c r="AP68" s="60">
        <f t="shared" si="59"/>
        <v>0</v>
      </c>
      <c r="AQ68" s="60">
        <f t="shared" si="59"/>
        <v>0</v>
      </c>
      <c r="AR68" s="60">
        <f t="shared" si="59"/>
        <v>0</v>
      </c>
      <c r="AS68" s="60">
        <f t="shared" si="59"/>
        <v>0</v>
      </c>
      <c r="AT68" s="60">
        <f t="shared" si="59"/>
        <v>0</v>
      </c>
      <c r="AU68" s="60">
        <f t="shared" si="59"/>
        <v>0</v>
      </c>
      <c r="AV68" s="60">
        <f t="shared" si="59"/>
        <v>0.48594</v>
      </c>
      <c r="AW68" s="60">
        <f t="shared" si="59"/>
        <v>1.38693</v>
      </c>
      <c r="AX68" s="60">
        <f t="shared" si="59"/>
        <v>1.65036</v>
      </c>
      <c r="AY68" s="60">
        <f t="shared" si="59"/>
        <v>1.75827</v>
      </c>
      <c r="AZ68" s="60">
        <f t="shared" si="59"/>
        <v>1.911945</v>
      </c>
      <c r="BA68" s="60">
        <f t="shared" si="59"/>
        <v>2.085151765</v>
      </c>
      <c r="BB68" s="60">
        <f t="shared" si="59"/>
        <v>2.188557353</v>
      </c>
      <c r="BC68" s="60">
        <f t="shared" si="59"/>
        <v>2.203877647</v>
      </c>
      <c r="BD68" s="60">
        <f t="shared" si="59"/>
        <v>2.232038824</v>
      </c>
      <c r="BE68" s="60">
        <f t="shared" si="59"/>
        <v>2.248464706</v>
      </c>
      <c r="BF68" s="60">
        <f t="shared" si="59"/>
        <v>2.250282353</v>
      </c>
      <c r="BG68" s="60">
        <f t="shared" si="59"/>
        <v>2.250441176</v>
      </c>
      <c r="BH68" s="60">
        <f t="shared" si="59"/>
        <v>2.250379412</v>
      </c>
      <c r="BI68" s="60">
        <f t="shared" si="59"/>
        <v>2.250233824</v>
      </c>
      <c r="BJ68" s="60">
        <f t="shared" si="59"/>
        <v>2.250123529</v>
      </c>
      <c r="BK68" s="60">
        <f t="shared" si="59"/>
        <v>2.250057353</v>
      </c>
      <c r="BL68" s="60">
        <f t="shared" si="59"/>
        <v>2.250026471</v>
      </c>
    </row>
    <row r="69" ht="15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233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234">
        <v>6.0</v>
      </c>
      <c r="AX69" s="234">
        <v>2.0</v>
      </c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</row>
    <row r="70" ht="15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233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</row>
    <row r="71" ht="15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233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</row>
    <row r="72" ht="15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23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233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</row>
    <row r="73" ht="15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23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233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</row>
    <row r="74" ht="15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23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233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233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233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</row>
    <row r="77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233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</row>
    <row r="78" ht="15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233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</row>
    <row r="79" ht="15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233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</row>
    <row r="80" ht="15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233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</row>
    <row r="81" ht="15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233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</row>
    <row r="82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233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</row>
    <row r="83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233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</row>
    <row r="84" ht="15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233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</row>
    <row r="85" ht="15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233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</row>
    <row r="86" ht="15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233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</row>
    <row r="87" ht="15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233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</row>
    <row r="88" ht="15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233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</row>
    <row r="89" ht="15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233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</row>
    <row r="90" ht="15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233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</row>
    <row r="91" ht="15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233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</row>
    <row r="92" ht="15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233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</row>
    <row r="93" ht="15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233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</row>
    <row r="94" ht="15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233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</row>
    <row r="95" ht="15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233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</row>
    <row r="96" ht="15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233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</row>
    <row r="97" ht="15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233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</row>
    <row r="98" ht="15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233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</row>
    <row r="99" ht="15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233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</row>
    <row r="100" ht="15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233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</row>
    <row r="101" ht="15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233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</row>
    <row r="102" ht="15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233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</row>
    <row r="103" ht="15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233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</row>
    <row r="104" ht="15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233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</row>
    <row r="105" ht="15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233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</row>
    <row r="106" ht="15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233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</row>
    <row r="107" ht="15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233"/>
      <c r="AF107" s="185"/>
      <c r="AG107" s="185"/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</row>
    <row r="108" ht="15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233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</row>
    <row r="109" ht="15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233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</row>
    <row r="110" ht="15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233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</row>
    <row r="111" ht="15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233"/>
      <c r="AF111" s="185"/>
      <c r="AG111" s="185"/>
      <c r="AH111" s="185"/>
      <c r="AI111" s="185"/>
      <c r="AJ111" s="185"/>
      <c r="AK111" s="185"/>
      <c r="AL111" s="185"/>
      <c r="AM111" s="185"/>
      <c r="AN111" s="185"/>
      <c r="AO111" s="185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</row>
    <row r="112" ht="15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233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</row>
    <row r="113" ht="15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233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</row>
    <row r="114" ht="15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233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</row>
    <row r="115" ht="15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233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185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</row>
    <row r="116" ht="15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233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</row>
    <row r="117" ht="15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233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185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</row>
    <row r="118" ht="15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233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185"/>
      <c r="BI118" s="185"/>
      <c r="BJ118" s="185"/>
      <c r="BK118" s="185"/>
      <c r="BL118" s="185"/>
    </row>
    <row r="119" ht="15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233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5"/>
      <c r="BL119" s="185"/>
    </row>
    <row r="120" ht="15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233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  <c r="BK120" s="185"/>
      <c r="BL120" s="185"/>
    </row>
    <row r="121" ht="15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233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</row>
    <row r="122" ht="15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233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  <c r="BH122" s="185"/>
      <c r="BI122" s="185"/>
      <c r="BJ122" s="185"/>
      <c r="BK122" s="185"/>
      <c r="BL122" s="185"/>
    </row>
    <row r="123" ht="15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233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</row>
    <row r="124" ht="15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233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  <c r="BH124" s="185"/>
      <c r="BI124" s="185"/>
      <c r="BJ124" s="185"/>
      <c r="BK124" s="185"/>
      <c r="BL124" s="185"/>
    </row>
    <row r="125" ht="15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233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</row>
    <row r="126" ht="15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233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</row>
    <row r="127" ht="15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233"/>
      <c r="AF127" s="185"/>
      <c r="AG127" s="185"/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5"/>
    </row>
    <row r="128" ht="15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233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  <c r="BD128" s="185"/>
      <c r="BE128" s="185"/>
      <c r="BF128" s="185"/>
      <c r="BG128" s="185"/>
      <c r="BH128" s="185"/>
      <c r="BI128" s="185"/>
      <c r="BJ128" s="185"/>
      <c r="BK128" s="185"/>
      <c r="BL128" s="185"/>
    </row>
    <row r="129" ht="15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233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5"/>
      <c r="BF129" s="185"/>
      <c r="BG129" s="185"/>
      <c r="BH129" s="185"/>
      <c r="BI129" s="185"/>
      <c r="BJ129" s="185"/>
      <c r="BK129" s="185"/>
      <c r="BL129" s="185"/>
    </row>
    <row r="130" ht="15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233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233"/>
      <c r="AF131" s="185"/>
      <c r="AG131" s="185"/>
      <c r="AH131" s="185"/>
      <c r="AI131" s="185"/>
      <c r="AJ131" s="185"/>
      <c r="AK131" s="185"/>
      <c r="AL131" s="185"/>
      <c r="AM131" s="185"/>
      <c r="AN131" s="185"/>
      <c r="AO131" s="185"/>
      <c r="AP131" s="185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  <c r="BA131" s="185"/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233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  <c r="AP132" s="185"/>
      <c r="AQ132" s="185"/>
      <c r="AR132" s="185"/>
      <c r="AS132" s="185"/>
      <c r="AT132" s="185"/>
      <c r="AU132" s="185"/>
      <c r="AV132" s="185"/>
      <c r="AW132" s="185"/>
      <c r="AX132" s="185"/>
      <c r="AY132" s="185"/>
      <c r="AZ132" s="185"/>
      <c r="BA132" s="185"/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233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233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233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233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5"/>
      <c r="AP136" s="185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233"/>
      <c r="AF137" s="185"/>
      <c r="AG137" s="185"/>
      <c r="AH137" s="185"/>
      <c r="AI137" s="185"/>
      <c r="AJ137" s="185"/>
      <c r="AK137" s="185"/>
      <c r="AL137" s="185"/>
      <c r="AM137" s="185"/>
      <c r="AN137" s="185"/>
      <c r="AO137" s="185"/>
      <c r="AP137" s="185"/>
      <c r="AQ137" s="185"/>
      <c r="AR137" s="185"/>
      <c r="AS137" s="185"/>
      <c r="AT137" s="185"/>
      <c r="AU137" s="185"/>
      <c r="AV137" s="185"/>
      <c r="AW137" s="185"/>
      <c r="AX137" s="185"/>
      <c r="AY137" s="185"/>
      <c r="AZ137" s="185"/>
      <c r="BA137" s="185"/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233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/>
      <c r="AT138" s="185"/>
      <c r="AU138" s="185"/>
      <c r="AV138" s="185"/>
      <c r="AW138" s="185"/>
      <c r="AX138" s="185"/>
      <c r="AY138" s="185"/>
      <c r="AZ138" s="185"/>
      <c r="BA138" s="185"/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233"/>
      <c r="AF139" s="185"/>
      <c r="AG139" s="185"/>
      <c r="AH139" s="185"/>
      <c r="AI139" s="185"/>
      <c r="AJ139" s="185"/>
      <c r="AK139" s="185"/>
      <c r="AL139" s="185"/>
      <c r="AM139" s="185"/>
      <c r="AN139" s="185"/>
      <c r="AO139" s="185"/>
      <c r="AP139" s="185"/>
      <c r="AQ139" s="185"/>
      <c r="AR139" s="185"/>
      <c r="AS139" s="185"/>
      <c r="AT139" s="185"/>
      <c r="AU139" s="185"/>
      <c r="AV139" s="185"/>
      <c r="AW139" s="185"/>
      <c r="AX139" s="185"/>
      <c r="AY139" s="185"/>
      <c r="AZ139" s="185"/>
      <c r="BA139" s="185"/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233"/>
      <c r="AF140" s="185"/>
      <c r="AG140" s="185"/>
      <c r="AH140" s="185"/>
      <c r="AI140" s="185"/>
      <c r="AJ140" s="185"/>
      <c r="AK140" s="185"/>
      <c r="AL140" s="185"/>
      <c r="AM140" s="185"/>
      <c r="AN140" s="185"/>
      <c r="AO140" s="185"/>
      <c r="AP140" s="185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233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233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233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  <c r="AP143" s="185"/>
      <c r="AQ143" s="185"/>
      <c r="AR143" s="185"/>
      <c r="AS143" s="185"/>
      <c r="AT143" s="185"/>
      <c r="AU143" s="185"/>
      <c r="AV143" s="185"/>
      <c r="AW143" s="185"/>
      <c r="AX143" s="185"/>
      <c r="AY143" s="185"/>
      <c r="AZ143" s="185"/>
      <c r="BA143" s="185"/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233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  <c r="AP144" s="185"/>
      <c r="AQ144" s="185"/>
      <c r="AR144" s="185"/>
      <c r="AS144" s="185"/>
      <c r="AT144" s="185"/>
      <c r="AU144" s="185"/>
      <c r="AV144" s="185"/>
      <c r="AW144" s="185"/>
      <c r="AX144" s="185"/>
      <c r="AY144" s="185"/>
      <c r="AZ144" s="185"/>
      <c r="BA144" s="185"/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233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/>
      <c r="AT145" s="185"/>
      <c r="AU145" s="185"/>
      <c r="AV145" s="185"/>
      <c r="AW145" s="185"/>
      <c r="AX145" s="185"/>
      <c r="AY145" s="185"/>
      <c r="AZ145" s="185"/>
      <c r="BA145" s="185"/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233"/>
      <c r="AF146" s="185"/>
      <c r="AG146" s="185"/>
      <c r="AH146" s="185"/>
      <c r="AI146" s="185"/>
      <c r="AJ146" s="185"/>
      <c r="AK146" s="185"/>
      <c r="AL146" s="185"/>
      <c r="AM146" s="185"/>
      <c r="AN146" s="185"/>
      <c r="AO146" s="185"/>
      <c r="AP146" s="185"/>
      <c r="AQ146" s="185"/>
      <c r="AR146" s="185"/>
      <c r="AS146" s="185"/>
      <c r="AT146" s="185"/>
      <c r="AU146" s="185"/>
      <c r="AV146" s="185"/>
      <c r="AW146" s="185"/>
      <c r="AX146" s="185"/>
      <c r="AY146" s="185"/>
      <c r="AZ146" s="185"/>
      <c r="BA146" s="185"/>
      <c r="BB146" s="185"/>
      <c r="BC146" s="185"/>
      <c r="BD146" s="185"/>
      <c r="BE146" s="185"/>
      <c r="BF146" s="185"/>
      <c r="BG146" s="185"/>
      <c r="BH146" s="185"/>
      <c r="BI146" s="185"/>
      <c r="BJ146" s="185"/>
      <c r="BK146" s="185"/>
      <c r="BL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233"/>
      <c r="AF147" s="185"/>
      <c r="AG147" s="185"/>
      <c r="AH147" s="185"/>
      <c r="AI147" s="185"/>
      <c r="AJ147" s="185"/>
      <c r="AK147" s="185"/>
      <c r="AL147" s="185"/>
      <c r="AM147" s="185"/>
      <c r="AN147" s="185"/>
      <c r="AO147" s="185"/>
      <c r="AP147" s="185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  <c r="BA147" s="185"/>
      <c r="BB147" s="185"/>
      <c r="BC147" s="185"/>
      <c r="BD147" s="185"/>
      <c r="BE147" s="185"/>
      <c r="BF147" s="185"/>
      <c r="BG147" s="185"/>
      <c r="BH147" s="185"/>
      <c r="BI147" s="185"/>
      <c r="BJ147" s="185"/>
      <c r="BK147" s="185"/>
      <c r="BL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233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  <c r="AP148" s="185"/>
      <c r="AQ148" s="185"/>
      <c r="AR148" s="185"/>
      <c r="AS148" s="185"/>
      <c r="AT148" s="185"/>
      <c r="AU148" s="185"/>
      <c r="AV148" s="185"/>
      <c r="AW148" s="185"/>
      <c r="AX148" s="185"/>
      <c r="AY148" s="185"/>
      <c r="AZ148" s="185"/>
      <c r="BA148" s="185"/>
      <c r="BB148" s="185"/>
      <c r="BC148" s="185"/>
      <c r="BD148" s="185"/>
      <c r="BE148" s="185"/>
      <c r="BF148" s="185"/>
      <c r="BG148" s="185"/>
      <c r="BH148" s="185"/>
      <c r="BI148" s="185"/>
      <c r="BJ148" s="185"/>
      <c r="BK148" s="185"/>
      <c r="BL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233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185"/>
      <c r="BD149" s="185"/>
      <c r="BE149" s="185"/>
      <c r="BF149" s="185"/>
      <c r="BG149" s="185"/>
      <c r="BH149" s="185"/>
      <c r="BI149" s="185"/>
      <c r="BJ149" s="185"/>
      <c r="BK149" s="185"/>
      <c r="BL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233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185"/>
      <c r="BE150" s="185"/>
      <c r="BF150" s="185"/>
      <c r="BG150" s="185"/>
      <c r="BH150" s="185"/>
      <c r="BI150" s="185"/>
      <c r="BJ150" s="185"/>
      <c r="BK150" s="185"/>
      <c r="BL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233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5"/>
      <c r="BF151" s="185"/>
      <c r="BG151" s="185"/>
      <c r="BH151" s="185"/>
      <c r="BI151" s="185"/>
      <c r="BJ151" s="185"/>
      <c r="BK151" s="185"/>
      <c r="BL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233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185"/>
      <c r="BE152" s="185"/>
      <c r="BF152" s="185"/>
      <c r="BG152" s="185"/>
      <c r="BH152" s="185"/>
      <c r="BI152" s="185"/>
      <c r="BJ152" s="185"/>
      <c r="BK152" s="185"/>
      <c r="BL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233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185"/>
      <c r="BE153" s="185"/>
      <c r="BF153" s="185"/>
      <c r="BG153" s="185"/>
      <c r="BH153" s="185"/>
      <c r="BI153" s="185"/>
      <c r="BJ153" s="185"/>
      <c r="BK153" s="185"/>
      <c r="BL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233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185"/>
      <c r="BE154" s="185"/>
      <c r="BF154" s="185"/>
      <c r="BG154" s="185"/>
      <c r="BH154" s="185"/>
      <c r="BI154" s="185"/>
      <c r="BJ154" s="185"/>
      <c r="BK154" s="185"/>
      <c r="BL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233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185"/>
      <c r="BE155" s="185"/>
      <c r="BF155" s="185"/>
      <c r="BG155" s="185"/>
      <c r="BH155" s="185"/>
      <c r="BI155" s="185"/>
      <c r="BJ155" s="185"/>
      <c r="BK155" s="185"/>
      <c r="BL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233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233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185"/>
      <c r="BE157" s="185"/>
      <c r="BF157" s="185"/>
      <c r="BG157" s="185"/>
      <c r="BH157" s="185"/>
      <c r="BI157" s="185"/>
      <c r="BJ157" s="185"/>
      <c r="BK157" s="185"/>
      <c r="BL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233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185"/>
      <c r="BE158" s="185"/>
      <c r="BF158" s="185"/>
      <c r="BG158" s="185"/>
      <c r="BH158" s="185"/>
      <c r="BI158" s="185"/>
      <c r="BJ158" s="185"/>
      <c r="BK158" s="185"/>
      <c r="BL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233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185"/>
      <c r="BE159" s="185"/>
      <c r="BF159" s="185"/>
      <c r="BG159" s="185"/>
      <c r="BH159" s="185"/>
      <c r="BI159" s="185"/>
      <c r="BJ159" s="185"/>
      <c r="BK159" s="185"/>
      <c r="BL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233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185"/>
      <c r="BE160" s="185"/>
      <c r="BF160" s="185"/>
      <c r="BG160" s="185"/>
      <c r="BH160" s="185"/>
      <c r="BI160" s="185"/>
      <c r="BJ160" s="185"/>
      <c r="BK160" s="185"/>
      <c r="BL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233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5"/>
      <c r="BF161" s="185"/>
      <c r="BG161" s="185"/>
      <c r="BH161" s="185"/>
      <c r="BI161" s="185"/>
      <c r="BJ161" s="185"/>
      <c r="BK161" s="185"/>
      <c r="BL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233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233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233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233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233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233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233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233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233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233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233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233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233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233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233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233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233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185"/>
      <c r="BE178" s="185"/>
      <c r="BF178" s="185"/>
      <c r="BG178" s="185"/>
      <c r="BH178" s="185"/>
      <c r="BI178" s="185"/>
      <c r="BJ178" s="185"/>
      <c r="BK178" s="185"/>
      <c r="BL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233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185"/>
      <c r="BI179" s="185"/>
      <c r="BJ179" s="185"/>
      <c r="BK179" s="185"/>
      <c r="BL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233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185"/>
      <c r="BI180" s="185"/>
      <c r="BJ180" s="185"/>
      <c r="BK180" s="185"/>
      <c r="BL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233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5"/>
      <c r="BF181" s="185"/>
      <c r="BG181" s="185"/>
      <c r="BH181" s="185"/>
      <c r="BI181" s="185"/>
      <c r="BJ181" s="185"/>
      <c r="BK181" s="185"/>
      <c r="BL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233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185"/>
      <c r="BI182" s="185"/>
      <c r="BJ182" s="185"/>
      <c r="BK182" s="185"/>
      <c r="BL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233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185"/>
      <c r="BI183" s="185"/>
      <c r="BJ183" s="185"/>
      <c r="BK183" s="185"/>
      <c r="BL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233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185"/>
      <c r="BI184" s="185"/>
      <c r="BJ184" s="185"/>
      <c r="BK184" s="185"/>
      <c r="BL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233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233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233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185"/>
      <c r="BE187" s="185"/>
      <c r="BF187" s="185"/>
      <c r="BG187" s="185"/>
      <c r="BH187" s="185"/>
      <c r="BI187" s="185"/>
      <c r="BJ187" s="185"/>
      <c r="BK187" s="185"/>
      <c r="BL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233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185"/>
      <c r="BE188" s="185"/>
      <c r="BF188" s="185"/>
      <c r="BG188" s="185"/>
      <c r="BH188" s="185"/>
      <c r="BI188" s="185"/>
      <c r="BJ188" s="185"/>
      <c r="BK188" s="185"/>
      <c r="BL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233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185"/>
      <c r="BE189" s="185"/>
      <c r="BF189" s="185"/>
      <c r="BG189" s="185"/>
      <c r="BH189" s="185"/>
      <c r="BI189" s="185"/>
      <c r="BJ189" s="185"/>
      <c r="BK189" s="185"/>
      <c r="BL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233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185"/>
      <c r="BE190" s="185"/>
      <c r="BF190" s="185"/>
      <c r="BG190" s="185"/>
      <c r="BH190" s="185"/>
      <c r="BI190" s="185"/>
      <c r="BJ190" s="185"/>
      <c r="BK190" s="185"/>
      <c r="BL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233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5"/>
      <c r="BF191" s="185"/>
      <c r="BG191" s="185"/>
      <c r="BH191" s="185"/>
      <c r="BI191" s="185"/>
      <c r="BJ191" s="185"/>
      <c r="BK191" s="185"/>
      <c r="BL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233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185"/>
      <c r="BE192" s="185"/>
      <c r="BF192" s="185"/>
      <c r="BG192" s="185"/>
      <c r="BH192" s="185"/>
      <c r="BI192" s="185"/>
      <c r="BJ192" s="185"/>
      <c r="BK192" s="185"/>
      <c r="BL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233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185"/>
      <c r="BE193" s="185"/>
      <c r="BF193" s="185"/>
      <c r="BG193" s="185"/>
      <c r="BH193" s="185"/>
      <c r="BI193" s="185"/>
      <c r="BJ193" s="185"/>
      <c r="BK193" s="185"/>
      <c r="BL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233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233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233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233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233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233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233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</row>
    <row r="201" ht="15.7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233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185"/>
      <c r="BE201" s="185"/>
      <c r="BF201" s="185"/>
      <c r="BG201" s="185"/>
      <c r="BH201" s="185"/>
      <c r="BI201" s="185"/>
      <c r="BJ201" s="185"/>
      <c r="BK201" s="185"/>
      <c r="BL201" s="185"/>
    </row>
    <row r="202" ht="15.7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233"/>
      <c r="AF202" s="185"/>
      <c r="AG202" s="185"/>
      <c r="AH202" s="185"/>
      <c r="AI202" s="185"/>
      <c r="AJ202" s="185"/>
      <c r="AK202" s="185"/>
      <c r="AL202" s="185"/>
      <c r="AM202" s="185"/>
      <c r="AN202" s="185"/>
      <c r="AO202" s="185"/>
      <c r="AP202" s="185"/>
      <c r="AQ202" s="185"/>
      <c r="AR202" s="185"/>
      <c r="AS202" s="185"/>
      <c r="AT202" s="185"/>
      <c r="AU202" s="185"/>
      <c r="AV202" s="185"/>
      <c r="AW202" s="185"/>
      <c r="AX202" s="185"/>
      <c r="AY202" s="185"/>
      <c r="AZ202" s="185"/>
      <c r="BA202" s="185"/>
      <c r="BB202" s="185"/>
      <c r="BC202" s="185"/>
      <c r="BD202" s="185"/>
      <c r="BE202" s="185"/>
      <c r="BF202" s="185"/>
      <c r="BG202" s="185"/>
      <c r="BH202" s="185"/>
      <c r="BI202" s="185"/>
      <c r="BJ202" s="185"/>
      <c r="BK202" s="185"/>
      <c r="BL202" s="185"/>
    </row>
    <row r="203" ht="15.7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233"/>
      <c r="AF203" s="185"/>
      <c r="AG203" s="185"/>
      <c r="AH203" s="185"/>
      <c r="AI203" s="185"/>
      <c r="AJ203" s="185"/>
      <c r="AK203" s="185"/>
      <c r="AL203" s="185"/>
      <c r="AM203" s="185"/>
      <c r="AN203" s="185"/>
      <c r="AO203" s="185"/>
      <c r="AP203" s="185"/>
      <c r="AQ203" s="185"/>
      <c r="AR203" s="185"/>
      <c r="AS203" s="185"/>
      <c r="AT203" s="185"/>
      <c r="AU203" s="185"/>
      <c r="AV203" s="185"/>
      <c r="AW203" s="185"/>
      <c r="AX203" s="185"/>
      <c r="AY203" s="185"/>
      <c r="AZ203" s="185"/>
      <c r="BA203" s="185"/>
      <c r="BB203" s="185"/>
      <c r="BC203" s="185"/>
      <c r="BD203" s="185"/>
      <c r="BE203" s="185"/>
      <c r="BF203" s="185"/>
      <c r="BG203" s="185"/>
      <c r="BH203" s="185"/>
      <c r="BI203" s="185"/>
      <c r="BJ203" s="185"/>
      <c r="BK203" s="185"/>
      <c r="BL203" s="185"/>
    </row>
    <row r="204" ht="15.7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233"/>
      <c r="AF204" s="185"/>
      <c r="AG204" s="185"/>
      <c r="AH204" s="185"/>
      <c r="AI204" s="185"/>
      <c r="AJ204" s="185"/>
      <c r="AK204" s="185"/>
      <c r="AL204" s="185"/>
      <c r="AM204" s="185"/>
      <c r="AN204" s="185"/>
      <c r="AO204" s="185"/>
      <c r="AP204" s="185"/>
      <c r="AQ204" s="185"/>
      <c r="AR204" s="185"/>
      <c r="AS204" s="185"/>
      <c r="AT204" s="185"/>
      <c r="AU204" s="185"/>
      <c r="AV204" s="185"/>
      <c r="AW204" s="185"/>
      <c r="AX204" s="185"/>
      <c r="AY204" s="185"/>
      <c r="AZ204" s="185"/>
      <c r="BA204" s="185"/>
      <c r="BB204" s="185"/>
      <c r="BC204" s="185"/>
      <c r="BD204" s="185"/>
      <c r="BE204" s="185"/>
      <c r="BF204" s="185"/>
      <c r="BG204" s="185"/>
      <c r="BH204" s="185"/>
      <c r="BI204" s="185"/>
      <c r="BJ204" s="185"/>
      <c r="BK204" s="185"/>
      <c r="BL204" s="185"/>
    </row>
    <row r="205" ht="15.7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233"/>
      <c r="AF205" s="185"/>
      <c r="AG205" s="185"/>
      <c r="AH205" s="185"/>
      <c r="AI205" s="185"/>
      <c r="AJ205" s="185"/>
      <c r="AK205" s="185"/>
      <c r="AL205" s="185"/>
      <c r="AM205" s="185"/>
      <c r="AN205" s="185"/>
      <c r="AO205" s="185"/>
      <c r="AP205" s="185"/>
      <c r="AQ205" s="185"/>
      <c r="AR205" s="185"/>
      <c r="AS205" s="185"/>
      <c r="AT205" s="185"/>
      <c r="AU205" s="185"/>
      <c r="AV205" s="185"/>
      <c r="AW205" s="185"/>
      <c r="AX205" s="185"/>
      <c r="AY205" s="185"/>
      <c r="AZ205" s="185"/>
      <c r="BA205" s="185"/>
      <c r="BB205" s="185"/>
      <c r="BC205" s="185"/>
      <c r="BD205" s="185"/>
      <c r="BE205" s="185"/>
      <c r="BF205" s="185"/>
      <c r="BG205" s="185"/>
      <c r="BH205" s="185"/>
      <c r="BI205" s="185"/>
      <c r="BJ205" s="185"/>
      <c r="BK205" s="185"/>
      <c r="BL205" s="185"/>
    </row>
    <row r="206" ht="15.7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233"/>
      <c r="AF206" s="185"/>
      <c r="AG206" s="185"/>
      <c r="AH206" s="185"/>
      <c r="AI206" s="185"/>
      <c r="AJ206" s="185"/>
      <c r="AK206" s="185"/>
      <c r="AL206" s="185"/>
      <c r="AM206" s="185"/>
      <c r="AN206" s="185"/>
      <c r="AO206" s="185"/>
      <c r="AP206" s="185"/>
      <c r="AQ206" s="185"/>
      <c r="AR206" s="185"/>
      <c r="AS206" s="185"/>
      <c r="AT206" s="185"/>
      <c r="AU206" s="185"/>
      <c r="AV206" s="185"/>
      <c r="AW206" s="185"/>
      <c r="AX206" s="185"/>
      <c r="AY206" s="185"/>
      <c r="AZ206" s="185"/>
      <c r="BA206" s="185"/>
      <c r="BB206" s="185"/>
      <c r="BC206" s="185"/>
      <c r="BD206" s="185"/>
      <c r="BE206" s="185"/>
      <c r="BF206" s="185"/>
      <c r="BG206" s="185"/>
      <c r="BH206" s="185"/>
      <c r="BI206" s="185"/>
      <c r="BJ206" s="185"/>
      <c r="BK206" s="185"/>
      <c r="BL206" s="185"/>
    </row>
    <row r="207" ht="15.7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233"/>
      <c r="AF207" s="185"/>
      <c r="AG207" s="185"/>
      <c r="AH207" s="185"/>
      <c r="AI207" s="185"/>
      <c r="AJ207" s="185"/>
      <c r="AK207" s="185"/>
      <c r="AL207" s="185"/>
      <c r="AM207" s="185"/>
      <c r="AN207" s="185"/>
      <c r="AO207" s="185"/>
      <c r="AP207" s="185"/>
      <c r="AQ207" s="185"/>
      <c r="AR207" s="185"/>
      <c r="AS207" s="185"/>
      <c r="AT207" s="185"/>
      <c r="AU207" s="185"/>
      <c r="AV207" s="185"/>
      <c r="AW207" s="185"/>
      <c r="AX207" s="185"/>
      <c r="AY207" s="185"/>
      <c r="AZ207" s="185"/>
      <c r="BA207" s="185"/>
      <c r="BB207" s="185"/>
      <c r="BC207" s="185"/>
      <c r="BD207" s="185"/>
      <c r="BE207" s="185"/>
      <c r="BF207" s="185"/>
      <c r="BG207" s="185"/>
      <c r="BH207" s="185"/>
      <c r="BI207" s="185"/>
      <c r="BJ207" s="185"/>
      <c r="BK207" s="185"/>
      <c r="BL207" s="185"/>
    </row>
    <row r="208" ht="15.7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233"/>
      <c r="AF208" s="185"/>
      <c r="AG208" s="185"/>
      <c r="AH208" s="185"/>
      <c r="AI208" s="185"/>
      <c r="AJ208" s="185"/>
      <c r="AK208" s="185"/>
      <c r="AL208" s="185"/>
      <c r="AM208" s="185"/>
      <c r="AN208" s="185"/>
      <c r="AO208" s="185"/>
      <c r="AP208" s="185"/>
      <c r="AQ208" s="185"/>
      <c r="AR208" s="185"/>
      <c r="AS208" s="185"/>
      <c r="AT208" s="185"/>
      <c r="AU208" s="185"/>
      <c r="AV208" s="185"/>
      <c r="AW208" s="185"/>
      <c r="AX208" s="185"/>
      <c r="AY208" s="185"/>
      <c r="AZ208" s="185"/>
      <c r="BA208" s="185"/>
      <c r="BB208" s="185"/>
      <c r="BC208" s="185"/>
      <c r="BD208" s="185"/>
      <c r="BE208" s="185"/>
      <c r="BF208" s="185"/>
      <c r="BG208" s="185"/>
      <c r="BH208" s="185"/>
      <c r="BI208" s="185"/>
      <c r="BJ208" s="185"/>
      <c r="BK208" s="185"/>
      <c r="BL208" s="185"/>
    </row>
    <row r="209" ht="15.7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233"/>
      <c r="AF209" s="185"/>
      <c r="AG209" s="185"/>
      <c r="AH209" s="185"/>
      <c r="AI209" s="185"/>
      <c r="AJ209" s="185"/>
      <c r="AK209" s="185"/>
      <c r="AL209" s="185"/>
      <c r="AM209" s="185"/>
      <c r="AN209" s="185"/>
      <c r="AO209" s="185"/>
      <c r="AP209" s="185"/>
      <c r="AQ209" s="185"/>
      <c r="AR209" s="185"/>
      <c r="AS209" s="185"/>
      <c r="AT209" s="185"/>
      <c r="AU209" s="185"/>
      <c r="AV209" s="185"/>
      <c r="AW209" s="185"/>
      <c r="AX209" s="185"/>
      <c r="AY209" s="185"/>
      <c r="AZ209" s="185"/>
      <c r="BA209" s="185"/>
      <c r="BB209" s="185"/>
      <c r="BC209" s="185"/>
      <c r="BD209" s="185"/>
      <c r="BE209" s="185"/>
      <c r="BF209" s="185"/>
      <c r="BG209" s="185"/>
      <c r="BH209" s="185"/>
      <c r="BI209" s="185"/>
      <c r="BJ209" s="185"/>
      <c r="BK209" s="185"/>
      <c r="BL209" s="185"/>
    </row>
    <row r="210" ht="15.7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233"/>
      <c r="AF210" s="185"/>
      <c r="AG210" s="185"/>
      <c r="AH210" s="185"/>
      <c r="AI210" s="185"/>
      <c r="AJ210" s="185"/>
      <c r="AK210" s="185"/>
      <c r="AL210" s="185"/>
      <c r="AM210" s="185"/>
      <c r="AN210" s="185"/>
      <c r="AO210" s="185"/>
      <c r="AP210" s="185"/>
      <c r="AQ210" s="185"/>
      <c r="AR210" s="185"/>
      <c r="AS210" s="185"/>
      <c r="AT210" s="185"/>
      <c r="AU210" s="185"/>
      <c r="AV210" s="185"/>
      <c r="AW210" s="185"/>
      <c r="AX210" s="185"/>
      <c r="AY210" s="185"/>
      <c r="AZ210" s="185"/>
      <c r="BA210" s="185"/>
      <c r="BB210" s="185"/>
      <c r="BC210" s="185"/>
      <c r="BD210" s="185"/>
      <c r="BE210" s="185"/>
      <c r="BF210" s="185"/>
      <c r="BG210" s="185"/>
      <c r="BH210" s="185"/>
      <c r="BI210" s="185"/>
      <c r="BJ210" s="185"/>
      <c r="BK210" s="185"/>
      <c r="BL210" s="185"/>
    </row>
    <row r="211" ht="15.7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233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  <c r="BA211" s="185"/>
      <c r="BB211" s="185"/>
      <c r="BC211" s="185"/>
      <c r="BD211" s="185"/>
      <c r="BE211" s="185"/>
      <c r="BF211" s="185"/>
      <c r="BG211" s="185"/>
      <c r="BH211" s="185"/>
      <c r="BI211" s="185"/>
      <c r="BJ211" s="185"/>
      <c r="BK211" s="185"/>
      <c r="BL211" s="185"/>
    </row>
    <row r="212" ht="15.7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233"/>
      <c r="AF212" s="185"/>
      <c r="AG212" s="185"/>
      <c r="AH212" s="185"/>
      <c r="AI212" s="185"/>
      <c r="AJ212" s="185"/>
      <c r="AK212" s="185"/>
      <c r="AL212" s="185"/>
      <c r="AM212" s="185"/>
      <c r="AN212" s="185"/>
      <c r="AO212" s="185"/>
      <c r="AP212" s="185"/>
      <c r="AQ212" s="185"/>
      <c r="AR212" s="185"/>
      <c r="AS212" s="185"/>
      <c r="AT212" s="185"/>
      <c r="AU212" s="185"/>
      <c r="AV212" s="185"/>
      <c r="AW212" s="185"/>
      <c r="AX212" s="185"/>
      <c r="AY212" s="185"/>
      <c r="AZ212" s="185"/>
      <c r="BA212" s="185"/>
      <c r="BB212" s="185"/>
      <c r="BC212" s="185"/>
      <c r="BD212" s="185"/>
      <c r="BE212" s="185"/>
      <c r="BF212" s="185"/>
      <c r="BG212" s="185"/>
      <c r="BH212" s="185"/>
      <c r="BI212" s="185"/>
      <c r="BJ212" s="185"/>
      <c r="BK212" s="185"/>
      <c r="BL212" s="185"/>
    </row>
    <row r="213" ht="15.7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233"/>
      <c r="AF213" s="185"/>
      <c r="AG213" s="185"/>
      <c r="AH213" s="185"/>
      <c r="AI213" s="185"/>
      <c r="AJ213" s="185"/>
      <c r="AK213" s="185"/>
      <c r="AL213" s="185"/>
      <c r="AM213" s="185"/>
      <c r="AN213" s="185"/>
      <c r="AO213" s="185"/>
      <c r="AP213" s="185"/>
      <c r="AQ213" s="185"/>
      <c r="AR213" s="185"/>
      <c r="AS213" s="185"/>
      <c r="AT213" s="185"/>
      <c r="AU213" s="185"/>
      <c r="AV213" s="185"/>
      <c r="AW213" s="185"/>
      <c r="AX213" s="185"/>
      <c r="AY213" s="185"/>
      <c r="AZ213" s="185"/>
      <c r="BA213" s="185"/>
      <c r="BB213" s="185"/>
      <c r="BC213" s="185"/>
      <c r="BD213" s="185"/>
      <c r="BE213" s="185"/>
      <c r="BF213" s="185"/>
      <c r="BG213" s="185"/>
      <c r="BH213" s="185"/>
      <c r="BI213" s="185"/>
      <c r="BJ213" s="185"/>
      <c r="BK213" s="185"/>
      <c r="BL213" s="185"/>
    </row>
    <row r="214" ht="15.7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233"/>
      <c r="AF214" s="185"/>
      <c r="AG214" s="185"/>
      <c r="AH214" s="185"/>
      <c r="AI214" s="185"/>
      <c r="AJ214" s="185"/>
      <c r="AK214" s="185"/>
      <c r="AL214" s="185"/>
      <c r="AM214" s="185"/>
      <c r="AN214" s="185"/>
      <c r="AO214" s="185"/>
      <c r="AP214" s="185"/>
      <c r="AQ214" s="185"/>
      <c r="AR214" s="185"/>
      <c r="AS214" s="185"/>
      <c r="AT214" s="185"/>
      <c r="AU214" s="185"/>
      <c r="AV214" s="185"/>
      <c r="AW214" s="185"/>
      <c r="AX214" s="185"/>
      <c r="AY214" s="185"/>
      <c r="AZ214" s="185"/>
      <c r="BA214" s="185"/>
      <c r="BB214" s="185"/>
      <c r="BC214" s="185"/>
      <c r="BD214" s="185"/>
      <c r="BE214" s="185"/>
      <c r="BF214" s="185"/>
      <c r="BG214" s="185"/>
      <c r="BH214" s="185"/>
      <c r="BI214" s="185"/>
      <c r="BJ214" s="185"/>
      <c r="BK214" s="185"/>
      <c r="BL214" s="185"/>
    </row>
    <row r="215" ht="15.7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233"/>
      <c r="AF215" s="185"/>
      <c r="AG215" s="185"/>
      <c r="AH215" s="185"/>
      <c r="AI215" s="185"/>
      <c r="AJ215" s="185"/>
      <c r="AK215" s="185"/>
      <c r="AL215" s="185"/>
      <c r="AM215" s="185"/>
      <c r="AN215" s="185"/>
      <c r="AO215" s="185"/>
      <c r="AP215" s="185"/>
      <c r="AQ215" s="185"/>
      <c r="AR215" s="185"/>
      <c r="AS215" s="185"/>
      <c r="AT215" s="185"/>
      <c r="AU215" s="185"/>
      <c r="AV215" s="185"/>
      <c r="AW215" s="185"/>
      <c r="AX215" s="185"/>
      <c r="AY215" s="185"/>
      <c r="AZ215" s="185"/>
      <c r="BA215" s="185"/>
      <c r="BB215" s="185"/>
      <c r="BC215" s="185"/>
      <c r="BD215" s="185"/>
      <c r="BE215" s="185"/>
      <c r="BF215" s="185"/>
      <c r="BG215" s="185"/>
      <c r="BH215" s="185"/>
      <c r="BI215" s="185"/>
      <c r="BJ215" s="185"/>
      <c r="BK215" s="185"/>
      <c r="BL215" s="185"/>
    </row>
    <row r="216" ht="15.7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233"/>
      <c r="AF216" s="185"/>
      <c r="AG216" s="185"/>
      <c r="AH216" s="185"/>
      <c r="AI216" s="185"/>
      <c r="AJ216" s="185"/>
      <c r="AK216" s="185"/>
      <c r="AL216" s="185"/>
      <c r="AM216" s="185"/>
      <c r="AN216" s="185"/>
      <c r="AO216" s="185"/>
      <c r="AP216" s="185"/>
      <c r="AQ216" s="185"/>
      <c r="AR216" s="185"/>
      <c r="AS216" s="185"/>
      <c r="AT216" s="185"/>
      <c r="AU216" s="185"/>
      <c r="AV216" s="185"/>
      <c r="AW216" s="185"/>
      <c r="AX216" s="185"/>
      <c r="AY216" s="185"/>
      <c r="AZ216" s="185"/>
      <c r="BA216" s="185"/>
      <c r="BB216" s="185"/>
      <c r="BC216" s="185"/>
      <c r="BD216" s="185"/>
      <c r="BE216" s="185"/>
      <c r="BF216" s="185"/>
      <c r="BG216" s="185"/>
      <c r="BH216" s="185"/>
      <c r="BI216" s="185"/>
      <c r="BJ216" s="185"/>
      <c r="BK216" s="185"/>
      <c r="BL216" s="185"/>
    </row>
    <row r="217" ht="15.7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233"/>
      <c r="AF217" s="185"/>
      <c r="AG217" s="185"/>
      <c r="AH217" s="185"/>
      <c r="AI217" s="185"/>
      <c r="AJ217" s="185"/>
      <c r="AK217" s="185"/>
      <c r="AL217" s="185"/>
      <c r="AM217" s="185"/>
      <c r="AN217" s="185"/>
      <c r="AO217" s="185"/>
      <c r="AP217" s="185"/>
      <c r="AQ217" s="185"/>
      <c r="AR217" s="185"/>
      <c r="AS217" s="185"/>
      <c r="AT217" s="185"/>
      <c r="AU217" s="185"/>
      <c r="AV217" s="185"/>
      <c r="AW217" s="185"/>
      <c r="AX217" s="185"/>
      <c r="AY217" s="185"/>
      <c r="AZ217" s="185"/>
      <c r="BA217" s="185"/>
      <c r="BB217" s="185"/>
      <c r="BC217" s="185"/>
      <c r="BD217" s="185"/>
      <c r="BE217" s="185"/>
      <c r="BF217" s="185"/>
      <c r="BG217" s="185"/>
      <c r="BH217" s="185"/>
      <c r="BI217" s="185"/>
      <c r="BJ217" s="185"/>
      <c r="BK217" s="185"/>
      <c r="BL217" s="185"/>
    </row>
    <row r="218" ht="15.7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233"/>
      <c r="AF218" s="185"/>
      <c r="AG218" s="185"/>
      <c r="AH218" s="185"/>
      <c r="AI218" s="185"/>
      <c r="AJ218" s="185"/>
      <c r="AK218" s="185"/>
      <c r="AL218" s="185"/>
      <c r="AM218" s="185"/>
      <c r="AN218" s="185"/>
      <c r="AO218" s="185"/>
      <c r="AP218" s="185"/>
      <c r="AQ218" s="185"/>
      <c r="AR218" s="185"/>
      <c r="AS218" s="185"/>
      <c r="AT218" s="185"/>
      <c r="AU218" s="185"/>
      <c r="AV218" s="185"/>
      <c r="AW218" s="185"/>
      <c r="AX218" s="185"/>
      <c r="AY218" s="185"/>
      <c r="AZ218" s="185"/>
      <c r="BA218" s="185"/>
      <c r="BB218" s="185"/>
      <c r="BC218" s="185"/>
      <c r="BD218" s="185"/>
      <c r="BE218" s="185"/>
      <c r="BF218" s="185"/>
      <c r="BG218" s="185"/>
      <c r="BH218" s="185"/>
      <c r="BI218" s="185"/>
      <c r="BJ218" s="185"/>
      <c r="BK218" s="185"/>
      <c r="BL218" s="185"/>
    </row>
    <row r="219" ht="15.7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233"/>
      <c r="AF219" s="185"/>
      <c r="AG219" s="185"/>
      <c r="AH219" s="185"/>
      <c r="AI219" s="185"/>
      <c r="AJ219" s="185"/>
      <c r="AK219" s="185"/>
      <c r="AL219" s="185"/>
      <c r="AM219" s="185"/>
      <c r="AN219" s="185"/>
      <c r="AO219" s="185"/>
      <c r="AP219" s="185"/>
      <c r="AQ219" s="185"/>
      <c r="AR219" s="185"/>
      <c r="AS219" s="185"/>
      <c r="AT219" s="185"/>
      <c r="AU219" s="185"/>
      <c r="AV219" s="185"/>
      <c r="AW219" s="185"/>
      <c r="AX219" s="185"/>
      <c r="AY219" s="185"/>
      <c r="AZ219" s="185"/>
      <c r="BA219" s="185"/>
      <c r="BB219" s="185"/>
      <c r="BC219" s="185"/>
      <c r="BD219" s="185"/>
      <c r="BE219" s="185"/>
      <c r="BF219" s="185"/>
      <c r="BG219" s="185"/>
      <c r="BH219" s="185"/>
      <c r="BI219" s="185"/>
      <c r="BJ219" s="185"/>
      <c r="BK219" s="185"/>
      <c r="BL219" s="185"/>
    </row>
    <row r="220" ht="15.7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233"/>
      <c r="AF220" s="185"/>
      <c r="AG220" s="185"/>
      <c r="AH220" s="185"/>
      <c r="AI220" s="185"/>
      <c r="AJ220" s="185"/>
      <c r="AK220" s="185"/>
      <c r="AL220" s="185"/>
      <c r="AM220" s="185"/>
      <c r="AN220" s="185"/>
      <c r="AO220" s="185"/>
      <c r="AP220" s="185"/>
      <c r="AQ220" s="185"/>
      <c r="AR220" s="185"/>
      <c r="AS220" s="185"/>
      <c r="AT220" s="185"/>
      <c r="AU220" s="185"/>
      <c r="AV220" s="185"/>
      <c r="AW220" s="185"/>
      <c r="AX220" s="185"/>
      <c r="AY220" s="185"/>
      <c r="AZ220" s="185"/>
      <c r="BA220" s="185"/>
      <c r="BB220" s="185"/>
      <c r="BC220" s="185"/>
      <c r="BD220" s="185"/>
      <c r="BE220" s="185"/>
      <c r="BF220" s="185"/>
      <c r="BG220" s="185"/>
      <c r="BH220" s="185"/>
      <c r="BI220" s="185"/>
      <c r="BJ220" s="185"/>
      <c r="BK220" s="185"/>
      <c r="BL220" s="185"/>
    </row>
    <row r="221" ht="15.7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233"/>
      <c r="AF221" s="185"/>
      <c r="AG221" s="185"/>
      <c r="AH221" s="185"/>
      <c r="AI221" s="185"/>
      <c r="AJ221" s="185"/>
      <c r="AK221" s="185"/>
      <c r="AL221" s="185"/>
      <c r="AM221" s="185"/>
      <c r="AN221" s="185"/>
      <c r="AO221" s="185"/>
      <c r="AP221" s="185"/>
      <c r="AQ221" s="185"/>
      <c r="AR221" s="185"/>
      <c r="AS221" s="185"/>
      <c r="AT221" s="185"/>
      <c r="AU221" s="185"/>
      <c r="AV221" s="185"/>
      <c r="AW221" s="185"/>
      <c r="AX221" s="185"/>
      <c r="AY221" s="185"/>
      <c r="AZ221" s="185"/>
      <c r="BA221" s="185"/>
      <c r="BB221" s="185"/>
      <c r="BC221" s="185"/>
      <c r="BD221" s="185"/>
      <c r="BE221" s="185"/>
      <c r="BF221" s="185"/>
      <c r="BG221" s="185"/>
      <c r="BH221" s="185"/>
      <c r="BI221" s="185"/>
      <c r="BJ221" s="185"/>
      <c r="BK221" s="185"/>
      <c r="BL221" s="185"/>
    </row>
    <row r="222" ht="15.7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233"/>
      <c r="AF222" s="185"/>
      <c r="AG222" s="185"/>
      <c r="AH222" s="185"/>
      <c r="AI222" s="185"/>
      <c r="AJ222" s="185"/>
      <c r="AK222" s="185"/>
      <c r="AL222" s="185"/>
      <c r="AM222" s="185"/>
      <c r="AN222" s="185"/>
      <c r="AO222" s="185"/>
      <c r="AP222" s="185"/>
      <c r="AQ222" s="185"/>
      <c r="AR222" s="185"/>
      <c r="AS222" s="185"/>
      <c r="AT222" s="185"/>
      <c r="AU222" s="185"/>
      <c r="AV222" s="185"/>
      <c r="AW222" s="185"/>
      <c r="AX222" s="185"/>
      <c r="AY222" s="185"/>
      <c r="AZ222" s="185"/>
      <c r="BA222" s="185"/>
      <c r="BB222" s="185"/>
      <c r="BC222" s="185"/>
      <c r="BD222" s="185"/>
      <c r="BE222" s="185"/>
      <c r="BF222" s="185"/>
      <c r="BG222" s="185"/>
      <c r="BH222" s="185"/>
      <c r="BI222" s="185"/>
      <c r="BJ222" s="185"/>
      <c r="BK222" s="185"/>
      <c r="BL222" s="185"/>
    </row>
    <row r="223" ht="15.7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233"/>
      <c r="AF223" s="185"/>
      <c r="AG223" s="185"/>
      <c r="AH223" s="185"/>
      <c r="AI223" s="185"/>
      <c r="AJ223" s="185"/>
      <c r="AK223" s="185"/>
      <c r="AL223" s="185"/>
      <c r="AM223" s="185"/>
      <c r="AN223" s="185"/>
      <c r="AO223" s="185"/>
      <c r="AP223" s="185"/>
      <c r="AQ223" s="185"/>
      <c r="AR223" s="185"/>
      <c r="AS223" s="185"/>
      <c r="AT223" s="185"/>
      <c r="AU223" s="185"/>
      <c r="AV223" s="185"/>
      <c r="AW223" s="185"/>
      <c r="AX223" s="185"/>
      <c r="AY223" s="185"/>
      <c r="AZ223" s="185"/>
      <c r="BA223" s="185"/>
      <c r="BB223" s="185"/>
      <c r="BC223" s="185"/>
      <c r="BD223" s="185"/>
      <c r="BE223" s="185"/>
      <c r="BF223" s="185"/>
      <c r="BG223" s="185"/>
      <c r="BH223" s="185"/>
      <c r="BI223" s="185"/>
      <c r="BJ223" s="185"/>
      <c r="BK223" s="185"/>
      <c r="BL223" s="185"/>
    </row>
    <row r="224" ht="15.7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233"/>
      <c r="AF224" s="185"/>
      <c r="AG224" s="185"/>
      <c r="AH224" s="185"/>
      <c r="AI224" s="185"/>
      <c r="AJ224" s="185"/>
      <c r="AK224" s="185"/>
      <c r="AL224" s="185"/>
      <c r="AM224" s="185"/>
      <c r="AN224" s="185"/>
      <c r="AO224" s="185"/>
      <c r="AP224" s="185"/>
      <c r="AQ224" s="185"/>
      <c r="AR224" s="185"/>
      <c r="AS224" s="185"/>
      <c r="AT224" s="185"/>
      <c r="AU224" s="185"/>
      <c r="AV224" s="185"/>
      <c r="AW224" s="185"/>
      <c r="AX224" s="185"/>
      <c r="AY224" s="185"/>
      <c r="AZ224" s="185"/>
      <c r="BA224" s="185"/>
      <c r="BB224" s="185"/>
      <c r="BC224" s="185"/>
      <c r="BD224" s="185"/>
      <c r="BE224" s="185"/>
      <c r="BF224" s="185"/>
      <c r="BG224" s="185"/>
      <c r="BH224" s="185"/>
      <c r="BI224" s="185"/>
      <c r="BJ224" s="185"/>
      <c r="BK224" s="185"/>
      <c r="BL224" s="185"/>
    </row>
    <row r="225" ht="15.7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233"/>
      <c r="AF225" s="185"/>
      <c r="AG225" s="185"/>
      <c r="AH225" s="185"/>
      <c r="AI225" s="185"/>
      <c r="AJ225" s="185"/>
      <c r="AK225" s="185"/>
      <c r="AL225" s="185"/>
      <c r="AM225" s="185"/>
      <c r="AN225" s="185"/>
      <c r="AO225" s="185"/>
      <c r="AP225" s="185"/>
      <c r="AQ225" s="185"/>
      <c r="AR225" s="185"/>
      <c r="AS225" s="185"/>
      <c r="AT225" s="185"/>
      <c r="AU225" s="185"/>
      <c r="AV225" s="185"/>
      <c r="AW225" s="185"/>
      <c r="AX225" s="185"/>
      <c r="AY225" s="185"/>
      <c r="AZ225" s="185"/>
      <c r="BA225" s="185"/>
      <c r="BB225" s="185"/>
      <c r="BC225" s="185"/>
      <c r="BD225" s="185"/>
      <c r="BE225" s="185"/>
      <c r="BF225" s="185"/>
      <c r="BG225" s="185"/>
      <c r="BH225" s="185"/>
      <c r="BI225" s="185"/>
      <c r="BJ225" s="185"/>
      <c r="BK225" s="185"/>
      <c r="BL225" s="185"/>
    </row>
    <row r="226" ht="15.7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233"/>
      <c r="AF226" s="185"/>
      <c r="AG226" s="185"/>
      <c r="AH226" s="185"/>
      <c r="AI226" s="185"/>
      <c r="AJ226" s="185"/>
      <c r="AK226" s="185"/>
      <c r="AL226" s="185"/>
      <c r="AM226" s="185"/>
      <c r="AN226" s="185"/>
      <c r="AO226" s="185"/>
      <c r="AP226" s="185"/>
      <c r="AQ226" s="185"/>
      <c r="AR226" s="185"/>
      <c r="AS226" s="185"/>
      <c r="AT226" s="185"/>
      <c r="AU226" s="185"/>
      <c r="AV226" s="185"/>
      <c r="AW226" s="185"/>
      <c r="AX226" s="185"/>
      <c r="AY226" s="185"/>
      <c r="AZ226" s="185"/>
      <c r="BA226" s="185"/>
      <c r="BB226" s="185"/>
      <c r="BC226" s="185"/>
      <c r="BD226" s="185"/>
      <c r="BE226" s="185"/>
      <c r="BF226" s="185"/>
      <c r="BG226" s="185"/>
      <c r="BH226" s="185"/>
      <c r="BI226" s="185"/>
      <c r="BJ226" s="185"/>
      <c r="BK226" s="185"/>
      <c r="BL226" s="185"/>
    </row>
    <row r="227" ht="15.7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233"/>
      <c r="AF227" s="185"/>
      <c r="AG227" s="185"/>
      <c r="AH227" s="185"/>
      <c r="AI227" s="185"/>
      <c r="AJ227" s="185"/>
      <c r="AK227" s="185"/>
      <c r="AL227" s="185"/>
      <c r="AM227" s="185"/>
      <c r="AN227" s="185"/>
      <c r="AO227" s="185"/>
      <c r="AP227" s="185"/>
      <c r="AQ227" s="185"/>
      <c r="AR227" s="185"/>
      <c r="AS227" s="185"/>
      <c r="AT227" s="185"/>
      <c r="AU227" s="185"/>
      <c r="AV227" s="185"/>
      <c r="AW227" s="185"/>
      <c r="AX227" s="185"/>
      <c r="AY227" s="185"/>
      <c r="AZ227" s="185"/>
      <c r="BA227" s="185"/>
      <c r="BB227" s="185"/>
      <c r="BC227" s="185"/>
      <c r="BD227" s="185"/>
      <c r="BE227" s="185"/>
      <c r="BF227" s="185"/>
      <c r="BG227" s="185"/>
      <c r="BH227" s="185"/>
      <c r="BI227" s="185"/>
      <c r="BJ227" s="185"/>
      <c r="BK227" s="185"/>
      <c r="BL227" s="185"/>
    </row>
    <row r="228" ht="15.7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233"/>
      <c r="AF228" s="185"/>
      <c r="AG228" s="185"/>
      <c r="AH228" s="185"/>
      <c r="AI228" s="185"/>
      <c r="AJ228" s="185"/>
      <c r="AK228" s="185"/>
      <c r="AL228" s="185"/>
      <c r="AM228" s="185"/>
      <c r="AN228" s="185"/>
      <c r="AO228" s="185"/>
      <c r="AP228" s="185"/>
      <c r="AQ228" s="185"/>
      <c r="AR228" s="185"/>
      <c r="AS228" s="185"/>
      <c r="AT228" s="185"/>
      <c r="AU228" s="185"/>
      <c r="AV228" s="185"/>
      <c r="AW228" s="185"/>
      <c r="AX228" s="185"/>
      <c r="AY228" s="185"/>
      <c r="AZ228" s="185"/>
      <c r="BA228" s="185"/>
      <c r="BB228" s="185"/>
      <c r="BC228" s="185"/>
      <c r="BD228" s="185"/>
      <c r="BE228" s="185"/>
      <c r="BF228" s="185"/>
      <c r="BG228" s="185"/>
      <c r="BH228" s="185"/>
      <c r="BI228" s="185"/>
      <c r="BJ228" s="185"/>
      <c r="BK228" s="185"/>
      <c r="BL228" s="185"/>
    </row>
    <row r="229" ht="15.7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233"/>
      <c r="AF229" s="185"/>
      <c r="AG229" s="185"/>
      <c r="AH229" s="185"/>
      <c r="AI229" s="185"/>
      <c r="AJ229" s="185"/>
      <c r="AK229" s="185"/>
      <c r="AL229" s="185"/>
      <c r="AM229" s="185"/>
      <c r="AN229" s="185"/>
      <c r="AO229" s="185"/>
      <c r="AP229" s="185"/>
      <c r="AQ229" s="185"/>
      <c r="AR229" s="185"/>
      <c r="AS229" s="185"/>
      <c r="AT229" s="185"/>
      <c r="AU229" s="185"/>
      <c r="AV229" s="185"/>
      <c r="AW229" s="185"/>
      <c r="AX229" s="185"/>
      <c r="AY229" s="185"/>
      <c r="AZ229" s="185"/>
      <c r="BA229" s="185"/>
      <c r="BB229" s="185"/>
      <c r="BC229" s="185"/>
      <c r="BD229" s="185"/>
      <c r="BE229" s="185"/>
      <c r="BF229" s="185"/>
      <c r="BG229" s="185"/>
      <c r="BH229" s="185"/>
      <c r="BI229" s="185"/>
      <c r="BJ229" s="185"/>
      <c r="BK229" s="185"/>
      <c r="BL229" s="185"/>
    </row>
    <row r="230" ht="15.7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233"/>
      <c r="AF230" s="185"/>
      <c r="AG230" s="185"/>
      <c r="AH230" s="185"/>
      <c r="AI230" s="185"/>
      <c r="AJ230" s="185"/>
      <c r="AK230" s="185"/>
      <c r="AL230" s="185"/>
      <c r="AM230" s="185"/>
      <c r="AN230" s="185"/>
      <c r="AO230" s="185"/>
      <c r="AP230" s="185"/>
      <c r="AQ230" s="185"/>
      <c r="AR230" s="185"/>
      <c r="AS230" s="185"/>
      <c r="AT230" s="185"/>
      <c r="AU230" s="185"/>
      <c r="AV230" s="185"/>
      <c r="AW230" s="185"/>
      <c r="AX230" s="185"/>
      <c r="AY230" s="185"/>
      <c r="AZ230" s="185"/>
      <c r="BA230" s="185"/>
      <c r="BB230" s="185"/>
      <c r="BC230" s="185"/>
      <c r="BD230" s="185"/>
      <c r="BE230" s="185"/>
      <c r="BF230" s="185"/>
      <c r="BG230" s="185"/>
      <c r="BH230" s="185"/>
      <c r="BI230" s="185"/>
      <c r="BJ230" s="185"/>
      <c r="BK230" s="185"/>
      <c r="BL230" s="185"/>
    </row>
    <row r="231" ht="15.7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233"/>
      <c r="AF231" s="185"/>
      <c r="AG231" s="185"/>
      <c r="AH231" s="185"/>
      <c r="AI231" s="185"/>
      <c r="AJ231" s="185"/>
      <c r="AK231" s="185"/>
      <c r="AL231" s="185"/>
      <c r="AM231" s="185"/>
      <c r="AN231" s="185"/>
      <c r="AO231" s="185"/>
      <c r="AP231" s="185"/>
      <c r="AQ231" s="185"/>
      <c r="AR231" s="185"/>
      <c r="AS231" s="185"/>
      <c r="AT231" s="185"/>
      <c r="AU231" s="185"/>
      <c r="AV231" s="185"/>
      <c r="AW231" s="185"/>
      <c r="AX231" s="185"/>
      <c r="AY231" s="185"/>
      <c r="AZ231" s="185"/>
      <c r="BA231" s="185"/>
      <c r="BB231" s="185"/>
      <c r="BC231" s="185"/>
      <c r="BD231" s="185"/>
      <c r="BE231" s="185"/>
      <c r="BF231" s="185"/>
      <c r="BG231" s="185"/>
      <c r="BH231" s="185"/>
      <c r="BI231" s="185"/>
      <c r="BJ231" s="185"/>
      <c r="BK231" s="185"/>
      <c r="BL231" s="185"/>
    </row>
    <row r="232" ht="15.7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233"/>
      <c r="AF232" s="185"/>
      <c r="AG232" s="185"/>
      <c r="AH232" s="185"/>
      <c r="AI232" s="185"/>
      <c r="AJ232" s="185"/>
      <c r="AK232" s="185"/>
      <c r="AL232" s="185"/>
      <c r="AM232" s="185"/>
      <c r="AN232" s="185"/>
      <c r="AO232" s="185"/>
      <c r="AP232" s="185"/>
      <c r="AQ232" s="185"/>
      <c r="AR232" s="185"/>
      <c r="AS232" s="185"/>
      <c r="AT232" s="185"/>
      <c r="AU232" s="185"/>
      <c r="AV232" s="185"/>
      <c r="AW232" s="185"/>
      <c r="AX232" s="185"/>
      <c r="AY232" s="185"/>
      <c r="AZ232" s="185"/>
      <c r="BA232" s="185"/>
      <c r="BB232" s="185"/>
      <c r="BC232" s="185"/>
      <c r="BD232" s="185"/>
      <c r="BE232" s="185"/>
      <c r="BF232" s="185"/>
      <c r="BG232" s="185"/>
      <c r="BH232" s="185"/>
      <c r="BI232" s="185"/>
      <c r="BJ232" s="185"/>
      <c r="BK232" s="185"/>
      <c r="BL232" s="185"/>
    </row>
    <row r="233" ht="15.7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233"/>
      <c r="AF233" s="185"/>
      <c r="AG233" s="185"/>
      <c r="AH233" s="185"/>
      <c r="AI233" s="185"/>
      <c r="AJ233" s="185"/>
      <c r="AK233" s="185"/>
      <c r="AL233" s="185"/>
      <c r="AM233" s="185"/>
      <c r="AN233" s="185"/>
      <c r="AO233" s="185"/>
      <c r="AP233" s="185"/>
      <c r="AQ233" s="185"/>
      <c r="AR233" s="185"/>
      <c r="AS233" s="185"/>
      <c r="AT233" s="185"/>
      <c r="AU233" s="185"/>
      <c r="AV233" s="185"/>
      <c r="AW233" s="185"/>
      <c r="AX233" s="185"/>
      <c r="AY233" s="185"/>
      <c r="AZ233" s="185"/>
      <c r="BA233" s="185"/>
      <c r="BB233" s="185"/>
      <c r="BC233" s="185"/>
      <c r="BD233" s="185"/>
      <c r="BE233" s="185"/>
      <c r="BF233" s="185"/>
      <c r="BG233" s="185"/>
      <c r="BH233" s="185"/>
      <c r="BI233" s="185"/>
      <c r="BJ233" s="185"/>
      <c r="BK233" s="185"/>
      <c r="BL233" s="185"/>
    </row>
    <row r="234" ht="15.7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233"/>
      <c r="AF234" s="185"/>
      <c r="AG234" s="185"/>
      <c r="AH234" s="185"/>
      <c r="AI234" s="185"/>
      <c r="AJ234" s="185"/>
      <c r="AK234" s="185"/>
      <c r="AL234" s="185"/>
      <c r="AM234" s="185"/>
      <c r="AN234" s="185"/>
      <c r="AO234" s="185"/>
      <c r="AP234" s="185"/>
      <c r="AQ234" s="185"/>
      <c r="AR234" s="185"/>
      <c r="AS234" s="185"/>
      <c r="AT234" s="185"/>
      <c r="AU234" s="185"/>
      <c r="AV234" s="185"/>
      <c r="AW234" s="185"/>
      <c r="AX234" s="185"/>
      <c r="AY234" s="185"/>
      <c r="AZ234" s="185"/>
      <c r="BA234" s="185"/>
      <c r="BB234" s="185"/>
      <c r="BC234" s="185"/>
      <c r="BD234" s="185"/>
      <c r="BE234" s="185"/>
      <c r="BF234" s="185"/>
      <c r="BG234" s="185"/>
      <c r="BH234" s="185"/>
      <c r="BI234" s="185"/>
      <c r="BJ234" s="185"/>
      <c r="BK234" s="185"/>
      <c r="BL234" s="185"/>
    </row>
    <row r="235" ht="15.7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233"/>
      <c r="AF235" s="185"/>
      <c r="AG235" s="185"/>
      <c r="AH235" s="185"/>
      <c r="AI235" s="185"/>
      <c r="AJ235" s="185"/>
      <c r="AK235" s="185"/>
      <c r="AL235" s="185"/>
      <c r="AM235" s="185"/>
      <c r="AN235" s="185"/>
      <c r="AO235" s="185"/>
      <c r="AP235" s="185"/>
      <c r="AQ235" s="185"/>
      <c r="AR235" s="185"/>
      <c r="AS235" s="185"/>
      <c r="AT235" s="185"/>
      <c r="AU235" s="185"/>
      <c r="AV235" s="185"/>
      <c r="AW235" s="185"/>
      <c r="AX235" s="185"/>
      <c r="AY235" s="185"/>
      <c r="AZ235" s="185"/>
      <c r="BA235" s="185"/>
      <c r="BB235" s="185"/>
      <c r="BC235" s="185"/>
      <c r="BD235" s="185"/>
      <c r="BE235" s="185"/>
      <c r="BF235" s="185"/>
      <c r="BG235" s="185"/>
      <c r="BH235" s="185"/>
      <c r="BI235" s="185"/>
      <c r="BJ235" s="185"/>
      <c r="BK235" s="185"/>
      <c r="BL235" s="185"/>
    </row>
    <row r="236" ht="15.7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233"/>
      <c r="AF236" s="185"/>
      <c r="AG236" s="185"/>
      <c r="AH236" s="185"/>
      <c r="AI236" s="185"/>
      <c r="AJ236" s="185"/>
      <c r="AK236" s="185"/>
      <c r="AL236" s="185"/>
      <c r="AM236" s="185"/>
      <c r="AN236" s="185"/>
      <c r="AO236" s="185"/>
      <c r="AP236" s="185"/>
      <c r="AQ236" s="185"/>
      <c r="AR236" s="185"/>
      <c r="AS236" s="185"/>
      <c r="AT236" s="185"/>
      <c r="AU236" s="185"/>
      <c r="AV236" s="185"/>
      <c r="AW236" s="185"/>
      <c r="AX236" s="185"/>
      <c r="AY236" s="185"/>
      <c r="AZ236" s="185"/>
      <c r="BA236" s="185"/>
      <c r="BB236" s="185"/>
      <c r="BC236" s="185"/>
      <c r="BD236" s="185"/>
      <c r="BE236" s="185"/>
      <c r="BF236" s="185"/>
      <c r="BG236" s="185"/>
      <c r="BH236" s="185"/>
      <c r="BI236" s="185"/>
      <c r="BJ236" s="185"/>
      <c r="BK236" s="185"/>
      <c r="BL236" s="185"/>
    </row>
    <row r="237" ht="15.7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233"/>
      <c r="AF237" s="185"/>
      <c r="AG237" s="185"/>
      <c r="AH237" s="185"/>
      <c r="AI237" s="185"/>
      <c r="AJ237" s="185"/>
      <c r="AK237" s="185"/>
      <c r="AL237" s="185"/>
      <c r="AM237" s="185"/>
      <c r="AN237" s="185"/>
      <c r="AO237" s="185"/>
      <c r="AP237" s="185"/>
      <c r="AQ237" s="185"/>
      <c r="AR237" s="185"/>
      <c r="AS237" s="185"/>
      <c r="AT237" s="185"/>
      <c r="AU237" s="185"/>
      <c r="AV237" s="185"/>
      <c r="AW237" s="185"/>
      <c r="AX237" s="185"/>
      <c r="AY237" s="185"/>
      <c r="AZ237" s="185"/>
      <c r="BA237" s="185"/>
      <c r="BB237" s="185"/>
      <c r="BC237" s="185"/>
      <c r="BD237" s="185"/>
      <c r="BE237" s="185"/>
      <c r="BF237" s="185"/>
      <c r="BG237" s="185"/>
      <c r="BH237" s="185"/>
      <c r="BI237" s="185"/>
      <c r="BJ237" s="185"/>
      <c r="BK237" s="185"/>
      <c r="BL237" s="185"/>
    </row>
    <row r="238" ht="15.7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233"/>
      <c r="AF238" s="185"/>
      <c r="AG238" s="185"/>
      <c r="AH238" s="185"/>
      <c r="AI238" s="185"/>
      <c r="AJ238" s="185"/>
      <c r="AK238" s="185"/>
      <c r="AL238" s="185"/>
      <c r="AM238" s="185"/>
      <c r="AN238" s="185"/>
      <c r="AO238" s="185"/>
      <c r="AP238" s="185"/>
      <c r="AQ238" s="185"/>
      <c r="AR238" s="185"/>
      <c r="AS238" s="185"/>
      <c r="AT238" s="185"/>
      <c r="AU238" s="185"/>
      <c r="AV238" s="185"/>
      <c r="AW238" s="185"/>
      <c r="AX238" s="185"/>
      <c r="AY238" s="185"/>
      <c r="AZ238" s="185"/>
      <c r="BA238" s="185"/>
      <c r="BB238" s="185"/>
      <c r="BC238" s="185"/>
      <c r="BD238" s="185"/>
      <c r="BE238" s="185"/>
      <c r="BF238" s="185"/>
      <c r="BG238" s="185"/>
      <c r="BH238" s="185"/>
      <c r="BI238" s="185"/>
      <c r="BJ238" s="185"/>
      <c r="BK238" s="185"/>
      <c r="BL238" s="185"/>
    </row>
    <row r="239" ht="15.7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233"/>
      <c r="AF239" s="185"/>
      <c r="AG239" s="185"/>
      <c r="AH239" s="185"/>
      <c r="AI239" s="185"/>
      <c r="AJ239" s="185"/>
      <c r="AK239" s="185"/>
      <c r="AL239" s="185"/>
      <c r="AM239" s="185"/>
      <c r="AN239" s="185"/>
      <c r="AO239" s="185"/>
      <c r="AP239" s="185"/>
      <c r="AQ239" s="185"/>
      <c r="AR239" s="185"/>
      <c r="AS239" s="185"/>
      <c r="AT239" s="185"/>
      <c r="AU239" s="185"/>
      <c r="AV239" s="185"/>
      <c r="AW239" s="185"/>
      <c r="AX239" s="185"/>
      <c r="AY239" s="185"/>
      <c r="AZ239" s="185"/>
      <c r="BA239" s="185"/>
      <c r="BB239" s="185"/>
      <c r="BC239" s="185"/>
      <c r="BD239" s="185"/>
      <c r="BE239" s="185"/>
      <c r="BF239" s="185"/>
      <c r="BG239" s="185"/>
      <c r="BH239" s="185"/>
      <c r="BI239" s="185"/>
      <c r="BJ239" s="185"/>
      <c r="BK239" s="185"/>
      <c r="BL239" s="185"/>
    </row>
    <row r="240" ht="15.7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233"/>
      <c r="AF240" s="185"/>
      <c r="AG240" s="185"/>
      <c r="AH240" s="185"/>
      <c r="AI240" s="185"/>
      <c r="AJ240" s="185"/>
      <c r="AK240" s="185"/>
      <c r="AL240" s="185"/>
      <c r="AM240" s="185"/>
      <c r="AN240" s="185"/>
      <c r="AO240" s="185"/>
      <c r="AP240" s="185"/>
      <c r="AQ240" s="185"/>
      <c r="AR240" s="185"/>
      <c r="AS240" s="185"/>
      <c r="AT240" s="185"/>
      <c r="AU240" s="185"/>
      <c r="AV240" s="185"/>
      <c r="AW240" s="185"/>
      <c r="AX240" s="185"/>
      <c r="AY240" s="185"/>
      <c r="AZ240" s="185"/>
      <c r="BA240" s="185"/>
      <c r="BB240" s="185"/>
      <c r="BC240" s="185"/>
      <c r="BD240" s="185"/>
      <c r="BE240" s="185"/>
      <c r="BF240" s="185"/>
      <c r="BG240" s="185"/>
      <c r="BH240" s="185"/>
      <c r="BI240" s="185"/>
      <c r="BJ240" s="185"/>
      <c r="BK240" s="185"/>
      <c r="BL240" s="185"/>
    </row>
    <row r="241" ht="15.7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233"/>
      <c r="AF241" s="185"/>
      <c r="AG241" s="185"/>
      <c r="AH241" s="185"/>
      <c r="AI241" s="185"/>
      <c r="AJ241" s="185"/>
      <c r="AK241" s="185"/>
      <c r="AL241" s="185"/>
      <c r="AM241" s="185"/>
      <c r="AN241" s="185"/>
      <c r="AO241" s="185"/>
      <c r="AP241" s="185"/>
      <c r="AQ241" s="185"/>
      <c r="AR241" s="185"/>
      <c r="AS241" s="185"/>
      <c r="AT241" s="185"/>
      <c r="AU241" s="185"/>
      <c r="AV241" s="185"/>
      <c r="AW241" s="185"/>
      <c r="AX241" s="185"/>
      <c r="AY241" s="185"/>
      <c r="AZ241" s="185"/>
      <c r="BA241" s="185"/>
      <c r="BB241" s="185"/>
      <c r="BC241" s="185"/>
      <c r="BD241" s="185"/>
      <c r="BE241" s="185"/>
      <c r="BF241" s="185"/>
      <c r="BG241" s="185"/>
      <c r="BH241" s="185"/>
      <c r="BI241" s="185"/>
      <c r="BJ241" s="185"/>
      <c r="BK241" s="185"/>
      <c r="BL241" s="185"/>
    </row>
    <row r="242" ht="15.7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233"/>
      <c r="AF242" s="185"/>
      <c r="AG242" s="185"/>
      <c r="AH242" s="185"/>
      <c r="AI242" s="185"/>
      <c r="AJ242" s="185"/>
      <c r="AK242" s="185"/>
      <c r="AL242" s="185"/>
      <c r="AM242" s="185"/>
      <c r="AN242" s="185"/>
      <c r="AO242" s="185"/>
      <c r="AP242" s="185"/>
      <c r="AQ242" s="185"/>
      <c r="AR242" s="185"/>
      <c r="AS242" s="185"/>
      <c r="AT242" s="185"/>
      <c r="AU242" s="185"/>
      <c r="AV242" s="185"/>
      <c r="AW242" s="185"/>
      <c r="AX242" s="185"/>
      <c r="AY242" s="185"/>
      <c r="AZ242" s="185"/>
      <c r="BA242" s="185"/>
      <c r="BB242" s="185"/>
      <c r="BC242" s="185"/>
      <c r="BD242" s="185"/>
      <c r="BE242" s="185"/>
      <c r="BF242" s="185"/>
      <c r="BG242" s="185"/>
      <c r="BH242" s="185"/>
      <c r="BI242" s="185"/>
      <c r="BJ242" s="185"/>
      <c r="BK242" s="185"/>
      <c r="BL242" s="185"/>
    </row>
    <row r="243" ht="15.7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233"/>
      <c r="AF243" s="185"/>
      <c r="AG243" s="185"/>
      <c r="AH243" s="185"/>
      <c r="AI243" s="185"/>
      <c r="AJ243" s="185"/>
      <c r="AK243" s="185"/>
      <c r="AL243" s="185"/>
      <c r="AM243" s="185"/>
      <c r="AN243" s="185"/>
      <c r="AO243" s="185"/>
      <c r="AP243" s="185"/>
      <c r="AQ243" s="185"/>
      <c r="AR243" s="185"/>
      <c r="AS243" s="185"/>
      <c r="AT243" s="185"/>
      <c r="AU243" s="185"/>
      <c r="AV243" s="185"/>
      <c r="AW243" s="185"/>
      <c r="AX243" s="185"/>
      <c r="AY243" s="185"/>
      <c r="AZ243" s="185"/>
      <c r="BA243" s="185"/>
      <c r="BB243" s="185"/>
      <c r="BC243" s="185"/>
      <c r="BD243" s="185"/>
      <c r="BE243" s="185"/>
      <c r="BF243" s="185"/>
      <c r="BG243" s="185"/>
      <c r="BH243" s="185"/>
      <c r="BI243" s="185"/>
      <c r="BJ243" s="185"/>
      <c r="BK243" s="185"/>
      <c r="BL243" s="185"/>
    </row>
    <row r="244" ht="15.7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233"/>
      <c r="AF244" s="185"/>
      <c r="AG244" s="185"/>
      <c r="AH244" s="185"/>
      <c r="AI244" s="185"/>
      <c r="AJ244" s="185"/>
      <c r="AK244" s="185"/>
      <c r="AL244" s="185"/>
      <c r="AM244" s="185"/>
      <c r="AN244" s="185"/>
      <c r="AO244" s="185"/>
      <c r="AP244" s="185"/>
      <c r="AQ244" s="185"/>
      <c r="AR244" s="185"/>
      <c r="AS244" s="185"/>
      <c r="AT244" s="185"/>
      <c r="AU244" s="185"/>
      <c r="AV244" s="185"/>
      <c r="AW244" s="185"/>
      <c r="AX244" s="185"/>
      <c r="AY244" s="185"/>
      <c r="AZ244" s="185"/>
      <c r="BA244" s="185"/>
      <c r="BB244" s="185"/>
      <c r="BC244" s="185"/>
      <c r="BD244" s="185"/>
      <c r="BE244" s="185"/>
      <c r="BF244" s="185"/>
      <c r="BG244" s="185"/>
      <c r="BH244" s="185"/>
      <c r="BI244" s="185"/>
      <c r="BJ244" s="185"/>
      <c r="BK244" s="185"/>
      <c r="BL244" s="185"/>
    </row>
    <row r="245" ht="15.7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233"/>
      <c r="AF245" s="185"/>
      <c r="AG245" s="185"/>
      <c r="AH245" s="185"/>
      <c r="AI245" s="185"/>
      <c r="AJ245" s="185"/>
      <c r="AK245" s="185"/>
      <c r="AL245" s="185"/>
      <c r="AM245" s="185"/>
      <c r="AN245" s="185"/>
      <c r="AO245" s="185"/>
      <c r="AP245" s="185"/>
      <c r="AQ245" s="185"/>
      <c r="AR245" s="185"/>
      <c r="AS245" s="185"/>
      <c r="AT245" s="185"/>
      <c r="AU245" s="185"/>
      <c r="AV245" s="185"/>
      <c r="AW245" s="185"/>
      <c r="AX245" s="185"/>
      <c r="AY245" s="185"/>
      <c r="AZ245" s="185"/>
      <c r="BA245" s="185"/>
      <c r="BB245" s="185"/>
      <c r="BC245" s="185"/>
      <c r="BD245" s="185"/>
      <c r="BE245" s="185"/>
      <c r="BF245" s="185"/>
      <c r="BG245" s="185"/>
      <c r="BH245" s="185"/>
      <c r="BI245" s="185"/>
      <c r="BJ245" s="185"/>
      <c r="BK245" s="185"/>
      <c r="BL245" s="185"/>
    </row>
    <row r="246" ht="15.7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233"/>
      <c r="AF246" s="185"/>
      <c r="AG246" s="185"/>
      <c r="AH246" s="185"/>
      <c r="AI246" s="185"/>
      <c r="AJ246" s="185"/>
      <c r="AK246" s="185"/>
      <c r="AL246" s="185"/>
      <c r="AM246" s="185"/>
      <c r="AN246" s="185"/>
      <c r="AO246" s="185"/>
      <c r="AP246" s="185"/>
      <c r="AQ246" s="185"/>
      <c r="AR246" s="185"/>
      <c r="AS246" s="185"/>
      <c r="AT246" s="185"/>
      <c r="AU246" s="185"/>
      <c r="AV246" s="185"/>
      <c r="AW246" s="185"/>
      <c r="AX246" s="185"/>
      <c r="AY246" s="185"/>
      <c r="AZ246" s="185"/>
      <c r="BA246" s="185"/>
      <c r="BB246" s="185"/>
      <c r="BC246" s="185"/>
      <c r="BD246" s="185"/>
      <c r="BE246" s="185"/>
      <c r="BF246" s="185"/>
      <c r="BG246" s="185"/>
      <c r="BH246" s="185"/>
      <c r="BI246" s="185"/>
      <c r="BJ246" s="185"/>
      <c r="BK246" s="185"/>
      <c r="BL246" s="185"/>
    </row>
    <row r="247" ht="15.7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233"/>
      <c r="AF247" s="185"/>
      <c r="AG247" s="185"/>
      <c r="AH247" s="185"/>
      <c r="AI247" s="185"/>
      <c r="AJ247" s="185"/>
      <c r="AK247" s="185"/>
      <c r="AL247" s="185"/>
      <c r="AM247" s="185"/>
      <c r="AN247" s="185"/>
      <c r="AO247" s="185"/>
      <c r="AP247" s="185"/>
      <c r="AQ247" s="185"/>
      <c r="AR247" s="185"/>
      <c r="AS247" s="185"/>
      <c r="AT247" s="185"/>
      <c r="AU247" s="185"/>
      <c r="AV247" s="185"/>
      <c r="AW247" s="185"/>
      <c r="AX247" s="185"/>
      <c r="AY247" s="185"/>
      <c r="AZ247" s="185"/>
      <c r="BA247" s="185"/>
      <c r="BB247" s="185"/>
      <c r="BC247" s="185"/>
      <c r="BD247" s="185"/>
      <c r="BE247" s="185"/>
      <c r="BF247" s="185"/>
      <c r="BG247" s="185"/>
      <c r="BH247" s="185"/>
      <c r="BI247" s="185"/>
      <c r="BJ247" s="185"/>
      <c r="BK247" s="185"/>
      <c r="BL247" s="185"/>
    </row>
    <row r="248" ht="15.7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233"/>
      <c r="AF248" s="185"/>
      <c r="AG248" s="185"/>
      <c r="AH248" s="185"/>
      <c r="AI248" s="185"/>
      <c r="AJ248" s="185"/>
      <c r="AK248" s="185"/>
      <c r="AL248" s="185"/>
      <c r="AM248" s="185"/>
      <c r="AN248" s="185"/>
      <c r="AO248" s="185"/>
      <c r="AP248" s="185"/>
      <c r="AQ248" s="185"/>
      <c r="AR248" s="185"/>
      <c r="AS248" s="185"/>
      <c r="AT248" s="185"/>
      <c r="AU248" s="185"/>
      <c r="AV248" s="185"/>
      <c r="AW248" s="185"/>
      <c r="AX248" s="185"/>
      <c r="AY248" s="185"/>
      <c r="AZ248" s="185"/>
      <c r="BA248" s="185"/>
      <c r="BB248" s="185"/>
      <c r="BC248" s="185"/>
      <c r="BD248" s="185"/>
      <c r="BE248" s="185"/>
      <c r="BF248" s="185"/>
      <c r="BG248" s="185"/>
      <c r="BH248" s="185"/>
      <c r="BI248" s="185"/>
      <c r="BJ248" s="185"/>
      <c r="BK248" s="185"/>
      <c r="BL248" s="185"/>
    </row>
    <row r="249" ht="15.7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233"/>
      <c r="AF249" s="185"/>
      <c r="AG249" s="185"/>
      <c r="AH249" s="185"/>
      <c r="AI249" s="185"/>
      <c r="AJ249" s="185"/>
      <c r="AK249" s="185"/>
      <c r="AL249" s="185"/>
      <c r="AM249" s="185"/>
      <c r="AN249" s="185"/>
      <c r="AO249" s="185"/>
      <c r="AP249" s="185"/>
      <c r="AQ249" s="185"/>
      <c r="AR249" s="185"/>
      <c r="AS249" s="185"/>
      <c r="AT249" s="185"/>
      <c r="AU249" s="185"/>
      <c r="AV249" s="185"/>
      <c r="AW249" s="185"/>
      <c r="AX249" s="185"/>
      <c r="AY249" s="185"/>
      <c r="AZ249" s="185"/>
      <c r="BA249" s="185"/>
      <c r="BB249" s="185"/>
      <c r="BC249" s="185"/>
      <c r="BD249" s="185"/>
      <c r="BE249" s="185"/>
      <c r="BF249" s="185"/>
      <c r="BG249" s="185"/>
      <c r="BH249" s="185"/>
      <c r="BI249" s="185"/>
      <c r="BJ249" s="185"/>
      <c r="BK249" s="185"/>
      <c r="BL249" s="185"/>
    </row>
    <row r="250" ht="15.7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233"/>
      <c r="AF250" s="185"/>
      <c r="AG250" s="185"/>
      <c r="AH250" s="185"/>
      <c r="AI250" s="185"/>
      <c r="AJ250" s="185"/>
      <c r="AK250" s="185"/>
      <c r="AL250" s="185"/>
      <c r="AM250" s="185"/>
      <c r="AN250" s="185"/>
      <c r="AO250" s="185"/>
      <c r="AP250" s="185"/>
      <c r="AQ250" s="185"/>
      <c r="AR250" s="185"/>
      <c r="AS250" s="185"/>
      <c r="AT250" s="185"/>
      <c r="AU250" s="185"/>
      <c r="AV250" s="185"/>
      <c r="AW250" s="185"/>
      <c r="AX250" s="185"/>
      <c r="AY250" s="185"/>
      <c r="AZ250" s="185"/>
      <c r="BA250" s="185"/>
      <c r="BB250" s="185"/>
      <c r="BC250" s="185"/>
      <c r="BD250" s="185"/>
      <c r="BE250" s="185"/>
      <c r="BF250" s="185"/>
      <c r="BG250" s="185"/>
      <c r="BH250" s="185"/>
      <c r="BI250" s="185"/>
      <c r="BJ250" s="185"/>
      <c r="BK250" s="185"/>
      <c r="BL250" s="185"/>
    </row>
    <row r="251" ht="15.7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233"/>
      <c r="AF251" s="185"/>
      <c r="AG251" s="185"/>
      <c r="AH251" s="185"/>
      <c r="AI251" s="185"/>
      <c r="AJ251" s="185"/>
      <c r="AK251" s="185"/>
      <c r="AL251" s="185"/>
      <c r="AM251" s="185"/>
      <c r="AN251" s="185"/>
      <c r="AO251" s="185"/>
      <c r="AP251" s="185"/>
      <c r="AQ251" s="185"/>
      <c r="AR251" s="185"/>
      <c r="AS251" s="185"/>
      <c r="AT251" s="185"/>
      <c r="AU251" s="185"/>
      <c r="AV251" s="185"/>
      <c r="AW251" s="185"/>
      <c r="AX251" s="185"/>
      <c r="AY251" s="185"/>
      <c r="AZ251" s="185"/>
      <c r="BA251" s="185"/>
      <c r="BB251" s="185"/>
      <c r="BC251" s="185"/>
      <c r="BD251" s="185"/>
      <c r="BE251" s="185"/>
      <c r="BF251" s="185"/>
      <c r="BG251" s="185"/>
      <c r="BH251" s="185"/>
      <c r="BI251" s="185"/>
      <c r="BJ251" s="185"/>
      <c r="BK251" s="185"/>
      <c r="BL251" s="185"/>
    </row>
    <row r="252" ht="15.7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233"/>
      <c r="AF252" s="185"/>
      <c r="AG252" s="185"/>
      <c r="AH252" s="185"/>
      <c r="AI252" s="185"/>
      <c r="AJ252" s="185"/>
      <c r="AK252" s="185"/>
      <c r="AL252" s="185"/>
      <c r="AM252" s="185"/>
      <c r="AN252" s="185"/>
      <c r="AO252" s="185"/>
      <c r="AP252" s="185"/>
      <c r="AQ252" s="185"/>
      <c r="AR252" s="185"/>
      <c r="AS252" s="185"/>
      <c r="AT252" s="185"/>
      <c r="AU252" s="185"/>
      <c r="AV252" s="185"/>
      <c r="AW252" s="185"/>
      <c r="AX252" s="185"/>
      <c r="AY252" s="185"/>
      <c r="AZ252" s="185"/>
      <c r="BA252" s="185"/>
      <c r="BB252" s="185"/>
      <c r="BC252" s="185"/>
      <c r="BD252" s="185"/>
      <c r="BE252" s="185"/>
      <c r="BF252" s="185"/>
      <c r="BG252" s="185"/>
      <c r="BH252" s="185"/>
      <c r="BI252" s="185"/>
      <c r="BJ252" s="185"/>
      <c r="BK252" s="185"/>
      <c r="BL252" s="185"/>
    </row>
    <row r="253" ht="15.7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233"/>
      <c r="AF253" s="185"/>
      <c r="AG253" s="185"/>
      <c r="AH253" s="185"/>
      <c r="AI253" s="185"/>
      <c r="AJ253" s="185"/>
      <c r="AK253" s="185"/>
      <c r="AL253" s="185"/>
      <c r="AM253" s="185"/>
      <c r="AN253" s="185"/>
      <c r="AO253" s="185"/>
      <c r="AP253" s="185"/>
      <c r="AQ253" s="185"/>
      <c r="AR253" s="185"/>
      <c r="AS253" s="185"/>
      <c r="AT253" s="185"/>
      <c r="AU253" s="185"/>
      <c r="AV253" s="185"/>
      <c r="AW253" s="185"/>
      <c r="AX253" s="185"/>
      <c r="AY253" s="185"/>
      <c r="AZ253" s="185"/>
      <c r="BA253" s="185"/>
      <c r="BB253" s="185"/>
      <c r="BC253" s="185"/>
      <c r="BD253" s="185"/>
      <c r="BE253" s="185"/>
      <c r="BF253" s="185"/>
      <c r="BG253" s="185"/>
      <c r="BH253" s="185"/>
      <c r="BI253" s="185"/>
      <c r="BJ253" s="185"/>
      <c r="BK253" s="185"/>
      <c r="BL253" s="185"/>
    </row>
    <row r="254" ht="15.7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233"/>
      <c r="AF254" s="185"/>
      <c r="AG254" s="185"/>
      <c r="AH254" s="185"/>
      <c r="AI254" s="185"/>
      <c r="AJ254" s="185"/>
      <c r="AK254" s="185"/>
      <c r="AL254" s="185"/>
      <c r="AM254" s="185"/>
      <c r="AN254" s="185"/>
      <c r="AO254" s="185"/>
      <c r="AP254" s="185"/>
      <c r="AQ254" s="185"/>
      <c r="AR254" s="185"/>
      <c r="AS254" s="185"/>
      <c r="AT254" s="185"/>
      <c r="AU254" s="185"/>
      <c r="AV254" s="185"/>
      <c r="AW254" s="185"/>
      <c r="AX254" s="185"/>
      <c r="AY254" s="185"/>
      <c r="AZ254" s="185"/>
      <c r="BA254" s="185"/>
      <c r="BB254" s="185"/>
      <c r="BC254" s="185"/>
      <c r="BD254" s="185"/>
      <c r="BE254" s="185"/>
      <c r="BF254" s="185"/>
      <c r="BG254" s="185"/>
      <c r="BH254" s="185"/>
      <c r="BI254" s="185"/>
      <c r="BJ254" s="185"/>
      <c r="BK254" s="185"/>
      <c r="BL254" s="185"/>
    </row>
    <row r="255" ht="15.7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233"/>
      <c r="AF255" s="185"/>
      <c r="AG255" s="185"/>
      <c r="AH255" s="185"/>
      <c r="AI255" s="185"/>
      <c r="AJ255" s="185"/>
      <c r="AK255" s="185"/>
      <c r="AL255" s="185"/>
      <c r="AM255" s="185"/>
      <c r="AN255" s="185"/>
      <c r="AO255" s="185"/>
      <c r="AP255" s="185"/>
      <c r="AQ255" s="185"/>
      <c r="AR255" s="185"/>
      <c r="AS255" s="185"/>
      <c r="AT255" s="185"/>
      <c r="AU255" s="185"/>
      <c r="AV255" s="185"/>
      <c r="AW255" s="185"/>
      <c r="AX255" s="185"/>
      <c r="AY255" s="185"/>
      <c r="AZ255" s="185"/>
      <c r="BA255" s="185"/>
      <c r="BB255" s="185"/>
      <c r="BC255" s="185"/>
      <c r="BD255" s="185"/>
      <c r="BE255" s="185"/>
      <c r="BF255" s="185"/>
      <c r="BG255" s="185"/>
      <c r="BH255" s="185"/>
      <c r="BI255" s="185"/>
      <c r="BJ255" s="185"/>
      <c r="BK255" s="185"/>
      <c r="BL255" s="185"/>
    </row>
    <row r="256" ht="15.7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233"/>
      <c r="AF256" s="185"/>
      <c r="AG256" s="185"/>
      <c r="AH256" s="185"/>
      <c r="AI256" s="185"/>
      <c r="AJ256" s="185"/>
      <c r="AK256" s="185"/>
      <c r="AL256" s="185"/>
      <c r="AM256" s="185"/>
      <c r="AN256" s="185"/>
      <c r="AO256" s="185"/>
      <c r="AP256" s="185"/>
      <c r="AQ256" s="185"/>
      <c r="AR256" s="185"/>
      <c r="AS256" s="185"/>
      <c r="AT256" s="185"/>
      <c r="AU256" s="185"/>
      <c r="AV256" s="185"/>
      <c r="AW256" s="185"/>
      <c r="AX256" s="185"/>
      <c r="AY256" s="185"/>
      <c r="AZ256" s="185"/>
      <c r="BA256" s="185"/>
      <c r="BB256" s="185"/>
      <c r="BC256" s="185"/>
      <c r="BD256" s="185"/>
      <c r="BE256" s="185"/>
      <c r="BF256" s="185"/>
      <c r="BG256" s="185"/>
      <c r="BH256" s="185"/>
      <c r="BI256" s="185"/>
      <c r="BJ256" s="185"/>
      <c r="BK256" s="185"/>
      <c r="BL256" s="185"/>
    </row>
    <row r="257" ht="15.7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233"/>
      <c r="AF257" s="185"/>
      <c r="AG257" s="185"/>
      <c r="AH257" s="185"/>
      <c r="AI257" s="185"/>
      <c r="AJ257" s="185"/>
      <c r="AK257" s="185"/>
      <c r="AL257" s="185"/>
      <c r="AM257" s="185"/>
      <c r="AN257" s="185"/>
      <c r="AO257" s="185"/>
      <c r="AP257" s="185"/>
      <c r="AQ257" s="185"/>
      <c r="AR257" s="185"/>
      <c r="AS257" s="185"/>
      <c r="AT257" s="185"/>
      <c r="AU257" s="185"/>
      <c r="AV257" s="185"/>
      <c r="AW257" s="185"/>
      <c r="AX257" s="185"/>
      <c r="AY257" s="185"/>
      <c r="AZ257" s="185"/>
      <c r="BA257" s="185"/>
      <c r="BB257" s="185"/>
      <c r="BC257" s="185"/>
      <c r="BD257" s="185"/>
      <c r="BE257" s="185"/>
      <c r="BF257" s="185"/>
      <c r="BG257" s="185"/>
      <c r="BH257" s="185"/>
      <c r="BI257" s="185"/>
      <c r="BJ257" s="185"/>
      <c r="BK257" s="185"/>
      <c r="BL257" s="185"/>
    </row>
    <row r="258" ht="15.7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233"/>
      <c r="AF258" s="185"/>
      <c r="AG258" s="185"/>
      <c r="AH258" s="185"/>
      <c r="AI258" s="185"/>
      <c r="AJ258" s="185"/>
      <c r="AK258" s="185"/>
      <c r="AL258" s="185"/>
      <c r="AM258" s="185"/>
      <c r="AN258" s="185"/>
      <c r="AO258" s="185"/>
      <c r="AP258" s="185"/>
      <c r="AQ258" s="185"/>
      <c r="AR258" s="185"/>
      <c r="AS258" s="185"/>
      <c r="AT258" s="185"/>
      <c r="AU258" s="185"/>
      <c r="AV258" s="185"/>
      <c r="AW258" s="185"/>
      <c r="AX258" s="185"/>
      <c r="AY258" s="185"/>
      <c r="AZ258" s="185"/>
      <c r="BA258" s="185"/>
      <c r="BB258" s="185"/>
      <c r="BC258" s="185"/>
      <c r="BD258" s="185"/>
      <c r="BE258" s="185"/>
      <c r="BF258" s="185"/>
      <c r="BG258" s="185"/>
      <c r="BH258" s="185"/>
      <c r="BI258" s="185"/>
      <c r="BJ258" s="185"/>
      <c r="BK258" s="185"/>
      <c r="BL258" s="185"/>
    </row>
    <row r="259" ht="15.7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233"/>
      <c r="AF259" s="185"/>
      <c r="AG259" s="185"/>
      <c r="AH259" s="185"/>
      <c r="AI259" s="185"/>
      <c r="AJ259" s="185"/>
      <c r="AK259" s="185"/>
      <c r="AL259" s="185"/>
      <c r="AM259" s="185"/>
      <c r="AN259" s="185"/>
      <c r="AO259" s="185"/>
      <c r="AP259" s="185"/>
      <c r="AQ259" s="185"/>
      <c r="AR259" s="185"/>
      <c r="AS259" s="185"/>
      <c r="AT259" s="185"/>
      <c r="AU259" s="185"/>
      <c r="AV259" s="185"/>
      <c r="AW259" s="185"/>
      <c r="AX259" s="185"/>
      <c r="AY259" s="185"/>
      <c r="AZ259" s="185"/>
      <c r="BA259" s="185"/>
      <c r="BB259" s="185"/>
      <c r="BC259" s="185"/>
      <c r="BD259" s="185"/>
      <c r="BE259" s="185"/>
      <c r="BF259" s="185"/>
      <c r="BG259" s="185"/>
      <c r="BH259" s="185"/>
      <c r="BI259" s="185"/>
      <c r="BJ259" s="185"/>
      <c r="BK259" s="185"/>
      <c r="BL259" s="185"/>
    </row>
    <row r="260" ht="15.7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233"/>
      <c r="AF260" s="185"/>
      <c r="AG260" s="185"/>
      <c r="AH260" s="185"/>
      <c r="AI260" s="185"/>
      <c r="AJ260" s="185"/>
      <c r="AK260" s="185"/>
      <c r="AL260" s="185"/>
      <c r="AM260" s="185"/>
      <c r="AN260" s="185"/>
      <c r="AO260" s="185"/>
      <c r="AP260" s="185"/>
      <c r="AQ260" s="185"/>
      <c r="AR260" s="185"/>
      <c r="AS260" s="185"/>
      <c r="AT260" s="185"/>
      <c r="AU260" s="185"/>
      <c r="AV260" s="185"/>
      <c r="AW260" s="185"/>
      <c r="AX260" s="185"/>
      <c r="AY260" s="185"/>
      <c r="AZ260" s="185"/>
      <c r="BA260" s="185"/>
      <c r="BB260" s="185"/>
      <c r="BC260" s="185"/>
      <c r="BD260" s="185"/>
      <c r="BE260" s="185"/>
      <c r="BF260" s="185"/>
      <c r="BG260" s="185"/>
      <c r="BH260" s="185"/>
      <c r="BI260" s="185"/>
      <c r="BJ260" s="185"/>
      <c r="BK260" s="185"/>
      <c r="BL260" s="185"/>
    </row>
    <row r="261" ht="15.7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233"/>
      <c r="AF261" s="185"/>
      <c r="AG261" s="185"/>
      <c r="AH261" s="185"/>
      <c r="AI261" s="185"/>
      <c r="AJ261" s="185"/>
      <c r="AK261" s="185"/>
      <c r="AL261" s="185"/>
      <c r="AM261" s="185"/>
      <c r="AN261" s="185"/>
      <c r="AO261" s="185"/>
      <c r="AP261" s="185"/>
      <c r="AQ261" s="185"/>
      <c r="AR261" s="185"/>
      <c r="AS261" s="185"/>
      <c r="AT261" s="185"/>
      <c r="AU261" s="185"/>
      <c r="AV261" s="185"/>
      <c r="AW261" s="185"/>
      <c r="AX261" s="185"/>
      <c r="AY261" s="185"/>
      <c r="AZ261" s="185"/>
      <c r="BA261" s="185"/>
      <c r="BB261" s="185"/>
      <c r="BC261" s="185"/>
      <c r="BD261" s="185"/>
      <c r="BE261" s="185"/>
      <c r="BF261" s="185"/>
      <c r="BG261" s="185"/>
      <c r="BH261" s="185"/>
      <c r="BI261" s="185"/>
      <c r="BJ261" s="185"/>
      <c r="BK261" s="185"/>
      <c r="BL261" s="185"/>
    </row>
    <row r="262" ht="15.7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233"/>
      <c r="AF262" s="185"/>
      <c r="AG262" s="185"/>
      <c r="AH262" s="185"/>
      <c r="AI262" s="185"/>
      <c r="AJ262" s="185"/>
      <c r="AK262" s="185"/>
      <c r="AL262" s="185"/>
      <c r="AM262" s="185"/>
      <c r="AN262" s="185"/>
      <c r="AO262" s="185"/>
      <c r="AP262" s="185"/>
      <c r="AQ262" s="185"/>
      <c r="AR262" s="185"/>
      <c r="AS262" s="185"/>
      <c r="AT262" s="185"/>
      <c r="AU262" s="185"/>
      <c r="AV262" s="185"/>
      <c r="AW262" s="185"/>
      <c r="AX262" s="185"/>
      <c r="AY262" s="185"/>
      <c r="AZ262" s="185"/>
      <c r="BA262" s="185"/>
      <c r="BB262" s="185"/>
      <c r="BC262" s="185"/>
      <c r="BD262" s="185"/>
      <c r="BE262" s="185"/>
      <c r="BF262" s="185"/>
      <c r="BG262" s="185"/>
      <c r="BH262" s="185"/>
      <c r="BI262" s="185"/>
      <c r="BJ262" s="185"/>
      <c r="BK262" s="185"/>
      <c r="BL262" s="185"/>
    </row>
    <row r="263" ht="15.7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233"/>
      <c r="AF263" s="185"/>
      <c r="AG263" s="185"/>
      <c r="AH263" s="185"/>
      <c r="AI263" s="185"/>
      <c r="AJ263" s="185"/>
      <c r="AK263" s="185"/>
      <c r="AL263" s="185"/>
      <c r="AM263" s="185"/>
      <c r="AN263" s="185"/>
      <c r="AO263" s="185"/>
      <c r="AP263" s="185"/>
      <c r="AQ263" s="185"/>
      <c r="AR263" s="185"/>
      <c r="AS263" s="185"/>
      <c r="AT263" s="185"/>
      <c r="AU263" s="185"/>
      <c r="AV263" s="185"/>
      <c r="AW263" s="185"/>
      <c r="AX263" s="185"/>
      <c r="AY263" s="185"/>
      <c r="AZ263" s="185"/>
      <c r="BA263" s="185"/>
      <c r="BB263" s="185"/>
      <c r="BC263" s="185"/>
      <c r="BD263" s="185"/>
      <c r="BE263" s="185"/>
      <c r="BF263" s="185"/>
      <c r="BG263" s="185"/>
      <c r="BH263" s="185"/>
      <c r="BI263" s="185"/>
      <c r="BJ263" s="185"/>
      <c r="BK263" s="185"/>
      <c r="BL263" s="185"/>
    </row>
    <row r="264" ht="15.7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233"/>
      <c r="AF264" s="185"/>
      <c r="AG264" s="185"/>
      <c r="AH264" s="185"/>
      <c r="AI264" s="185"/>
      <c r="AJ264" s="185"/>
      <c r="AK264" s="185"/>
      <c r="AL264" s="185"/>
      <c r="AM264" s="185"/>
      <c r="AN264" s="185"/>
      <c r="AO264" s="185"/>
      <c r="AP264" s="185"/>
      <c r="AQ264" s="185"/>
      <c r="AR264" s="185"/>
      <c r="AS264" s="185"/>
      <c r="AT264" s="185"/>
      <c r="AU264" s="185"/>
      <c r="AV264" s="185"/>
      <c r="AW264" s="185"/>
      <c r="AX264" s="185"/>
      <c r="AY264" s="185"/>
      <c r="AZ264" s="185"/>
      <c r="BA264" s="185"/>
      <c r="BB264" s="185"/>
      <c r="BC264" s="185"/>
      <c r="BD264" s="185"/>
      <c r="BE264" s="185"/>
      <c r="BF264" s="185"/>
      <c r="BG264" s="185"/>
      <c r="BH264" s="185"/>
      <c r="BI264" s="185"/>
      <c r="BJ264" s="185"/>
      <c r="BK264" s="185"/>
      <c r="BL264" s="185"/>
    </row>
    <row r="265" ht="15.7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233"/>
      <c r="AF265" s="185"/>
      <c r="AG265" s="185"/>
      <c r="AH265" s="185"/>
      <c r="AI265" s="185"/>
      <c r="AJ265" s="185"/>
      <c r="AK265" s="185"/>
      <c r="AL265" s="185"/>
      <c r="AM265" s="185"/>
      <c r="AN265" s="185"/>
      <c r="AO265" s="185"/>
      <c r="AP265" s="185"/>
      <c r="AQ265" s="185"/>
      <c r="AR265" s="185"/>
      <c r="AS265" s="185"/>
      <c r="AT265" s="185"/>
      <c r="AU265" s="185"/>
      <c r="AV265" s="185"/>
      <c r="AW265" s="185"/>
      <c r="AX265" s="185"/>
      <c r="AY265" s="185"/>
      <c r="AZ265" s="185"/>
      <c r="BA265" s="185"/>
      <c r="BB265" s="185"/>
      <c r="BC265" s="185"/>
      <c r="BD265" s="185"/>
      <c r="BE265" s="185"/>
      <c r="BF265" s="185"/>
      <c r="BG265" s="185"/>
      <c r="BH265" s="185"/>
      <c r="BI265" s="185"/>
      <c r="BJ265" s="185"/>
      <c r="BK265" s="185"/>
      <c r="BL265" s="185"/>
    </row>
    <row r="266" ht="15.7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233"/>
      <c r="AF266" s="185"/>
      <c r="AG266" s="185"/>
      <c r="AH266" s="185"/>
      <c r="AI266" s="185"/>
      <c r="AJ266" s="185"/>
      <c r="AK266" s="185"/>
      <c r="AL266" s="185"/>
      <c r="AM266" s="185"/>
      <c r="AN266" s="185"/>
      <c r="AO266" s="185"/>
      <c r="AP266" s="185"/>
      <c r="AQ266" s="185"/>
      <c r="AR266" s="185"/>
      <c r="AS266" s="185"/>
      <c r="AT266" s="185"/>
      <c r="AU266" s="185"/>
      <c r="AV266" s="185"/>
      <c r="AW266" s="185"/>
      <c r="AX266" s="185"/>
      <c r="AY266" s="185"/>
      <c r="AZ266" s="185"/>
      <c r="BA266" s="185"/>
      <c r="BB266" s="185"/>
      <c r="BC266" s="185"/>
      <c r="BD266" s="185"/>
      <c r="BE266" s="185"/>
      <c r="BF266" s="185"/>
      <c r="BG266" s="185"/>
      <c r="BH266" s="185"/>
      <c r="BI266" s="185"/>
      <c r="BJ266" s="185"/>
      <c r="BK266" s="185"/>
      <c r="BL266" s="185"/>
    </row>
    <row r="267" ht="15.7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233"/>
      <c r="AF267" s="185"/>
      <c r="AG267" s="185"/>
      <c r="AH267" s="185"/>
      <c r="AI267" s="185"/>
      <c r="AJ267" s="185"/>
      <c r="AK267" s="185"/>
      <c r="AL267" s="185"/>
      <c r="AM267" s="185"/>
      <c r="AN267" s="185"/>
      <c r="AO267" s="185"/>
      <c r="AP267" s="185"/>
      <c r="AQ267" s="185"/>
      <c r="AR267" s="185"/>
      <c r="AS267" s="185"/>
      <c r="AT267" s="185"/>
      <c r="AU267" s="185"/>
      <c r="AV267" s="185"/>
      <c r="AW267" s="185"/>
      <c r="AX267" s="185"/>
      <c r="AY267" s="185"/>
      <c r="AZ267" s="185"/>
      <c r="BA267" s="185"/>
      <c r="BB267" s="185"/>
      <c r="BC267" s="185"/>
      <c r="BD267" s="185"/>
      <c r="BE267" s="185"/>
      <c r="BF267" s="185"/>
      <c r="BG267" s="185"/>
      <c r="BH267" s="185"/>
      <c r="BI267" s="185"/>
      <c r="BJ267" s="185"/>
      <c r="BK267" s="185"/>
      <c r="BL267" s="185"/>
    </row>
    <row r="268" ht="15.7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233"/>
      <c r="AF268" s="185"/>
      <c r="AG268" s="185"/>
      <c r="AH268" s="185"/>
      <c r="AI268" s="185"/>
      <c r="AJ268" s="185"/>
      <c r="AK268" s="185"/>
      <c r="AL268" s="185"/>
      <c r="AM268" s="185"/>
      <c r="AN268" s="185"/>
      <c r="AO268" s="185"/>
      <c r="AP268" s="185"/>
      <c r="AQ268" s="185"/>
      <c r="AR268" s="185"/>
      <c r="AS268" s="185"/>
      <c r="AT268" s="185"/>
      <c r="AU268" s="185"/>
      <c r="AV268" s="185"/>
      <c r="AW268" s="185"/>
      <c r="AX268" s="185"/>
      <c r="AY268" s="185"/>
      <c r="AZ268" s="185"/>
      <c r="BA268" s="185"/>
      <c r="BB268" s="185"/>
      <c r="BC268" s="185"/>
      <c r="BD268" s="185"/>
      <c r="BE268" s="185"/>
      <c r="BF268" s="185"/>
      <c r="BG268" s="185"/>
      <c r="BH268" s="185"/>
      <c r="BI268" s="185"/>
      <c r="BJ268" s="185"/>
      <c r="BK268" s="185"/>
      <c r="BL268" s="185"/>
    </row>
    <row r="269" ht="15.7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233"/>
      <c r="AF269" s="185"/>
      <c r="AG269" s="185"/>
      <c r="AH269" s="185"/>
      <c r="AI269" s="185"/>
      <c r="AJ269" s="185"/>
      <c r="AK269" s="185"/>
      <c r="AL269" s="185"/>
      <c r="AM269" s="185"/>
      <c r="AN269" s="185"/>
      <c r="AO269" s="185"/>
      <c r="AP269" s="185"/>
      <c r="AQ269" s="185"/>
      <c r="AR269" s="185"/>
      <c r="AS269" s="185"/>
      <c r="AT269" s="185"/>
      <c r="AU269" s="185"/>
      <c r="AV269" s="185"/>
      <c r="AW269" s="185"/>
      <c r="AX269" s="185"/>
      <c r="AY269" s="185"/>
      <c r="AZ269" s="185"/>
      <c r="BA269" s="185"/>
      <c r="BB269" s="185"/>
      <c r="BC269" s="185"/>
      <c r="BD269" s="185"/>
      <c r="BE269" s="185"/>
      <c r="BF269" s="185"/>
      <c r="BG269" s="185"/>
      <c r="BH269" s="185"/>
      <c r="BI269" s="185"/>
      <c r="BJ269" s="185"/>
      <c r="BK269" s="185"/>
      <c r="BL269" s="18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 ht="15.75" customHeight="1">
      <c r="A1" s="43" t="s">
        <v>0</v>
      </c>
      <c r="B1" s="203"/>
      <c r="C1" s="203"/>
      <c r="D1" s="43" t="s">
        <v>7</v>
      </c>
      <c r="E1" s="43" t="s">
        <v>8</v>
      </c>
      <c r="F1" s="43" t="s">
        <v>9</v>
      </c>
      <c r="G1" s="43" t="s">
        <v>10</v>
      </c>
      <c r="H1" s="43" t="s">
        <v>11</v>
      </c>
      <c r="I1" s="43" t="s">
        <v>12</v>
      </c>
      <c r="J1" s="43" t="s">
        <v>13</v>
      </c>
      <c r="K1" s="43" t="s">
        <v>63</v>
      </c>
      <c r="L1" s="43" t="s">
        <v>64</v>
      </c>
      <c r="M1" s="43" t="s">
        <v>65</v>
      </c>
      <c r="N1" s="43" t="s">
        <v>66</v>
      </c>
      <c r="O1" s="43" t="s">
        <v>67</v>
      </c>
      <c r="P1" s="43" t="s">
        <v>68</v>
      </c>
      <c r="Q1" s="43" t="s">
        <v>69</v>
      </c>
      <c r="R1" s="43" t="s">
        <v>70</v>
      </c>
      <c r="S1" s="43" t="str">
        <f t="array" ref="S1:AD1">transpose(A22:A33)</f>
        <v>Q1 26</v>
      </c>
      <c r="T1" s="43" t="s">
        <v>72</v>
      </c>
      <c r="U1" s="43" t="s">
        <v>73</v>
      </c>
      <c r="V1" s="43" t="s">
        <v>74</v>
      </c>
      <c r="W1" s="43" t="s">
        <v>75</v>
      </c>
      <c r="X1" s="43" t="s">
        <v>76</v>
      </c>
      <c r="Y1" s="43" t="s">
        <v>77</v>
      </c>
      <c r="Z1" s="43" t="s">
        <v>78</v>
      </c>
      <c r="AA1" s="43" t="s">
        <v>79</v>
      </c>
      <c r="AB1" s="43" t="s">
        <v>80</v>
      </c>
      <c r="AC1" s="43" t="s">
        <v>81</v>
      </c>
      <c r="AD1" s="43" t="s">
        <v>82</v>
      </c>
      <c r="AE1" s="204"/>
      <c r="AF1" s="43" t="s">
        <v>14</v>
      </c>
      <c r="AG1" s="43" t="s">
        <v>2</v>
      </c>
      <c r="AH1" s="43" t="s">
        <v>3</v>
      </c>
      <c r="AI1" s="43" t="s">
        <v>4</v>
      </c>
      <c r="AJ1" s="43" t="s">
        <v>5</v>
      </c>
      <c r="AK1" s="43" t="s">
        <v>6</v>
      </c>
      <c r="AL1" s="43" t="s">
        <v>7</v>
      </c>
      <c r="AM1" s="43" t="s">
        <v>8</v>
      </c>
      <c r="AN1" s="43" t="s">
        <v>9</v>
      </c>
      <c r="AO1" s="43" t="s">
        <v>10</v>
      </c>
      <c r="AP1" s="43" t="s">
        <v>11</v>
      </c>
      <c r="AQ1" s="43" t="s">
        <v>12</v>
      </c>
      <c r="AR1" s="43" t="s">
        <v>13</v>
      </c>
      <c r="AS1" s="43" t="s">
        <v>63</v>
      </c>
      <c r="AT1" s="43" t="s">
        <v>64</v>
      </c>
      <c r="AU1" s="43" t="s">
        <v>65</v>
      </c>
      <c r="AV1" s="43" t="s">
        <v>66</v>
      </c>
      <c r="AW1" s="43" t="s">
        <v>67</v>
      </c>
      <c r="AX1" s="43" t="s">
        <v>68</v>
      </c>
      <c r="AY1" s="43" t="s">
        <v>69</v>
      </c>
      <c r="AZ1" s="43" t="s">
        <v>70</v>
      </c>
      <c r="BA1" s="43" t="str">
        <f t="array" ref="BA1:BL1">transpose(A22:A33)</f>
        <v>Q1 26</v>
      </c>
      <c r="BB1" s="43" t="s">
        <v>72</v>
      </c>
      <c r="BC1" s="43" t="s">
        <v>73</v>
      </c>
      <c r="BD1" s="43" t="s">
        <v>74</v>
      </c>
      <c r="BE1" s="43" t="s">
        <v>75</v>
      </c>
      <c r="BF1" s="43" t="s">
        <v>76</v>
      </c>
      <c r="BG1" s="43" t="s">
        <v>77</v>
      </c>
      <c r="BH1" s="43" t="s">
        <v>78</v>
      </c>
      <c r="BI1" s="43" t="s">
        <v>79</v>
      </c>
      <c r="BJ1" s="43" t="s">
        <v>80</v>
      </c>
      <c r="BK1" s="43" t="s">
        <v>81</v>
      </c>
      <c r="BL1" s="43" t="s">
        <v>82</v>
      </c>
    </row>
    <row r="2" ht="15.75" customHeight="1">
      <c r="A2" s="43" t="s">
        <v>2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4"/>
      <c r="AF2" s="205"/>
      <c r="AG2" s="206">
        <v>0.14</v>
      </c>
      <c r="AH2" s="206">
        <v>0.33</v>
      </c>
      <c r="AI2" s="206">
        <v>0.25</v>
      </c>
      <c r="AJ2" s="206">
        <v>0.15</v>
      </c>
      <c r="AK2" s="206">
        <v>0.07</v>
      </c>
      <c r="AL2" s="206">
        <v>0.04</v>
      </c>
      <c r="AM2" s="206">
        <v>0.02</v>
      </c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</row>
    <row r="3" ht="15.75" customHeight="1">
      <c r="A3" s="43" t="s">
        <v>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4"/>
      <c r="AF3" s="205"/>
      <c r="AG3" s="205"/>
      <c r="AH3" s="206">
        <v>0.14</v>
      </c>
      <c r="AI3" s="206">
        <v>0.33</v>
      </c>
      <c r="AJ3" s="206">
        <v>0.25</v>
      </c>
      <c r="AK3" s="206">
        <v>0.15</v>
      </c>
      <c r="AL3" s="206">
        <v>0.07</v>
      </c>
      <c r="AM3" s="206">
        <v>0.04</v>
      </c>
      <c r="AN3" s="206">
        <v>0.02</v>
      </c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</row>
    <row r="4" ht="15.75" customHeight="1">
      <c r="A4" s="43" t="s">
        <v>4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4"/>
      <c r="AF4" s="205"/>
      <c r="AG4" s="205"/>
      <c r="AH4" s="205"/>
      <c r="AI4" s="206">
        <v>0.14</v>
      </c>
      <c r="AJ4" s="206">
        <v>0.33</v>
      </c>
      <c r="AK4" s="206">
        <v>0.25</v>
      </c>
      <c r="AL4" s="206">
        <v>0.15</v>
      </c>
      <c r="AM4" s="206">
        <v>0.07</v>
      </c>
      <c r="AN4" s="206">
        <v>0.04</v>
      </c>
      <c r="AO4" s="206">
        <v>0.02</v>
      </c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</row>
    <row r="5" ht="15.75" customHeight="1">
      <c r="A5" s="43" t="s">
        <v>5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4"/>
      <c r="AF5" s="205"/>
      <c r="AG5" s="205"/>
      <c r="AH5" s="205"/>
      <c r="AI5" s="205"/>
      <c r="AJ5" s="206">
        <v>0.14</v>
      </c>
      <c r="AK5" s="206">
        <v>0.33</v>
      </c>
      <c r="AL5" s="206">
        <v>0.25</v>
      </c>
      <c r="AM5" s="206">
        <v>0.15</v>
      </c>
      <c r="AN5" s="206">
        <v>0.07</v>
      </c>
      <c r="AO5" s="206">
        <v>0.04</v>
      </c>
      <c r="AP5" s="206">
        <v>0.02</v>
      </c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</row>
    <row r="6" ht="15.75" customHeight="1">
      <c r="A6" s="43" t="s">
        <v>6</v>
      </c>
      <c r="B6" s="205"/>
      <c r="C6" s="205"/>
      <c r="D6" s="206">
        <v>0.1</v>
      </c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8"/>
      <c r="AF6" s="207"/>
      <c r="AG6" s="207"/>
      <c r="AH6" s="207"/>
      <c r="AI6" s="207"/>
      <c r="AJ6" s="207"/>
      <c r="AK6" s="206">
        <v>0.14</v>
      </c>
      <c r="AL6" s="206">
        <v>0.33</v>
      </c>
      <c r="AM6" s="206">
        <v>0.25</v>
      </c>
      <c r="AN6" s="206">
        <v>0.15</v>
      </c>
      <c r="AO6" s="206">
        <v>0.07</v>
      </c>
      <c r="AP6" s="206">
        <v>0.04</v>
      </c>
      <c r="AQ6" s="206">
        <v>0.02</v>
      </c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</row>
    <row r="7" ht="15.75" customHeight="1">
      <c r="A7" s="43" t="s">
        <v>7</v>
      </c>
      <c r="B7" s="205"/>
      <c r="C7" s="205"/>
      <c r="D7" s="206">
        <f>227/255</f>
        <v>0.8901960784</v>
      </c>
      <c r="E7" s="206">
        <v>0.1</v>
      </c>
      <c r="F7" s="206">
        <v>0.01</v>
      </c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8"/>
      <c r="AF7" s="207"/>
      <c r="AG7" s="207"/>
      <c r="AH7" s="207"/>
      <c r="AI7" s="207"/>
      <c r="AJ7" s="207"/>
      <c r="AK7" s="207"/>
      <c r="AL7" s="206">
        <v>0.14</v>
      </c>
      <c r="AM7" s="206">
        <v>0.33</v>
      </c>
      <c r="AN7" s="206">
        <v>0.25</v>
      </c>
      <c r="AO7" s="206">
        <v>0.15</v>
      </c>
      <c r="AP7" s="206">
        <v>0.07</v>
      </c>
      <c r="AQ7" s="206">
        <v>0.04</v>
      </c>
      <c r="AR7" s="206">
        <v>0.02</v>
      </c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</row>
    <row r="8" ht="15.75" customHeight="1">
      <c r="A8" s="43" t="s">
        <v>8</v>
      </c>
      <c r="B8" s="205"/>
      <c r="C8" s="205"/>
      <c r="D8" s="207"/>
      <c r="E8" s="206">
        <f>227/255</f>
        <v>0.8901960784</v>
      </c>
      <c r="F8" s="206">
        <v>0.1</v>
      </c>
      <c r="G8" s="206">
        <v>0.01</v>
      </c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8"/>
      <c r="AF8" s="207"/>
      <c r="AG8" s="207"/>
      <c r="AH8" s="207"/>
      <c r="AI8" s="207"/>
      <c r="AJ8" s="207"/>
      <c r="AK8" s="207"/>
      <c r="AL8" s="207"/>
      <c r="AM8" s="206">
        <v>0.14</v>
      </c>
      <c r="AN8" s="206">
        <v>0.33</v>
      </c>
      <c r="AO8" s="206">
        <v>0.25</v>
      </c>
      <c r="AP8" s="206">
        <v>0.15</v>
      </c>
      <c r="AQ8" s="206">
        <v>0.07</v>
      </c>
      <c r="AR8" s="206">
        <v>0.04</v>
      </c>
      <c r="AS8" s="206">
        <v>0.02</v>
      </c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</row>
    <row r="9" ht="15.75" customHeight="1">
      <c r="A9" s="43" t="s">
        <v>9</v>
      </c>
      <c r="B9" s="205"/>
      <c r="C9" s="205"/>
      <c r="D9" s="207"/>
      <c r="E9" s="207"/>
      <c r="F9" s="206">
        <f>227/255</f>
        <v>0.8901960784</v>
      </c>
      <c r="G9" s="206">
        <v>0.1</v>
      </c>
      <c r="H9" s="206">
        <v>0.01</v>
      </c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8"/>
      <c r="AF9" s="207"/>
      <c r="AG9" s="207"/>
      <c r="AH9" s="207"/>
      <c r="AI9" s="207"/>
      <c r="AJ9" s="207"/>
      <c r="AK9" s="207"/>
      <c r="AL9" s="207"/>
      <c r="AM9" s="207"/>
      <c r="AN9" s="206">
        <v>0.14</v>
      </c>
      <c r="AO9" s="206">
        <v>0.33</v>
      </c>
      <c r="AP9" s="206">
        <v>0.25</v>
      </c>
      <c r="AQ9" s="206">
        <v>0.15</v>
      </c>
      <c r="AR9" s="206">
        <v>0.07</v>
      </c>
      <c r="AS9" s="206">
        <v>0.04</v>
      </c>
      <c r="AT9" s="206">
        <v>0.02</v>
      </c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</row>
    <row r="10" ht="15.75" customHeight="1">
      <c r="A10" s="43" t="s">
        <v>10</v>
      </c>
      <c r="B10" s="205"/>
      <c r="C10" s="205"/>
      <c r="D10" s="207"/>
      <c r="E10" s="207"/>
      <c r="F10" s="207"/>
      <c r="G10" s="206">
        <f>227/255</f>
        <v>0.8901960784</v>
      </c>
      <c r="H10" s="206">
        <v>0.1</v>
      </c>
      <c r="I10" s="206">
        <v>0.01</v>
      </c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8"/>
      <c r="AF10" s="207"/>
      <c r="AG10" s="207"/>
      <c r="AH10" s="207"/>
      <c r="AI10" s="207"/>
      <c r="AJ10" s="207"/>
      <c r="AK10" s="207"/>
      <c r="AL10" s="207"/>
      <c r="AM10" s="207"/>
      <c r="AN10" s="207"/>
      <c r="AO10" s="206">
        <v>0.14</v>
      </c>
      <c r="AP10" s="206">
        <v>0.33</v>
      </c>
      <c r="AQ10" s="206">
        <v>0.25</v>
      </c>
      <c r="AR10" s="206">
        <v>0.15</v>
      </c>
      <c r="AS10" s="206">
        <v>0.07</v>
      </c>
      <c r="AT10" s="206">
        <v>0.04</v>
      </c>
      <c r="AU10" s="206">
        <v>0.02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</row>
    <row r="11" ht="15.75" customHeight="1">
      <c r="A11" s="43" t="s">
        <v>11</v>
      </c>
      <c r="B11" s="205"/>
      <c r="C11" s="205"/>
      <c r="D11" s="207"/>
      <c r="E11" s="207"/>
      <c r="F11" s="207"/>
      <c r="G11" s="207"/>
      <c r="H11" s="206">
        <f>227/255</f>
        <v>0.8901960784</v>
      </c>
      <c r="I11" s="206">
        <v>0.1</v>
      </c>
      <c r="J11" s="206">
        <v>0.01</v>
      </c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8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6">
        <v>0.14</v>
      </c>
      <c r="AQ11" s="206">
        <v>0.33</v>
      </c>
      <c r="AR11" s="206">
        <v>0.25</v>
      </c>
      <c r="AS11" s="206">
        <v>0.15</v>
      </c>
      <c r="AT11" s="206">
        <v>0.07</v>
      </c>
      <c r="AU11" s="206">
        <v>0.04</v>
      </c>
      <c r="AV11" s="206">
        <v>0.02</v>
      </c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</row>
    <row r="12" ht="15.75" customHeight="1">
      <c r="A12" s="43" t="s">
        <v>12</v>
      </c>
      <c r="B12" s="205"/>
      <c r="C12" s="205"/>
      <c r="D12" s="207"/>
      <c r="E12" s="207"/>
      <c r="F12" s="207"/>
      <c r="G12" s="207"/>
      <c r="H12" s="207"/>
      <c r="I12" s="206">
        <f>227/255</f>
        <v>0.8901960784</v>
      </c>
      <c r="J12" s="206">
        <v>0.1</v>
      </c>
      <c r="K12" s="206">
        <v>0.01</v>
      </c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8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>
        <v>0.14</v>
      </c>
      <c r="AR12" s="206">
        <v>0.33</v>
      </c>
      <c r="AS12" s="206">
        <v>0.25</v>
      </c>
      <c r="AT12" s="206">
        <v>0.15</v>
      </c>
      <c r="AU12" s="206">
        <v>0.07</v>
      </c>
      <c r="AV12" s="206">
        <v>0.04</v>
      </c>
      <c r="AW12" s="206">
        <v>0.02</v>
      </c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</row>
    <row r="13" ht="15.75" customHeight="1">
      <c r="A13" s="43" t="s">
        <v>13</v>
      </c>
      <c r="B13" s="205"/>
      <c r="C13" s="205"/>
      <c r="D13" s="207"/>
      <c r="E13" s="207"/>
      <c r="F13" s="207"/>
      <c r="G13" s="207"/>
      <c r="H13" s="207"/>
      <c r="I13" s="207"/>
      <c r="J13" s="206">
        <f>227/255</f>
        <v>0.8901960784</v>
      </c>
      <c r="K13" s="206">
        <v>0.1</v>
      </c>
      <c r="L13" s="206">
        <v>0.01</v>
      </c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8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6">
        <v>0.14</v>
      </c>
      <c r="AS13" s="206">
        <v>0.33</v>
      </c>
      <c r="AT13" s="206">
        <v>0.25</v>
      </c>
      <c r="AU13" s="206">
        <v>0.15</v>
      </c>
      <c r="AV13" s="206">
        <v>0.07</v>
      </c>
      <c r="AW13" s="206">
        <v>0.04</v>
      </c>
      <c r="AX13" s="206">
        <v>0.02</v>
      </c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</row>
    <row r="14" ht="15.75" customHeight="1">
      <c r="A14" s="43" t="s">
        <v>63</v>
      </c>
      <c r="B14" s="205"/>
      <c r="C14" s="205"/>
      <c r="D14" s="207"/>
      <c r="E14" s="207"/>
      <c r="F14" s="207"/>
      <c r="G14" s="207"/>
      <c r="H14" s="207"/>
      <c r="I14" s="207"/>
      <c r="J14" s="207"/>
      <c r="K14" s="206">
        <f>227/255</f>
        <v>0.8901960784</v>
      </c>
      <c r="L14" s="206">
        <v>0.1</v>
      </c>
      <c r="M14" s="206">
        <v>0.01</v>
      </c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8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6">
        <v>0.14</v>
      </c>
      <c r="AT14" s="206">
        <v>0.33</v>
      </c>
      <c r="AU14" s="206">
        <v>0.25</v>
      </c>
      <c r="AV14" s="206">
        <v>0.15</v>
      </c>
      <c r="AW14" s="206">
        <v>0.07</v>
      </c>
      <c r="AX14" s="206">
        <v>0.04</v>
      </c>
      <c r="AY14" s="206">
        <v>0.02</v>
      </c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</row>
    <row r="15" ht="15.75" customHeight="1">
      <c r="A15" s="43" t="s">
        <v>64</v>
      </c>
      <c r="B15" s="205"/>
      <c r="C15" s="205"/>
      <c r="D15" s="207"/>
      <c r="E15" s="207"/>
      <c r="F15" s="207"/>
      <c r="G15" s="207"/>
      <c r="H15" s="207"/>
      <c r="I15" s="207"/>
      <c r="J15" s="207"/>
      <c r="K15" s="207"/>
      <c r="L15" s="206">
        <f>227/255</f>
        <v>0.8901960784</v>
      </c>
      <c r="M15" s="206">
        <v>0.1</v>
      </c>
      <c r="N15" s="206">
        <v>0.01</v>
      </c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8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6">
        <v>0.14</v>
      </c>
      <c r="AU15" s="206">
        <v>0.33</v>
      </c>
      <c r="AV15" s="206">
        <v>0.25</v>
      </c>
      <c r="AW15" s="206">
        <v>0.15</v>
      </c>
      <c r="AX15" s="206">
        <v>0.07</v>
      </c>
      <c r="AY15" s="206">
        <v>0.04</v>
      </c>
      <c r="AZ15" s="206">
        <v>0.02</v>
      </c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</row>
    <row r="16" ht="15.75" customHeight="1">
      <c r="A16" s="43" t="s">
        <v>65</v>
      </c>
      <c r="B16" s="205"/>
      <c r="C16" s="205"/>
      <c r="D16" s="207"/>
      <c r="E16" s="207"/>
      <c r="F16" s="207"/>
      <c r="G16" s="207"/>
      <c r="H16" s="207"/>
      <c r="I16" s="207"/>
      <c r="J16" s="207"/>
      <c r="K16" s="207"/>
      <c r="L16" s="207"/>
      <c r="M16" s="206">
        <f>227/255</f>
        <v>0.8901960784</v>
      </c>
      <c r="N16" s="206">
        <v>0.1</v>
      </c>
      <c r="O16" s="206">
        <v>0.01</v>
      </c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8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6">
        <v>0.14</v>
      </c>
      <c r="AV16" s="206">
        <v>0.33</v>
      </c>
      <c r="AW16" s="206">
        <v>0.25</v>
      </c>
      <c r="AX16" s="206">
        <v>0.15</v>
      </c>
      <c r="AY16" s="206">
        <v>0.07</v>
      </c>
      <c r="AZ16" s="206">
        <v>0.04</v>
      </c>
      <c r="BA16" s="206">
        <v>0.02</v>
      </c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</row>
    <row r="17" ht="15.75" customHeight="1">
      <c r="A17" s="43" t="s">
        <v>66</v>
      </c>
      <c r="B17" s="205"/>
      <c r="C17" s="205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6">
        <v>0.89</v>
      </c>
      <c r="O17" s="206">
        <v>0.1</v>
      </c>
      <c r="P17" s="206">
        <v>0.01</v>
      </c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8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6">
        <v>0.14</v>
      </c>
      <c r="AW17" s="206">
        <v>0.33</v>
      </c>
      <c r="AX17" s="206">
        <v>0.25</v>
      </c>
      <c r="AY17" s="206">
        <v>0.15</v>
      </c>
      <c r="AZ17" s="206">
        <v>0.07</v>
      </c>
      <c r="BA17" s="206">
        <v>0.04</v>
      </c>
      <c r="BB17" s="206">
        <v>0.02</v>
      </c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</row>
    <row r="18" ht="15.75" customHeight="1">
      <c r="A18" s="43" t="s">
        <v>67</v>
      </c>
      <c r="B18" s="205"/>
      <c r="C18" s="205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6">
        <v>0.89</v>
      </c>
      <c r="P18" s="206">
        <v>0.1</v>
      </c>
      <c r="Q18" s="206">
        <v>0.01</v>
      </c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8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6">
        <v>0.14</v>
      </c>
      <c r="AX18" s="206">
        <v>0.33</v>
      </c>
      <c r="AY18" s="206">
        <v>0.25</v>
      </c>
      <c r="AZ18" s="206">
        <v>0.15</v>
      </c>
      <c r="BA18" s="206">
        <v>0.07</v>
      </c>
      <c r="BB18" s="206">
        <v>0.04</v>
      </c>
      <c r="BC18" s="206">
        <v>0.02</v>
      </c>
      <c r="BD18" s="207"/>
      <c r="BE18" s="207"/>
      <c r="BF18" s="207"/>
      <c r="BG18" s="207"/>
      <c r="BH18" s="207"/>
      <c r="BI18" s="207"/>
      <c r="BJ18" s="207"/>
      <c r="BK18" s="207"/>
      <c r="BL18" s="207"/>
    </row>
    <row r="19" ht="15.75" customHeight="1">
      <c r="A19" s="43" t="s">
        <v>68</v>
      </c>
      <c r="B19" s="205"/>
      <c r="C19" s="205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6">
        <v>0.89</v>
      </c>
      <c r="Q19" s="206">
        <v>0.1</v>
      </c>
      <c r="R19" s="206">
        <v>0.01</v>
      </c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8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6">
        <v>0.14</v>
      </c>
      <c r="AY19" s="206">
        <v>0.33</v>
      </c>
      <c r="AZ19" s="206">
        <v>0.25</v>
      </c>
      <c r="BA19" s="206">
        <v>0.15</v>
      </c>
      <c r="BB19" s="206">
        <v>0.07</v>
      </c>
      <c r="BC19" s="206">
        <v>0.04</v>
      </c>
      <c r="BD19" s="206">
        <v>0.02</v>
      </c>
      <c r="BE19" s="207"/>
      <c r="BF19" s="207"/>
      <c r="BG19" s="207"/>
      <c r="BH19" s="207"/>
      <c r="BI19" s="207"/>
      <c r="BJ19" s="207"/>
      <c r="BK19" s="207"/>
      <c r="BL19" s="207"/>
    </row>
    <row r="20" ht="15.75" customHeight="1">
      <c r="A20" s="43" t="s">
        <v>69</v>
      </c>
      <c r="B20" s="205"/>
      <c r="C20" s="205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6">
        <v>0.89</v>
      </c>
      <c r="R20" s="206">
        <v>0.1</v>
      </c>
      <c r="S20" s="206">
        <v>0.01</v>
      </c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8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6">
        <v>0.14</v>
      </c>
      <c r="AZ20" s="206">
        <v>0.33</v>
      </c>
      <c r="BA20" s="206">
        <v>0.25</v>
      </c>
      <c r="BB20" s="206">
        <v>0.15</v>
      </c>
      <c r="BC20" s="206">
        <v>0.07</v>
      </c>
      <c r="BD20" s="206">
        <v>0.04</v>
      </c>
      <c r="BE20" s="206">
        <v>0.02</v>
      </c>
      <c r="BF20" s="207"/>
      <c r="BG20" s="207"/>
      <c r="BH20" s="207"/>
      <c r="BI20" s="207"/>
      <c r="BJ20" s="207"/>
      <c r="BK20" s="207"/>
      <c r="BL20" s="207"/>
    </row>
    <row r="21" ht="15.75" customHeight="1">
      <c r="A21" s="43" t="s">
        <v>70</v>
      </c>
      <c r="B21" s="205"/>
      <c r="C21" s="205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6">
        <v>0.89</v>
      </c>
      <c r="S21" s="206">
        <v>0.1</v>
      </c>
      <c r="T21" s="206">
        <v>0.01</v>
      </c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8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6">
        <v>0.14</v>
      </c>
      <c r="BA21" s="206">
        <v>0.33</v>
      </c>
      <c r="BB21" s="206">
        <v>0.25</v>
      </c>
      <c r="BC21" s="206">
        <v>0.15</v>
      </c>
      <c r="BD21" s="206">
        <v>0.07</v>
      </c>
      <c r="BE21" s="206">
        <v>0.04</v>
      </c>
      <c r="BF21" s="206">
        <v>0.02</v>
      </c>
      <c r="BG21" s="207"/>
      <c r="BH21" s="207"/>
      <c r="BI21" s="207"/>
      <c r="BJ21" s="207"/>
      <c r="BK21" s="207"/>
      <c r="BL21" s="207"/>
    </row>
    <row r="22" ht="15.75" customHeight="1">
      <c r="A22" s="43" t="s">
        <v>71</v>
      </c>
      <c r="B22" s="205"/>
      <c r="C22" s="205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6">
        <f>227/255</f>
        <v>0.8901960784</v>
      </c>
      <c r="T22" s="206">
        <v>0.1</v>
      </c>
      <c r="U22" s="206">
        <v>0.01</v>
      </c>
      <c r="V22" s="207"/>
      <c r="W22" s="207"/>
      <c r="X22" s="207"/>
      <c r="Y22" s="207"/>
      <c r="Z22" s="207"/>
      <c r="AA22" s="207"/>
      <c r="AB22" s="207"/>
      <c r="AC22" s="207"/>
      <c r="AD22" s="207"/>
      <c r="AE22" s="208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6">
        <v>0.14</v>
      </c>
      <c r="BB22" s="206">
        <v>0.33</v>
      </c>
      <c r="BC22" s="206">
        <v>0.25</v>
      </c>
      <c r="BD22" s="206">
        <v>0.15</v>
      </c>
      <c r="BE22" s="206">
        <v>0.07</v>
      </c>
      <c r="BF22" s="206">
        <v>0.04</v>
      </c>
      <c r="BG22" s="206">
        <v>0.02</v>
      </c>
      <c r="BH22" s="207"/>
      <c r="BI22" s="207"/>
      <c r="BJ22" s="207"/>
      <c r="BK22" s="207"/>
      <c r="BL22" s="207"/>
    </row>
    <row r="23" ht="15.75" customHeight="1">
      <c r="A23" s="43" t="s">
        <v>72</v>
      </c>
      <c r="B23" s="205"/>
      <c r="C23" s="205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6">
        <f>227/255</f>
        <v>0.8901960784</v>
      </c>
      <c r="U23" s="206">
        <v>0.1</v>
      </c>
      <c r="V23" s="206">
        <v>0.01</v>
      </c>
      <c r="W23" s="207"/>
      <c r="X23" s="207"/>
      <c r="Y23" s="207"/>
      <c r="Z23" s="207"/>
      <c r="AA23" s="207"/>
      <c r="AB23" s="207"/>
      <c r="AC23" s="207"/>
      <c r="AD23" s="207"/>
      <c r="AE23" s="208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6">
        <v>0.14</v>
      </c>
      <c r="BC23" s="206">
        <v>0.33</v>
      </c>
      <c r="BD23" s="206">
        <v>0.25</v>
      </c>
      <c r="BE23" s="206">
        <v>0.15</v>
      </c>
      <c r="BF23" s="206">
        <v>0.07</v>
      </c>
      <c r="BG23" s="206">
        <v>0.04</v>
      </c>
      <c r="BH23" s="206">
        <v>0.02</v>
      </c>
      <c r="BI23" s="207"/>
      <c r="BJ23" s="207"/>
      <c r="BK23" s="207"/>
      <c r="BL23" s="207"/>
    </row>
    <row r="24" ht="15.75" customHeight="1">
      <c r="A24" s="43" t="s">
        <v>73</v>
      </c>
      <c r="B24" s="205"/>
      <c r="C24" s="205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6">
        <f>227/255</f>
        <v>0.8901960784</v>
      </c>
      <c r="V24" s="206">
        <v>0.1</v>
      </c>
      <c r="W24" s="206">
        <v>0.01</v>
      </c>
      <c r="X24" s="207"/>
      <c r="Y24" s="207"/>
      <c r="Z24" s="207"/>
      <c r="AA24" s="207"/>
      <c r="AB24" s="207"/>
      <c r="AC24" s="207"/>
      <c r="AD24" s="207"/>
      <c r="AE24" s="208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6">
        <v>0.14</v>
      </c>
      <c r="BD24" s="206">
        <v>0.33</v>
      </c>
      <c r="BE24" s="206">
        <v>0.25</v>
      </c>
      <c r="BF24" s="206">
        <v>0.15</v>
      </c>
      <c r="BG24" s="206">
        <v>0.07</v>
      </c>
      <c r="BH24" s="206">
        <v>0.04</v>
      </c>
      <c r="BI24" s="206">
        <v>0.02</v>
      </c>
      <c r="BJ24" s="207"/>
      <c r="BK24" s="207"/>
      <c r="BL24" s="207"/>
    </row>
    <row r="25" ht="15.75" customHeight="1">
      <c r="A25" s="43" t="s">
        <v>74</v>
      </c>
      <c r="B25" s="205"/>
      <c r="C25" s="205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6">
        <f>227/255</f>
        <v>0.8901960784</v>
      </c>
      <c r="W25" s="206">
        <v>0.1</v>
      </c>
      <c r="X25" s="206">
        <v>0.01</v>
      </c>
      <c r="Y25" s="207"/>
      <c r="Z25" s="207"/>
      <c r="AA25" s="207"/>
      <c r="AB25" s="207"/>
      <c r="AC25" s="207"/>
      <c r="AD25" s="207"/>
      <c r="AE25" s="208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6">
        <v>0.14</v>
      </c>
      <c r="BE25" s="206">
        <v>0.33</v>
      </c>
      <c r="BF25" s="206">
        <v>0.25</v>
      </c>
      <c r="BG25" s="206">
        <v>0.15</v>
      </c>
      <c r="BH25" s="206">
        <v>0.07</v>
      </c>
      <c r="BI25" s="206">
        <v>0.04</v>
      </c>
      <c r="BJ25" s="206">
        <v>0.02</v>
      </c>
      <c r="BK25" s="207"/>
      <c r="BL25" s="207"/>
    </row>
    <row r="26" ht="15.75" customHeight="1">
      <c r="A26" s="43" t="s">
        <v>75</v>
      </c>
      <c r="B26" s="205"/>
      <c r="C26" s="205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6">
        <f>227/255</f>
        <v>0.8901960784</v>
      </c>
      <c r="X26" s="206">
        <v>0.1</v>
      </c>
      <c r="Y26" s="206">
        <v>0.01</v>
      </c>
      <c r="Z26" s="207"/>
      <c r="AA26" s="207"/>
      <c r="AB26" s="207"/>
      <c r="AC26" s="207"/>
      <c r="AD26" s="207"/>
      <c r="AE26" s="208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6">
        <v>0.14</v>
      </c>
      <c r="BF26" s="206">
        <v>0.33</v>
      </c>
      <c r="BG26" s="206">
        <v>0.25</v>
      </c>
      <c r="BH26" s="206">
        <v>0.15</v>
      </c>
      <c r="BI26" s="206">
        <v>0.07</v>
      </c>
      <c r="BJ26" s="206">
        <v>0.04</v>
      </c>
      <c r="BK26" s="206">
        <v>0.02</v>
      </c>
      <c r="BL26" s="207"/>
    </row>
    <row r="27" ht="15.75" customHeight="1">
      <c r="A27" s="43" t="s">
        <v>76</v>
      </c>
      <c r="B27" s="205"/>
      <c r="C27" s="205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6">
        <f>227/255</f>
        <v>0.8901960784</v>
      </c>
      <c r="Y27" s="206">
        <v>0.1</v>
      </c>
      <c r="Z27" s="206">
        <v>0.01</v>
      </c>
      <c r="AA27" s="207"/>
      <c r="AB27" s="207"/>
      <c r="AC27" s="207"/>
      <c r="AD27" s="207"/>
      <c r="AE27" s="208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6">
        <v>0.14</v>
      </c>
      <c r="BG27" s="206">
        <v>0.33</v>
      </c>
      <c r="BH27" s="206">
        <v>0.25</v>
      </c>
      <c r="BI27" s="206">
        <v>0.15</v>
      </c>
      <c r="BJ27" s="206">
        <v>0.07</v>
      </c>
      <c r="BK27" s="206">
        <v>0.04</v>
      </c>
      <c r="BL27" s="206">
        <v>0.02</v>
      </c>
    </row>
    <row r="28" ht="15.75" customHeight="1">
      <c r="A28" s="43" t="s">
        <v>77</v>
      </c>
      <c r="B28" s="205"/>
      <c r="C28" s="205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6">
        <f>227/255</f>
        <v>0.8901960784</v>
      </c>
      <c r="Z28" s="206">
        <v>0.1</v>
      </c>
      <c r="AA28" s="206">
        <v>0.01</v>
      </c>
      <c r="AB28" s="207"/>
      <c r="AC28" s="207"/>
      <c r="AD28" s="207"/>
      <c r="AE28" s="208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6">
        <v>0.14</v>
      </c>
      <c r="BH28" s="206">
        <v>0.33</v>
      </c>
      <c r="BI28" s="206">
        <v>0.25</v>
      </c>
      <c r="BJ28" s="206">
        <v>0.15</v>
      </c>
      <c r="BK28" s="206">
        <v>0.07</v>
      </c>
      <c r="BL28" s="206">
        <v>0.04</v>
      </c>
    </row>
    <row r="29" ht="15.75" customHeight="1">
      <c r="A29" s="43" t="s">
        <v>78</v>
      </c>
      <c r="B29" s="205"/>
      <c r="C29" s="205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6">
        <v>0.89</v>
      </c>
      <c r="AA29" s="206">
        <v>0.1</v>
      </c>
      <c r="AB29" s="206">
        <v>0.01</v>
      </c>
      <c r="AC29" s="207"/>
      <c r="AD29" s="207"/>
      <c r="AE29" s="208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6">
        <v>0.14</v>
      </c>
      <c r="BI29" s="206">
        <v>0.33</v>
      </c>
      <c r="BJ29" s="206">
        <v>0.25</v>
      </c>
      <c r="BK29" s="206">
        <v>0.15</v>
      </c>
      <c r="BL29" s="206">
        <v>0.07</v>
      </c>
    </row>
    <row r="30" ht="15.75" customHeight="1">
      <c r="A30" s="43" t="s">
        <v>79</v>
      </c>
      <c r="B30" s="205"/>
      <c r="C30" s="205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6">
        <v>0.89</v>
      </c>
      <c r="AB30" s="206">
        <v>0.1</v>
      </c>
      <c r="AC30" s="206">
        <v>0.01</v>
      </c>
      <c r="AD30" s="207"/>
      <c r="AE30" s="208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6">
        <v>0.14</v>
      </c>
      <c r="BJ30" s="206">
        <v>0.33</v>
      </c>
      <c r="BK30" s="206">
        <v>0.25</v>
      </c>
      <c r="BL30" s="206">
        <v>0.15</v>
      </c>
    </row>
    <row r="31" ht="15.75" customHeight="1">
      <c r="A31" s="43" t="s">
        <v>80</v>
      </c>
      <c r="B31" s="205"/>
      <c r="C31" s="205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6">
        <v>0.89</v>
      </c>
      <c r="AC31" s="206">
        <v>0.1</v>
      </c>
      <c r="AD31" s="206">
        <v>0.01</v>
      </c>
      <c r="AE31" s="208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6">
        <v>0.14</v>
      </c>
      <c r="BK31" s="206">
        <v>0.33</v>
      </c>
      <c r="BL31" s="206">
        <v>0.25</v>
      </c>
    </row>
    <row r="32" ht="15.75" customHeight="1">
      <c r="A32" s="43" t="s">
        <v>81</v>
      </c>
      <c r="B32" s="205"/>
      <c r="C32" s="205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6">
        <v>0.89</v>
      </c>
      <c r="AD32" s="206">
        <v>0.1</v>
      </c>
      <c r="AE32" s="208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6">
        <v>0.14</v>
      </c>
      <c r="BL32" s="206">
        <v>0.33</v>
      </c>
    </row>
    <row r="33" ht="15.75" customHeight="1">
      <c r="A33" s="43" t="s">
        <v>82</v>
      </c>
      <c r="B33" s="205"/>
      <c r="C33" s="205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6">
        <v>0.89</v>
      </c>
      <c r="AE33" s="208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6">
        <v>0.14</v>
      </c>
    </row>
    <row r="34" ht="15.75" customHeight="1">
      <c r="A34" s="205"/>
      <c r="B34" s="209" t="s">
        <v>54</v>
      </c>
      <c r="C34" s="209" t="s">
        <v>170</v>
      </c>
      <c r="D34" s="209" t="s">
        <v>7</v>
      </c>
      <c r="E34" s="209" t="s">
        <v>8</v>
      </c>
      <c r="F34" s="209" t="s">
        <v>9</v>
      </c>
      <c r="G34" s="209" t="s">
        <v>10</v>
      </c>
      <c r="H34" s="209" t="s">
        <v>11</v>
      </c>
      <c r="I34" s="209" t="s">
        <v>12</v>
      </c>
      <c r="J34" s="209" t="s">
        <v>13</v>
      </c>
      <c r="K34" s="209" t="s">
        <v>63</v>
      </c>
      <c r="L34" s="209" t="s">
        <v>64</v>
      </c>
      <c r="M34" s="209" t="s">
        <v>65</v>
      </c>
      <c r="N34" s="209" t="s">
        <v>66</v>
      </c>
      <c r="O34" s="209" t="s">
        <v>67</v>
      </c>
      <c r="P34" s="209" t="s">
        <v>68</v>
      </c>
      <c r="Q34" s="209" t="s">
        <v>69</v>
      </c>
      <c r="R34" s="209" t="s">
        <v>70</v>
      </c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04"/>
      <c r="AF34" s="209" t="s">
        <v>14</v>
      </c>
      <c r="AG34" s="209" t="s">
        <v>2</v>
      </c>
      <c r="AH34" s="209" t="s">
        <v>3</v>
      </c>
      <c r="AI34" s="209" t="s">
        <v>4</v>
      </c>
      <c r="AJ34" s="209" t="s">
        <v>5</v>
      </c>
      <c r="AK34" s="209" t="s">
        <v>6</v>
      </c>
      <c r="AL34" s="209" t="s">
        <v>7</v>
      </c>
      <c r="AM34" s="209" t="s">
        <v>8</v>
      </c>
      <c r="AN34" s="209" t="s">
        <v>9</v>
      </c>
      <c r="AO34" s="209" t="s">
        <v>10</v>
      </c>
      <c r="AP34" s="209" t="s">
        <v>11</v>
      </c>
      <c r="AQ34" s="209" t="s">
        <v>12</v>
      </c>
      <c r="AR34" s="209" t="s">
        <v>13</v>
      </c>
      <c r="AS34" s="209" t="s">
        <v>63</v>
      </c>
      <c r="AT34" s="209" t="s">
        <v>64</v>
      </c>
      <c r="AU34" s="209" t="s">
        <v>65</v>
      </c>
      <c r="AV34" s="209" t="s">
        <v>66</v>
      </c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</row>
    <row r="35" ht="15.75" customHeight="1">
      <c r="A35" s="209" t="s">
        <v>2</v>
      </c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04"/>
      <c r="AF35" s="212">
        <v>0.0</v>
      </c>
      <c r="AG35" s="53">
        <f t="shared" ref="AG35:AM35" si="1">$AF35*AG2</f>
        <v>0</v>
      </c>
      <c r="AH35" s="53">
        <f t="shared" si="1"/>
        <v>0</v>
      </c>
      <c r="AI35" s="53">
        <f t="shared" si="1"/>
        <v>0</v>
      </c>
      <c r="AJ35" s="53">
        <f t="shared" si="1"/>
        <v>0</v>
      </c>
      <c r="AK35" s="53">
        <f t="shared" si="1"/>
        <v>0</v>
      </c>
      <c r="AL35" s="53">
        <f t="shared" si="1"/>
        <v>0</v>
      </c>
      <c r="AM35" s="53">
        <f t="shared" si="1"/>
        <v>0</v>
      </c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</row>
    <row r="36" ht="15.75" customHeight="1">
      <c r="A36" s="209" t="s">
        <v>3</v>
      </c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04"/>
      <c r="AF36" s="212">
        <v>0.0</v>
      </c>
      <c r="AG36" s="211"/>
      <c r="AH36" s="53">
        <f t="shared" ref="AH36:AN36" si="2">$AF36*AH3</f>
        <v>0</v>
      </c>
      <c r="AI36" s="53">
        <f t="shared" si="2"/>
        <v>0</v>
      </c>
      <c r="AJ36" s="53">
        <f t="shared" si="2"/>
        <v>0</v>
      </c>
      <c r="AK36" s="53">
        <f t="shared" si="2"/>
        <v>0</v>
      </c>
      <c r="AL36" s="53">
        <f t="shared" si="2"/>
        <v>0</v>
      </c>
      <c r="AM36" s="53">
        <f t="shared" si="2"/>
        <v>0</v>
      </c>
      <c r="AN36" s="53">
        <f t="shared" si="2"/>
        <v>0</v>
      </c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</row>
    <row r="37" ht="15.75" customHeight="1">
      <c r="A37" s="209" t="s">
        <v>4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04"/>
      <c r="AF37" s="212">
        <v>0.0</v>
      </c>
      <c r="AG37" s="207"/>
      <c r="AH37" s="211"/>
      <c r="AI37" s="53">
        <f t="shared" ref="AI37:AO37" si="3">$AF37*AI4</f>
        <v>0</v>
      </c>
      <c r="AJ37" s="53">
        <f t="shared" si="3"/>
        <v>0</v>
      </c>
      <c r="AK37" s="53">
        <f t="shared" si="3"/>
        <v>0</v>
      </c>
      <c r="AL37" s="53">
        <f t="shared" si="3"/>
        <v>0</v>
      </c>
      <c r="AM37" s="53">
        <f t="shared" si="3"/>
        <v>0</v>
      </c>
      <c r="AN37" s="53">
        <f t="shared" si="3"/>
        <v>0</v>
      </c>
      <c r="AO37" s="53">
        <f t="shared" si="3"/>
        <v>0</v>
      </c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</row>
    <row r="38" ht="15.75" customHeight="1">
      <c r="A38" s="209" t="s">
        <v>5</v>
      </c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04"/>
      <c r="AF38" s="212">
        <v>0.0</v>
      </c>
      <c r="AG38" s="207"/>
      <c r="AH38" s="211"/>
      <c r="AI38" s="211"/>
      <c r="AJ38" s="53">
        <f t="shared" ref="AJ38:AP38" si="4">$AF38*AJ5</f>
        <v>0</v>
      </c>
      <c r="AK38" s="53">
        <f t="shared" si="4"/>
        <v>0</v>
      </c>
      <c r="AL38" s="53">
        <f t="shared" si="4"/>
        <v>0</v>
      </c>
      <c r="AM38" s="53">
        <f t="shared" si="4"/>
        <v>0</v>
      </c>
      <c r="AN38" s="53">
        <f t="shared" si="4"/>
        <v>0</v>
      </c>
      <c r="AO38" s="53">
        <f t="shared" si="4"/>
        <v>0</v>
      </c>
      <c r="AP38" s="53">
        <f t="shared" si="4"/>
        <v>0</v>
      </c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</row>
    <row r="39" ht="15.75" customHeight="1">
      <c r="A39" s="209" t="s">
        <v>6</v>
      </c>
      <c r="B39" s="159"/>
      <c r="C39" s="159"/>
      <c r="D39" s="53">
        <f>$B39*D6</f>
        <v>0</v>
      </c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04"/>
      <c r="AF39" s="212">
        <v>0.0</v>
      </c>
      <c r="AG39" s="207"/>
      <c r="AH39" s="211"/>
      <c r="AI39" s="211"/>
      <c r="AJ39" s="211"/>
      <c r="AK39" s="53">
        <f t="shared" ref="AK39:AQ39" si="5">$AF39*AK6</f>
        <v>0</v>
      </c>
      <c r="AL39" s="53">
        <f t="shared" si="5"/>
        <v>0</v>
      </c>
      <c r="AM39" s="53">
        <f t="shared" si="5"/>
        <v>0</v>
      </c>
      <c r="AN39" s="53">
        <f t="shared" si="5"/>
        <v>0</v>
      </c>
      <c r="AO39" s="53">
        <f t="shared" si="5"/>
        <v>0</v>
      </c>
      <c r="AP39" s="53">
        <f t="shared" si="5"/>
        <v>0</v>
      </c>
      <c r="AQ39" s="53">
        <f t="shared" si="5"/>
        <v>0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</row>
    <row r="40" ht="15.75" customHeight="1">
      <c r="A40" s="209" t="s">
        <v>7</v>
      </c>
      <c r="B40" s="205"/>
      <c r="C40" s="207"/>
      <c r="D40" s="53">
        <f t="shared" ref="D40:F40" si="6">$B40*D7*$C40</f>
        <v>0</v>
      </c>
      <c r="E40" s="53">
        <f t="shared" si="6"/>
        <v>0</v>
      </c>
      <c r="F40" s="53">
        <f t="shared" si="6"/>
        <v>0</v>
      </c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5"/>
      <c r="AF40" s="216">
        <f t="array" ref="AF40:AF66">transpose(D67:AD67)</f>
        <v>0</v>
      </c>
      <c r="AG40" s="207"/>
      <c r="AH40" s="211"/>
      <c r="AI40" s="211"/>
      <c r="AJ40" s="211"/>
      <c r="AK40" s="211"/>
      <c r="AL40" s="53">
        <f t="shared" ref="AL40:AR40" si="7">$AF40*AL7</f>
        <v>0</v>
      </c>
      <c r="AM40" s="53">
        <f t="shared" si="7"/>
        <v>0</v>
      </c>
      <c r="AN40" s="53">
        <f t="shared" si="7"/>
        <v>0</v>
      </c>
      <c r="AO40" s="53">
        <f t="shared" si="7"/>
        <v>0</v>
      </c>
      <c r="AP40" s="53">
        <f t="shared" si="7"/>
        <v>0</v>
      </c>
      <c r="AQ40" s="53">
        <f t="shared" si="7"/>
        <v>0</v>
      </c>
      <c r="AR40" s="53">
        <f t="shared" si="7"/>
        <v>0</v>
      </c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</row>
    <row r="41" ht="15.75" customHeight="1">
      <c r="A41" s="209" t="s">
        <v>8</v>
      </c>
      <c r="B41" s="205"/>
      <c r="C41" s="207"/>
      <c r="D41" s="211"/>
      <c r="E41" s="53">
        <f t="shared" ref="E41:G41" si="8">$B41*E8*$C41</f>
        <v>0</v>
      </c>
      <c r="F41" s="53">
        <f t="shared" si="8"/>
        <v>0</v>
      </c>
      <c r="G41" s="53">
        <f t="shared" si="8"/>
        <v>0</v>
      </c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7"/>
      <c r="AF41" s="53">
        <v>0.0</v>
      </c>
      <c r="AG41" s="207"/>
      <c r="AH41" s="211"/>
      <c r="AI41" s="211"/>
      <c r="AJ41" s="211"/>
      <c r="AK41" s="211"/>
      <c r="AL41" s="211"/>
      <c r="AM41" s="53">
        <f t="shared" ref="AM41:AS41" si="9">$AF41*AM8</f>
        <v>0</v>
      </c>
      <c r="AN41" s="53">
        <f t="shared" si="9"/>
        <v>0</v>
      </c>
      <c r="AO41" s="53">
        <f t="shared" si="9"/>
        <v>0</v>
      </c>
      <c r="AP41" s="53">
        <f t="shared" si="9"/>
        <v>0</v>
      </c>
      <c r="AQ41" s="53">
        <f t="shared" si="9"/>
        <v>0</v>
      </c>
      <c r="AR41" s="53">
        <f t="shared" si="9"/>
        <v>0</v>
      </c>
      <c r="AS41" s="53">
        <f t="shared" si="9"/>
        <v>0</v>
      </c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</row>
    <row r="42" ht="15.75" customHeight="1">
      <c r="A42" s="209" t="s">
        <v>9</v>
      </c>
      <c r="B42" s="205"/>
      <c r="C42" s="207"/>
      <c r="D42" s="205"/>
      <c r="E42" s="211"/>
      <c r="F42" s="53">
        <f t="shared" ref="F42:H42" si="10">$B42*F9*$C42</f>
        <v>0</v>
      </c>
      <c r="G42" s="53">
        <f t="shared" si="10"/>
        <v>0</v>
      </c>
      <c r="H42" s="53">
        <f t="shared" si="10"/>
        <v>0</v>
      </c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7"/>
      <c r="AF42" s="53">
        <v>0.0</v>
      </c>
      <c r="AG42" s="207"/>
      <c r="AH42" s="211"/>
      <c r="AI42" s="211"/>
      <c r="AJ42" s="211"/>
      <c r="AK42" s="211"/>
      <c r="AL42" s="211"/>
      <c r="AM42" s="211"/>
      <c r="AN42" s="53">
        <f t="shared" ref="AN42:AT42" si="11">$AF42*AN9</f>
        <v>0</v>
      </c>
      <c r="AO42" s="53">
        <f t="shared" si="11"/>
        <v>0</v>
      </c>
      <c r="AP42" s="53">
        <f t="shared" si="11"/>
        <v>0</v>
      </c>
      <c r="AQ42" s="53">
        <f t="shared" si="11"/>
        <v>0</v>
      </c>
      <c r="AR42" s="53">
        <f t="shared" si="11"/>
        <v>0</v>
      </c>
      <c r="AS42" s="53">
        <f t="shared" si="11"/>
        <v>0</v>
      </c>
      <c r="AT42" s="53">
        <f t="shared" si="11"/>
        <v>0</v>
      </c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</row>
    <row r="43" ht="15.75" customHeight="1">
      <c r="A43" s="209" t="s">
        <v>10</v>
      </c>
      <c r="B43" s="205"/>
      <c r="C43" s="207"/>
      <c r="D43" s="205"/>
      <c r="E43" s="205"/>
      <c r="F43" s="211"/>
      <c r="G43" s="53">
        <f t="shared" ref="G43:I43" si="12">$B43*G10*$C43</f>
        <v>0</v>
      </c>
      <c r="H43" s="53">
        <f t="shared" si="12"/>
        <v>0</v>
      </c>
      <c r="I43" s="53">
        <f t="shared" si="12"/>
        <v>0</v>
      </c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7"/>
      <c r="AF43" s="53">
        <v>0.0</v>
      </c>
      <c r="AG43" s="207"/>
      <c r="AH43" s="211"/>
      <c r="AI43" s="211"/>
      <c r="AJ43" s="211"/>
      <c r="AK43" s="211"/>
      <c r="AL43" s="211"/>
      <c r="AM43" s="211"/>
      <c r="AN43" s="211"/>
      <c r="AO43" s="53">
        <f t="shared" ref="AO43:AU43" si="13">$AF43*AO10</f>
        <v>0</v>
      </c>
      <c r="AP43" s="53">
        <f t="shared" si="13"/>
        <v>0</v>
      </c>
      <c r="AQ43" s="53">
        <f t="shared" si="13"/>
        <v>0</v>
      </c>
      <c r="AR43" s="53">
        <f t="shared" si="13"/>
        <v>0</v>
      </c>
      <c r="AS43" s="53">
        <f t="shared" si="13"/>
        <v>0</v>
      </c>
      <c r="AT43" s="53">
        <f t="shared" si="13"/>
        <v>0</v>
      </c>
      <c r="AU43" s="53">
        <f t="shared" si="13"/>
        <v>0</v>
      </c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</row>
    <row r="44" ht="15.75" customHeight="1">
      <c r="A44" s="209" t="s">
        <v>11</v>
      </c>
      <c r="B44" s="205"/>
      <c r="C44" s="207"/>
      <c r="D44" s="205"/>
      <c r="E44" s="205"/>
      <c r="F44" s="205"/>
      <c r="G44" s="205"/>
      <c r="H44" s="53">
        <f t="shared" ref="H44:J44" si="14">$B44*H11*$C44</f>
        <v>0</v>
      </c>
      <c r="I44" s="53">
        <f t="shared" si="14"/>
        <v>0</v>
      </c>
      <c r="J44" s="53">
        <f t="shared" si="14"/>
        <v>0</v>
      </c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7"/>
      <c r="AF44" s="53">
        <v>0.0</v>
      </c>
      <c r="AG44" s="207"/>
      <c r="AH44" s="211"/>
      <c r="AI44" s="211"/>
      <c r="AJ44" s="211"/>
      <c r="AK44" s="211"/>
      <c r="AL44" s="211"/>
      <c r="AM44" s="211"/>
      <c r="AN44" s="211"/>
      <c r="AO44" s="211"/>
      <c r="AP44" s="53">
        <f t="shared" ref="AP44:AV44" si="15">$AF44*AP11</f>
        <v>0</v>
      </c>
      <c r="AQ44" s="53">
        <f t="shared" si="15"/>
        <v>0</v>
      </c>
      <c r="AR44" s="53">
        <f t="shared" si="15"/>
        <v>0</v>
      </c>
      <c r="AS44" s="53">
        <f t="shared" si="15"/>
        <v>0</v>
      </c>
      <c r="AT44" s="53">
        <f t="shared" si="15"/>
        <v>0</v>
      </c>
      <c r="AU44" s="53">
        <f t="shared" si="15"/>
        <v>0</v>
      </c>
      <c r="AV44" s="53">
        <f t="shared" si="15"/>
        <v>0</v>
      </c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</row>
    <row r="45" ht="15.75" customHeight="1">
      <c r="A45" s="209" t="s">
        <v>12</v>
      </c>
      <c r="B45" s="205"/>
      <c r="C45" s="207"/>
      <c r="D45" s="205"/>
      <c r="E45" s="205"/>
      <c r="F45" s="205"/>
      <c r="G45" s="205"/>
      <c r="H45" s="205"/>
      <c r="I45" s="53">
        <f t="shared" ref="I45:K45" si="16">$B45*I12*$C45</f>
        <v>0</v>
      </c>
      <c r="J45" s="53">
        <f t="shared" si="16"/>
        <v>0</v>
      </c>
      <c r="K45" s="53">
        <f t="shared" si="16"/>
        <v>0</v>
      </c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7"/>
      <c r="AF45" s="53">
        <v>0.0</v>
      </c>
      <c r="AG45" s="207"/>
      <c r="AH45" s="211"/>
      <c r="AI45" s="211"/>
      <c r="AJ45" s="211"/>
      <c r="AK45" s="211"/>
      <c r="AL45" s="211"/>
      <c r="AM45" s="211"/>
      <c r="AN45" s="211"/>
      <c r="AO45" s="211"/>
      <c r="AP45" s="211"/>
      <c r="AQ45" s="53">
        <f t="shared" ref="AQ45:AW45" si="17">$AF45*AQ12</f>
        <v>0</v>
      </c>
      <c r="AR45" s="53">
        <f t="shared" si="17"/>
        <v>0</v>
      </c>
      <c r="AS45" s="53">
        <f t="shared" si="17"/>
        <v>0</v>
      </c>
      <c r="AT45" s="53">
        <f t="shared" si="17"/>
        <v>0</v>
      </c>
      <c r="AU45" s="53">
        <f t="shared" si="17"/>
        <v>0</v>
      </c>
      <c r="AV45" s="53">
        <f t="shared" si="17"/>
        <v>0</v>
      </c>
      <c r="AW45" s="53">
        <f t="shared" si="17"/>
        <v>0</v>
      </c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</row>
    <row r="46" ht="15.75" customHeight="1">
      <c r="A46" s="209" t="s">
        <v>13</v>
      </c>
      <c r="B46" s="236"/>
      <c r="C46" s="207"/>
      <c r="D46" s="205"/>
      <c r="E46" s="205"/>
      <c r="F46" s="205"/>
      <c r="G46" s="205"/>
      <c r="H46" s="205"/>
      <c r="I46" s="205"/>
      <c r="J46" s="53">
        <f t="shared" ref="J46:L46" si="18">$B46*J13*$C46</f>
        <v>0</v>
      </c>
      <c r="K46" s="53">
        <f t="shared" si="18"/>
        <v>0</v>
      </c>
      <c r="L46" s="53">
        <f t="shared" si="18"/>
        <v>0</v>
      </c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7"/>
      <c r="AF46" s="53">
        <v>0.0</v>
      </c>
      <c r="AG46" s="207"/>
      <c r="AH46" s="211"/>
      <c r="AI46" s="211"/>
      <c r="AJ46" s="211"/>
      <c r="AK46" s="211"/>
      <c r="AL46" s="211"/>
      <c r="AM46" s="211"/>
      <c r="AN46" s="211"/>
      <c r="AO46" s="211"/>
      <c r="AP46" s="207"/>
      <c r="AQ46" s="211"/>
      <c r="AR46" s="53">
        <f t="shared" ref="AR46:AX46" si="19">$AF46*AR13</f>
        <v>0</v>
      </c>
      <c r="AS46" s="53">
        <f t="shared" si="19"/>
        <v>0</v>
      </c>
      <c r="AT46" s="53">
        <f t="shared" si="19"/>
        <v>0</v>
      </c>
      <c r="AU46" s="53">
        <f t="shared" si="19"/>
        <v>0</v>
      </c>
      <c r="AV46" s="53">
        <f t="shared" si="19"/>
        <v>0</v>
      </c>
      <c r="AW46" s="53">
        <f t="shared" si="19"/>
        <v>0</v>
      </c>
      <c r="AX46" s="53">
        <f t="shared" si="19"/>
        <v>0</v>
      </c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</row>
    <row r="47" ht="15.75" customHeight="1">
      <c r="A47" s="209" t="s">
        <v>63</v>
      </c>
      <c r="B47" s="236"/>
      <c r="C47" s="207"/>
      <c r="D47" s="205"/>
      <c r="E47" s="205"/>
      <c r="F47" s="205"/>
      <c r="G47" s="205"/>
      <c r="H47" s="205"/>
      <c r="I47" s="205"/>
      <c r="J47" s="211"/>
      <c r="K47" s="53">
        <f t="shared" ref="K47:M47" si="20">$B47*K14*$C47</f>
        <v>0</v>
      </c>
      <c r="L47" s="53">
        <f t="shared" si="20"/>
        <v>0</v>
      </c>
      <c r="M47" s="53">
        <f t="shared" si="20"/>
        <v>0</v>
      </c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7"/>
      <c r="AF47" s="53">
        <v>0.0</v>
      </c>
      <c r="AG47" s="207"/>
      <c r="AH47" s="211"/>
      <c r="AI47" s="211"/>
      <c r="AJ47" s="211"/>
      <c r="AK47" s="211"/>
      <c r="AL47" s="211"/>
      <c r="AM47" s="211"/>
      <c r="AN47" s="211"/>
      <c r="AO47" s="211"/>
      <c r="AP47" s="207"/>
      <c r="AQ47" s="211"/>
      <c r="AR47" s="211"/>
      <c r="AS47" s="53">
        <f t="shared" ref="AS47:AY47" si="21">$AF47*AS14</f>
        <v>0</v>
      </c>
      <c r="AT47" s="53">
        <f t="shared" si="21"/>
        <v>0</v>
      </c>
      <c r="AU47" s="53">
        <f t="shared" si="21"/>
        <v>0</v>
      </c>
      <c r="AV47" s="53">
        <f t="shared" si="21"/>
        <v>0</v>
      </c>
      <c r="AW47" s="53">
        <f t="shared" si="21"/>
        <v>0</v>
      </c>
      <c r="AX47" s="53">
        <f t="shared" si="21"/>
        <v>0</v>
      </c>
      <c r="AY47" s="53">
        <f t="shared" si="21"/>
        <v>0</v>
      </c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</row>
    <row r="48" ht="15.75" customHeight="1">
      <c r="A48" s="209" t="s">
        <v>64</v>
      </c>
      <c r="B48" s="236"/>
      <c r="C48" s="207"/>
      <c r="D48" s="205"/>
      <c r="E48" s="205"/>
      <c r="F48" s="205"/>
      <c r="G48" s="205"/>
      <c r="H48" s="205"/>
      <c r="I48" s="205"/>
      <c r="J48" s="211"/>
      <c r="K48" s="211"/>
      <c r="L48" s="53">
        <f t="shared" ref="L48:N48" si="22">$B48*L15*$C48</f>
        <v>0</v>
      </c>
      <c r="M48" s="53">
        <f t="shared" si="22"/>
        <v>0</v>
      </c>
      <c r="N48" s="53">
        <f t="shared" si="22"/>
        <v>0</v>
      </c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7"/>
      <c r="AF48" s="53">
        <v>0.0</v>
      </c>
      <c r="AG48" s="207"/>
      <c r="AH48" s="211"/>
      <c r="AI48" s="211"/>
      <c r="AJ48" s="211"/>
      <c r="AK48" s="211"/>
      <c r="AL48" s="211"/>
      <c r="AM48" s="211"/>
      <c r="AN48" s="211"/>
      <c r="AO48" s="211"/>
      <c r="AP48" s="207"/>
      <c r="AQ48" s="211"/>
      <c r="AR48" s="211"/>
      <c r="AS48" s="211"/>
      <c r="AT48" s="53">
        <f t="shared" ref="AT48:AZ48" si="23">$AF48*AT15</f>
        <v>0</v>
      </c>
      <c r="AU48" s="53">
        <f t="shared" si="23"/>
        <v>0</v>
      </c>
      <c r="AV48" s="53">
        <f t="shared" si="23"/>
        <v>0</v>
      </c>
      <c r="AW48" s="53">
        <f t="shared" si="23"/>
        <v>0</v>
      </c>
      <c r="AX48" s="53">
        <f t="shared" si="23"/>
        <v>0</v>
      </c>
      <c r="AY48" s="53">
        <f t="shared" si="23"/>
        <v>0</v>
      </c>
      <c r="AZ48" s="53">
        <f t="shared" si="23"/>
        <v>0</v>
      </c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</row>
    <row r="49" ht="15.75" customHeight="1">
      <c r="A49" s="209" t="s">
        <v>65</v>
      </c>
      <c r="B49" s="236"/>
      <c r="C49" s="207"/>
      <c r="D49" s="205"/>
      <c r="E49" s="205"/>
      <c r="F49" s="205"/>
      <c r="G49" s="205"/>
      <c r="H49" s="205"/>
      <c r="I49" s="205"/>
      <c r="J49" s="211"/>
      <c r="K49" s="211"/>
      <c r="L49" s="211"/>
      <c r="M49" s="53">
        <f t="shared" ref="M49:O49" si="24">$B49*M16*$C49</f>
        <v>0</v>
      </c>
      <c r="N49" s="53">
        <f t="shared" si="24"/>
        <v>0</v>
      </c>
      <c r="O49" s="53">
        <f t="shared" si="24"/>
        <v>0</v>
      </c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7"/>
      <c r="AF49" s="53">
        <v>0.0</v>
      </c>
      <c r="AG49" s="207"/>
      <c r="AH49" s="211"/>
      <c r="AI49" s="211"/>
      <c r="AJ49" s="211"/>
      <c r="AK49" s="211"/>
      <c r="AL49" s="211"/>
      <c r="AM49" s="211"/>
      <c r="AN49" s="211"/>
      <c r="AO49" s="211"/>
      <c r="AP49" s="207"/>
      <c r="AQ49" s="211"/>
      <c r="AR49" s="211"/>
      <c r="AS49" s="211"/>
      <c r="AT49" s="211"/>
      <c r="AU49" s="53">
        <f t="shared" ref="AU49:BA49" si="25">$AF49*AU16</f>
        <v>0</v>
      </c>
      <c r="AV49" s="53">
        <f t="shared" si="25"/>
        <v>0</v>
      </c>
      <c r="AW49" s="53">
        <f t="shared" si="25"/>
        <v>0</v>
      </c>
      <c r="AX49" s="53">
        <f t="shared" si="25"/>
        <v>0</v>
      </c>
      <c r="AY49" s="53">
        <f t="shared" si="25"/>
        <v>0</v>
      </c>
      <c r="AZ49" s="53">
        <f t="shared" si="25"/>
        <v>0</v>
      </c>
      <c r="BA49" s="53">
        <f t="shared" si="25"/>
        <v>0</v>
      </c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</row>
    <row r="50" ht="15.75" customHeight="1">
      <c r="A50" s="209" t="s">
        <v>66</v>
      </c>
      <c r="B50" s="213">
        <v>26.0</v>
      </c>
      <c r="C50" s="214">
        <v>0.15</v>
      </c>
      <c r="D50" s="205"/>
      <c r="E50" s="205"/>
      <c r="F50" s="205"/>
      <c r="G50" s="205"/>
      <c r="H50" s="205"/>
      <c r="I50" s="205"/>
      <c r="J50" s="211"/>
      <c r="K50" s="211"/>
      <c r="L50" s="211"/>
      <c r="M50" s="211"/>
      <c r="N50" s="53">
        <f t="shared" ref="N50:P50" si="26">$B50*N17*$C50</f>
        <v>3.471</v>
      </c>
      <c r="O50" s="53">
        <f t="shared" si="26"/>
        <v>0.39</v>
      </c>
      <c r="P50" s="53">
        <f t="shared" si="26"/>
        <v>0.039</v>
      </c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7"/>
      <c r="AF50" s="53">
        <v>3.471</v>
      </c>
      <c r="AG50" s="207"/>
      <c r="AH50" s="211"/>
      <c r="AI50" s="211"/>
      <c r="AJ50" s="211"/>
      <c r="AK50" s="211"/>
      <c r="AL50" s="211"/>
      <c r="AM50" s="211"/>
      <c r="AN50" s="211"/>
      <c r="AO50" s="211"/>
      <c r="AP50" s="207"/>
      <c r="AQ50" s="211"/>
      <c r="AR50" s="211"/>
      <c r="AS50" s="211"/>
      <c r="AT50" s="211"/>
      <c r="AU50" s="211"/>
      <c r="AV50" s="53">
        <f t="shared" ref="AV50:BB50" si="27">$AF50*AV17</f>
        <v>0.48594</v>
      </c>
      <c r="AW50" s="53">
        <f t="shared" si="27"/>
        <v>1.14543</v>
      </c>
      <c r="AX50" s="53">
        <f t="shared" si="27"/>
        <v>0.86775</v>
      </c>
      <c r="AY50" s="53">
        <f t="shared" si="27"/>
        <v>0.52065</v>
      </c>
      <c r="AZ50" s="53">
        <f t="shared" si="27"/>
        <v>0.24297</v>
      </c>
      <c r="BA50" s="53">
        <f t="shared" si="27"/>
        <v>0.13884</v>
      </c>
      <c r="BB50" s="53">
        <f t="shared" si="27"/>
        <v>0.06942</v>
      </c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</row>
    <row r="51" ht="15.75" customHeight="1">
      <c r="A51" s="209" t="s">
        <v>67</v>
      </c>
      <c r="B51" s="213">
        <v>10.0</v>
      </c>
      <c r="C51" s="214">
        <v>0.15</v>
      </c>
      <c r="D51" s="205"/>
      <c r="E51" s="205"/>
      <c r="F51" s="205"/>
      <c r="G51" s="205"/>
      <c r="H51" s="205"/>
      <c r="I51" s="205"/>
      <c r="J51" s="211"/>
      <c r="K51" s="211"/>
      <c r="L51" s="211"/>
      <c r="M51" s="211"/>
      <c r="N51" s="211"/>
      <c r="O51" s="53">
        <f t="shared" ref="O51:Q51" si="28">$B51*O18*$C51</f>
        <v>1.335</v>
      </c>
      <c r="P51" s="53">
        <f t="shared" si="28"/>
        <v>0.15</v>
      </c>
      <c r="Q51" s="53">
        <f t="shared" si="28"/>
        <v>0.015</v>
      </c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7"/>
      <c r="AF51" s="53">
        <v>1.725</v>
      </c>
      <c r="AG51" s="207"/>
      <c r="AH51" s="211"/>
      <c r="AI51" s="211"/>
      <c r="AJ51" s="211"/>
      <c r="AK51" s="211"/>
      <c r="AL51" s="211"/>
      <c r="AM51" s="211"/>
      <c r="AN51" s="211"/>
      <c r="AO51" s="211"/>
      <c r="AP51" s="207"/>
      <c r="AQ51" s="211"/>
      <c r="AR51" s="211"/>
      <c r="AS51" s="211"/>
      <c r="AT51" s="211"/>
      <c r="AU51" s="211"/>
      <c r="AV51" s="211"/>
      <c r="AW51" s="53">
        <f t="shared" ref="AW51:BC51" si="29">$AF51*AW18</f>
        <v>0.2415</v>
      </c>
      <c r="AX51" s="53">
        <f t="shared" si="29"/>
        <v>0.56925</v>
      </c>
      <c r="AY51" s="53">
        <f t="shared" si="29"/>
        <v>0.43125</v>
      </c>
      <c r="AZ51" s="53">
        <f t="shared" si="29"/>
        <v>0.25875</v>
      </c>
      <c r="BA51" s="53">
        <f t="shared" si="29"/>
        <v>0.12075</v>
      </c>
      <c r="BB51" s="53">
        <f t="shared" si="29"/>
        <v>0.069</v>
      </c>
      <c r="BC51" s="53">
        <f t="shared" si="29"/>
        <v>0.0345</v>
      </c>
      <c r="BD51" s="211"/>
      <c r="BE51" s="211"/>
      <c r="BF51" s="211"/>
      <c r="BG51" s="211"/>
      <c r="BH51" s="211"/>
      <c r="BI51" s="211"/>
      <c r="BJ51" s="211"/>
      <c r="BK51" s="211"/>
      <c r="BL51" s="211"/>
    </row>
    <row r="52" ht="15.75" customHeight="1">
      <c r="A52" s="209" t="s">
        <v>68</v>
      </c>
      <c r="B52" s="213">
        <v>10.0</v>
      </c>
      <c r="C52" s="214">
        <v>0.15</v>
      </c>
      <c r="D52" s="205"/>
      <c r="E52" s="205"/>
      <c r="F52" s="205"/>
      <c r="G52" s="205"/>
      <c r="H52" s="205"/>
      <c r="I52" s="205"/>
      <c r="J52" s="211"/>
      <c r="K52" s="211"/>
      <c r="L52" s="211"/>
      <c r="M52" s="211"/>
      <c r="N52" s="211"/>
      <c r="O52" s="211"/>
      <c r="P52" s="53">
        <f t="shared" ref="P52:R52" si="30">$B52*P19*$C52</f>
        <v>1.335</v>
      </c>
      <c r="Q52" s="53">
        <f t="shared" si="30"/>
        <v>0.15</v>
      </c>
      <c r="R52" s="53">
        <f t="shared" si="30"/>
        <v>0.015</v>
      </c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7"/>
      <c r="AF52" s="53">
        <v>1.524</v>
      </c>
      <c r="AG52" s="211"/>
      <c r="AH52" s="211"/>
      <c r="AI52" s="211"/>
      <c r="AJ52" s="211"/>
      <c r="AK52" s="211"/>
      <c r="AL52" s="211"/>
      <c r="AM52" s="211"/>
      <c r="AN52" s="211"/>
      <c r="AO52" s="211"/>
      <c r="AP52" s="207"/>
      <c r="AQ52" s="211"/>
      <c r="AR52" s="211"/>
      <c r="AS52" s="211"/>
      <c r="AT52" s="211"/>
      <c r="AU52" s="211"/>
      <c r="AV52" s="211"/>
      <c r="AW52" s="211"/>
      <c r="AX52" s="53">
        <f t="shared" ref="AX52:BD52" si="31">$AF52*AX19</f>
        <v>0.21336</v>
      </c>
      <c r="AY52" s="53">
        <f t="shared" si="31"/>
        <v>0.50292</v>
      </c>
      <c r="AZ52" s="53">
        <f t="shared" si="31"/>
        <v>0.381</v>
      </c>
      <c r="BA52" s="53">
        <f t="shared" si="31"/>
        <v>0.2286</v>
      </c>
      <c r="BB52" s="53">
        <f t="shared" si="31"/>
        <v>0.10668</v>
      </c>
      <c r="BC52" s="53">
        <f t="shared" si="31"/>
        <v>0.06096</v>
      </c>
      <c r="BD52" s="53">
        <f t="shared" si="31"/>
        <v>0.03048</v>
      </c>
      <c r="BE52" s="211"/>
      <c r="BF52" s="211"/>
      <c r="BG52" s="211"/>
      <c r="BH52" s="211"/>
      <c r="BI52" s="211"/>
      <c r="BJ52" s="211"/>
      <c r="BK52" s="211"/>
      <c r="BL52" s="211"/>
    </row>
    <row r="53" ht="15.75" customHeight="1">
      <c r="A53" s="209" t="s">
        <v>69</v>
      </c>
      <c r="B53" s="213">
        <v>15.0</v>
      </c>
      <c r="C53" s="214">
        <v>0.15</v>
      </c>
      <c r="D53" s="205"/>
      <c r="E53" s="205"/>
      <c r="F53" s="205"/>
      <c r="G53" s="205"/>
      <c r="H53" s="205"/>
      <c r="I53" s="205"/>
      <c r="J53" s="211"/>
      <c r="K53" s="211"/>
      <c r="L53" s="211"/>
      <c r="M53" s="211"/>
      <c r="N53" s="211"/>
      <c r="O53" s="211"/>
      <c r="P53" s="211"/>
      <c r="Q53" s="53">
        <f t="shared" ref="Q53:S53" si="32">$B53*Q20*$C53</f>
        <v>2.0025</v>
      </c>
      <c r="R53" s="53">
        <f t="shared" si="32"/>
        <v>0.225</v>
      </c>
      <c r="S53" s="53">
        <f t="shared" si="32"/>
        <v>0.0225</v>
      </c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7"/>
      <c r="AF53" s="53">
        <v>2.1675</v>
      </c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53">
        <f t="shared" ref="AY53:BE53" si="33">$AF53*AY20</f>
        <v>0.30345</v>
      </c>
      <c r="AZ53" s="53">
        <f t="shared" si="33"/>
        <v>0.715275</v>
      </c>
      <c r="BA53" s="53">
        <f t="shared" si="33"/>
        <v>0.541875</v>
      </c>
      <c r="BB53" s="53">
        <f t="shared" si="33"/>
        <v>0.325125</v>
      </c>
      <c r="BC53" s="53">
        <f t="shared" si="33"/>
        <v>0.151725</v>
      </c>
      <c r="BD53" s="53">
        <f t="shared" si="33"/>
        <v>0.0867</v>
      </c>
      <c r="BE53" s="53">
        <f t="shared" si="33"/>
        <v>0.04335</v>
      </c>
      <c r="BF53" s="211"/>
      <c r="BG53" s="211"/>
      <c r="BH53" s="211"/>
      <c r="BI53" s="211"/>
      <c r="BJ53" s="211"/>
      <c r="BK53" s="211"/>
      <c r="BL53" s="211"/>
    </row>
    <row r="54" ht="15.75" customHeight="1">
      <c r="A54" s="218" t="s">
        <v>70</v>
      </c>
      <c r="B54" s="213">
        <v>15.0</v>
      </c>
      <c r="C54" s="214">
        <v>0.15</v>
      </c>
      <c r="D54" s="205"/>
      <c r="E54" s="205"/>
      <c r="F54" s="205"/>
      <c r="G54" s="205"/>
      <c r="H54" s="205"/>
      <c r="I54" s="205"/>
      <c r="J54" s="211"/>
      <c r="K54" s="211"/>
      <c r="L54" s="211"/>
      <c r="M54" s="211"/>
      <c r="N54" s="211"/>
      <c r="O54" s="211"/>
      <c r="P54" s="211"/>
      <c r="Q54" s="211"/>
      <c r="R54" s="53">
        <f t="shared" ref="R54:T54" si="34">$B54*R21*$C54</f>
        <v>2.0025</v>
      </c>
      <c r="S54" s="53">
        <f t="shared" si="34"/>
        <v>0.225</v>
      </c>
      <c r="T54" s="53">
        <f t="shared" si="34"/>
        <v>0.0225</v>
      </c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7"/>
      <c r="AF54" s="53">
        <v>2.2424999999999997</v>
      </c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53">
        <f t="shared" ref="AZ54:BF54" si="35">$AF54*AZ21</f>
        <v>0.31395</v>
      </c>
      <c r="BA54" s="53">
        <f t="shared" si="35"/>
        <v>0.740025</v>
      </c>
      <c r="BB54" s="53">
        <f t="shared" si="35"/>
        <v>0.560625</v>
      </c>
      <c r="BC54" s="53">
        <f t="shared" si="35"/>
        <v>0.336375</v>
      </c>
      <c r="BD54" s="53">
        <f t="shared" si="35"/>
        <v>0.156975</v>
      </c>
      <c r="BE54" s="53">
        <f t="shared" si="35"/>
        <v>0.0897</v>
      </c>
      <c r="BF54" s="53">
        <f t="shared" si="35"/>
        <v>0.04485</v>
      </c>
      <c r="BG54" s="211"/>
      <c r="BH54" s="211"/>
      <c r="BI54" s="211"/>
      <c r="BJ54" s="211"/>
      <c r="BK54" s="211"/>
      <c r="BL54" s="211"/>
    </row>
    <row r="55" ht="15.75" customHeight="1">
      <c r="A55" s="209" t="s">
        <v>71</v>
      </c>
      <c r="B55" s="213">
        <v>15.0</v>
      </c>
      <c r="C55" s="214">
        <v>0.15</v>
      </c>
      <c r="D55" s="205"/>
      <c r="E55" s="205"/>
      <c r="F55" s="205"/>
      <c r="G55" s="205"/>
      <c r="H55" s="205"/>
      <c r="I55" s="205"/>
      <c r="J55" s="211"/>
      <c r="K55" s="211"/>
      <c r="L55" s="211"/>
      <c r="M55" s="211"/>
      <c r="N55" s="211"/>
      <c r="O55" s="211"/>
      <c r="P55" s="211"/>
      <c r="Q55" s="211"/>
      <c r="R55" s="211"/>
      <c r="S55" s="53">
        <f t="shared" ref="S55:U55" si="36">$B55*S22*$C55</f>
        <v>2.002941176</v>
      </c>
      <c r="T55" s="53">
        <f t="shared" si="36"/>
        <v>0.225</v>
      </c>
      <c r="U55" s="53">
        <f t="shared" si="36"/>
        <v>0.0225</v>
      </c>
      <c r="V55" s="211"/>
      <c r="W55" s="211"/>
      <c r="X55" s="211"/>
      <c r="Y55" s="211"/>
      <c r="Z55" s="211"/>
      <c r="AA55" s="211"/>
      <c r="AB55" s="211"/>
      <c r="AC55" s="211"/>
      <c r="AD55" s="211"/>
      <c r="AE55" s="217"/>
      <c r="AF55" s="53">
        <v>2.250441176470588</v>
      </c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07"/>
      <c r="AZ55" s="211"/>
      <c r="BA55" s="53">
        <f t="shared" ref="BA55:BG55" si="37">$AF55*BA22</f>
        <v>0.3150617647</v>
      </c>
      <c r="BB55" s="53">
        <f t="shared" si="37"/>
        <v>0.7426455882</v>
      </c>
      <c r="BC55" s="53">
        <f t="shared" si="37"/>
        <v>0.5626102941</v>
      </c>
      <c r="BD55" s="53">
        <f t="shared" si="37"/>
        <v>0.3375661765</v>
      </c>
      <c r="BE55" s="53">
        <f t="shared" si="37"/>
        <v>0.1575308824</v>
      </c>
      <c r="BF55" s="53">
        <f t="shared" si="37"/>
        <v>0.09001764706</v>
      </c>
      <c r="BG55" s="53">
        <f t="shared" si="37"/>
        <v>0.04500882353</v>
      </c>
      <c r="BH55" s="211"/>
      <c r="BI55" s="211"/>
      <c r="BJ55" s="211"/>
      <c r="BK55" s="211"/>
      <c r="BL55" s="211"/>
    </row>
    <row r="56" ht="15.75" customHeight="1">
      <c r="A56" s="209" t="s">
        <v>72</v>
      </c>
      <c r="B56" s="213">
        <v>15.0</v>
      </c>
      <c r="C56" s="214">
        <v>0.15</v>
      </c>
      <c r="D56" s="205"/>
      <c r="E56" s="205"/>
      <c r="F56" s="205"/>
      <c r="G56" s="205"/>
      <c r="H56" s="205"/>
      <c r="I56" s="205"/>
      <c r="J56" s="211"/>
      <c r="K56" s="211"/>
      <c r="L56" s="211"/>
      <c r="M56" s="211"/>
      <c r="N56" s="211"/>
      <c r="O56" s="211"/>
      <c r="P56" s="211"/>
      <c r="Q56" s="211"/>
      <c r="R56" s="211"/>
      <c r="S56" s="205"/>
      <c r="T56" s="53">
        <f t="shared" ref="T56:V56" si="38">$B56*T23*$C56</f>
        <v>2.002941176</v>
      </c>
      <c r="U56" s="53">
        <f t="shared" si="38"/>
        <v>0.225</v>
      </c>
      <c r="V56" s="53">
        <f t="shared" si="38"/>
        <v>0.0225</v>
      </c>
      <c r="W56" s="211"/>
      <c r="X56" s="211"/>
      <c r="Y56" s="211"/>
      <c r="Z56" s="211"/>
      <c r="AA56" s="211"/>
      <c r="AB56" s="211"/>
      <c r="AC56" s="211"/>
      <c r="AD56" s="211"/>
      <c r="AE56" s="217"/>
      <c r="AF56" s="53">
        <v>2.250441176470588</v>
      </c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07"/>
      <c r="AZ56" s="211"/>
      <c r="BA56" s="211"/>
      <c r="BB56" s="53">
        <f t="shared" ref="BB56:BH56" si="39">$AF56*BB23</f>
        <v>0.3150617647</v>
      </c>
      <c r="BC56" s="53">
        <f t="shared" si="39"/>
        <v>0.7426455882</v>
      </c>
      <c r="BD56" s="53">
        <f t="shared" si="39"/>
        <v>0.5626102941</v>
      </c>
      <c r="BE56" s="53">
        <f t="shared" si="39"/>
        <v>0.3375661765</v>
      </c>
      <c r="BF56" s="53">
        <f t="shared" si="39"/>
        <v>0.1575308824</v>
      </c>
      <c r="BG56" s="53">
        <f t="shared" si="39"/>
        <v>0.09001764706</v>
      </c>
      <c r="BH56" s="53">
        <f t="shared" si="39"/>
        <v>0.04500882353</v>
      </c>
      <c r="BI56" s="211"/>
      <c r="BJ56" s="211"/>
      <c r="BK56" s="211"/>
      <c r="BL56" s="211"/>
    </row>
    <row r="57" ht="15.75" customHeight="1">
      <c r="A57" s="209" t="s">
        <v>73</v>
      </c>
      <c r="B57" s="213">
        <v>15.0</v>
      </c>
      <c r="C57" s="214">
        <v>0.15</v>
      </c>
      <c r="D57" s="205"/>
      <c r="E57" s="205"/>
      <c r="F57" s="205"/>
      <c r="G57" s="205"/>
      <c r="H57" s="205"/>
      <c r="I57" s="205"/>
      <c r="J57" s="211"/>
      <c r="K57" s="211"/>
      <c r="L57" s="211"/>
      <c r="M57" s="211"/>
      <c r="N57" s="211"/>
      <c r="O57" s="211"/>
      <c r="P57" s="211"/>
      <c r="Q57" s="211"/>
      <c r="R57" s="211"/>
      <c r="S57" s="205"/>
      <c r="T57" s="205"/>
      <c r="U57" s="53">
        <f t="shared" ref="U57:W57" si="40">$B57*U24*$C57</f>
        <v>2.002941176</v>
      </c>
      <c r="V57" s="53">
        <f t="shared" si="40"/>
        <v>0.225</v>
      </c>
      <c r="W57" s="53">
        <f t="shared" si="40"/>
        <v>0.0225</v>
      </c>
      <c r="X57" s="211"/>
      <c r="Y57" s="211"/>
      <c r="Z57" s="211"/>
      <c r="AA57" s="211"/>
      <c r="AB57" s="211"/>
      <c r="AC57" s="211"/>
      <c r="AD57" s="211"/>
      <c r="AE57" s="217"/>
      <c r="AF57" s="53">
        <v>2.250441176470588</v>
      </c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07"/>
      <c r="AZ57" s="211"/>
      <c r="BA57" s="211"/>
      <c r="BB57" s="211"/>
      <c r="BC57" s="53">
        <f t="shared" ref="BC57:BI57" si="41">$AF57*BC24</f>
        <v>0.3150617647</v>
      </c>
      <c r="BD57" s="53">
        <f t="shared" si="41"/>
        <v>0.7426455882</v>
      </c>
      <c r="BE57" s="53">
        <f t="shared" si="41"/>
        <v>0.5626102941</v>
      </c>
      <c r="BF57" s="53">
        <f t="shared" si="41"/>
        <v>0.3375661765</v>
      </c>
      <c r="BG57" s="53">
        <f t="shared" si="41"/>
        <v>0.1575308824</v>
      </c>
      <c r="BH57" s="53">
        <f t="shared" si="41"/>
        <v>0.09001764706</v>
      </c>
      <c r="BI57" s="53">
        <f t="shared" si="41"/>
        <v>0.04500882353</v>
      </c>
      <c r="BJ57" s="211"/>
      <c r="BK57" s="211"/>
      <c r="BL57" s="211"/>
    </row>
    <row r="58" ht="15.75" customHeight="1">
      <c r="A58" s="209" t="s">
        <v>74</v>
      </c>
      <c r="B58" s="213">
        <v>15.0</v>
      </c>
      <c r="C58" s="214">
        <v>0.15</v>
      </c>
      <c r="D58" s="205"/>
      <c r="E58" s="205"/>
      <c r="F58" s="205"/>
      <c r="G58" s="205"/>
      <c r="H58" s="205"/>
      <c r="I58" s="205"/>
      <c r="J58" s="211"/>
      <c r="K58" s="211"/>
      <c r="L58" s="211"/>
      <c r="M58" s="211"/>
      <c r="N58" s="211"/>
      <c r="O58" s="211"/>
      <c r="P58" s="211"/>
      <c r="Q58" s="211"/>
      <c r="R58" s="211"/>
      <c r="S58" s="205"/>
      <c r="T58" s="205"/>
      <c r="U58" s="205"/>
      <c r="V58" s="53">
        <f t="shared" ref="V58:X58" si="42">$B58*V25*$C58</f>
        <v>2.002941176</v>
      </c>
      <c r="W58" s="53">
        <f t="shared" si="42"/>
        <v>0.225</v>
      </c>
      <c r="X58" s="53">
        <f t="shared" si="42"/>
        <v>0.0225</v>
      </c>
      <c r="Y58" s="211"/>
      <c r="Z58" s="211"/>
      <c r="AA58" s="211"/>
      <c r="AB58" s="211"/>
      <c r="AC58" s="211"/>
      <c r="AD58" s="211"/>
      <c r="AE58" s="217"/>
      <c r="AF58" s="53">
        <v>2.250441176470588</v>
      </c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07"/>
      <c r="AZ58" s="211"/>
      <c r="BA58" s="211"/>
      <c r="BB58" s="211"/>
      <c r="BC58" s="211"/>
      <c r="BD58" s="53">
        <f t="shared" ref="BD58:BJ58" si="43">$AF58*BD25</f>
        <v>0.3150617647</v>
      </c>
      <c r="BE58" s="53">
        <f t="shared" si="43"/>
        <v>0.7426455882</v>
      </c>
      <c r="BF58" s="53">
        <f t="shared" si="43"/>
        <v>0.5626102941</v>
      </c>
      <c r="BG58" s="53">
        <f t="shared" si="43"/>
        <v>0.3375661765</v>
      </c>
      <c r="BH58" s="53">
        <f t="shared" si="43"/>
        <v>0.1575308824</v>
      </c>
      <c r="BI58" s="53">
        <f t="shared" si="43"/>
        <v>0.09001764706</v>
      </c>
      <c r="BJ58" s="53">
        <f t="shared" si="43"/>
        <v>0.04500882353</v>
      </c>
      <c r="BK58" s="211"/>
      <c r="BL58" s="211"/>
    </row>
    <row r="59" ht="15.75" customHeight="1">
      <c r="A59" s="209" t="s">
        <v>75</v>
      </c>
      <c r="B59" s="213">
        <v>15.0</v>
      </c>
      <c r="C59" s="214">
        <v>0.15</v>
      </c>
      <c r="D59" s="205"/>
      <c r="E59" s="205"/>
      <c r="F59" s="205"/>
      <c r="G59" s="205"/>
      <c r="H59" s="205"/>
      <c r="I59" s="205"/>
      <c r="J59" s="211"/>
      <c r="K59" s="211"/>
      <c r="L59" s="211"/>
      <c r="M59" s="211"/>
      <c r="N59" s="211"/>
      <c r="O59" s="211"/>
      <c r="P59" s="211"/>
      <c r="Q59" s="211"/>
      <c r="R59" s="211"/>
      <c r="S59" s="205"/>
      <c r="T59" s="205"/>
      <c r="U59" s="205"/>
      <c r="V59" s="211"/>
      <c r="W59" s="53">
        <f t="shared" ref="W59:Y59" si="44">$B59*W26*$C59</f>
        <v>2.002941176</v>
      </c>
      <c r="X59" s="53">
        <f t="shared" si="44"/>
        <v>0.225</v>
      </c>
      <c r="Y59" s="53">
        <f t="shared" si="44"/>
        <v>0.0225</v>
      </c>
      <c r="Z59" s="211"/>
      <c r="AA59" s="211"/>
      <c r="AB59" s="211"/>
      <c r="AC59" s="211"/>
      <c r="AD59" s="211"/>
      <c r="AE59" s="217"/>
      <c r="AF59" s="53">
        <v>2.250441176470588</v>
      </c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07"/>
      <c r="AZ59" s="211"/>
      <c r="BA59" s="211"/>
      <c r="BB59" s="211"/>
      <c r="BC59" s="211"/>
      <c r="BD59" s="211"/>
      <c r="BE59" s="53">
        <f t="shared" ref="BE59:BK59" si="45">$AF59*BE26</f>
        <v>0.3150617647</v>
      </c>
      <c r="BF59" s="53">
        <f t="shared" si="45"/>
        <v>0.7426455882</v>
      </c>
      <c r="BG59" s="53">
        <f t="shared" si="45"/>
        <v>0.5626102941</v>
      </c>
      <c r="BH59" s="53">
        <f t="shared" si="45"/>
        <v>0.3375661765</v>
      </c>
      <c r="BI59" s="53">
        <f t="shared" si="45"/>
        <v>0.1575308824</v>
      </c>
      <c r="BJ59" s="53">
        <f t="shared" si="45"/>
        <v>0.09001764706</v>
      </c>
      <c r="BK59" s="53">
        <f t="shared" si="45"/>
        <v>0.04500882353</v>
      </c>
      <c r="BL59" s="211"/>
    </row>
    <row r="60" ht="15.75" customHeight="1">
      <c r="A60" s="209" t="s">
        <v>76</v>
      </c>
      <c r="B60" s="213">
        <v>15.0</v>
      </c>
      <c r="C60" s="214">
        <v>0.15</v>
      </c>
      <c r="D60" s="205"/>
      <c r="E60" s="205"/>
      <c r="F60" s="205"/>
      <c r="G60" s="205"/>
      <c r="H60" s="205"/>
      <c r="I60" s="205"/>
      <c r="J60" s="211"/>
      <c r="K60" s="211"/>
      <c r="L60" s="211"/>
      <c r="M60" s="211"/>
      <c r="N60" s="211"/>
      <c r="O60" s="211"/>
      <c r="P60" s="211"/>
      <c r="Q60" s="211"/>
      <c r="R60" s="211"/>
      <c r="S60" s="205"/>
      <c r="T60" s="205"/>
      <c r="U60" s="205"/>
      <c r="V60" s="211"/>
      <c r="W60" s="211"/>
      <c r="X60" s="53">
        <f t="shared" ref="X60:Z60" si="46">$B60*X27*$C60</f>
        <v>2.002941176</v>
      </c>
      <c r="Y60" s="53">
        <f t="shared" si="46"/>
        <v>0.225</v>
      </c>
      <c r="Z60" s="53">
        <f t="shared" si="46"/>
        <v>0.0225</v>
      </c>
      <c r="AA60" s="211"/>
      <c r="AB60" s="211"/>
      <c r="AC60" s="211"/>
      <c r="AD60" s="211"/>
      <c r="AE60" s="217"/>
      <c r="AF60" s="53">
        <v>2.250441176470588</v>
      </c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07"/>
      <c r="AZ60" s="211"/>
      <c r="BA60" s="211"/>
      <c r="BB60" s="211"/>
      <c r="BC60" s="211"/>
      <c r="BD60" s="211"/>
      <c r="BE60" s="211"/>
      <c r="BF60" s="53">
        <f t="shared" ref="BF60:BL60" si="47">$AF60*BF27</f>
        <v>0.3150617647</v>
      </c>
      <c r="BG60" s="53">
        <f t="shared" si="47"/>
        <v>0.7426455882</v>
      </c>
      <c r="BH60" s="53">
        <f t="shared" si="47"/>
        <v>0.5626102941</v>
      </c>
      <c r="BI60" s="53">
        <f t="shared" si="47"/>
        <v>0.3375661765</v>
      </c>
      <c r="BJ60" s="53">
        <f t="shared" si="47"/>
        <v>0.1575308824</v>
      </c>
      <c r="BK60" s="53">
        <f t="shared" si="47"/>
        <v>0.09001764706</v>
      </c>
      <c r="BL60" s="53">
        <f t="shared" si="47"/>
        <v>0.04500882353</v>
      </c>
    </row>
    <row r="61" ht="15.75" customHeight="1">
      <c r="A61" s="209" t="s">
        <v>77</v>
      </c>
      <c r="B61" s="213">
        <v>15.0</v>
      </c>
      <c r="C61" s="214">
        <v>0.15</v>
      </c>
      <c r="D61" s="205"/>
      <c r="E61" s="205"/>
      <c r="F61" s="205"/>
      <c r="G61" s="205"/>
      <c r="H61" s="205"/>
      <c r="I61" s="205"/>
      <c r="J61" s="211"/>
      <c r="K61" s="211"/>
      <c r="L61" s="211"/>
      <c r="M61" s="211"/>
      <c r="N61" s="211"/>
      <c r="O61" s="211"/>
      <c r="P61" s="211"/>
      <c r="Q61" s="211"/>
      <c r="R61" s="211"/>
      <c r="S61" s="205"/>
      <c r="T61" s="205"/>
      <c r="U61" s="205"/>
      <c r="V61" s="211"/>
      <c r="W61" s="211"/>
      <c r="X61" s="211"/>
      <c r="Y61" s="53">
        <f t="shared" ref="Y61:AA61" si="48">$B61*Y28*$C61</f>
        <v>2.002941176</v>
      </c>
      <c r="Z61" s="53">
        <f t="shared" si="48"/>
        <v>0.225</v>
      </c>
      <c r="AA61" s="53">
        <f t="shared" si="48"/>
        <v>0.0225</v>
      </c>
      <c r="AB61" s="211"/>
      <c r="AC61" s="211"/>
      <c r="AD61" s="211"/>
      <c r="AE61" s="217"/>
      <c r="AF61" s="53">
        <v>2.250441176470588</v>
      </c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07"/>
      <c r="AZ61" s="211"/>
      <c r="BA61" s="211"/>
      <c r="BB61" s="211"/>
      <c r="BC61" s="211"/>
      <c r="BD61" s="211"/>
      <c r="BE61" s="211"/>
      <c r="BF61" s="211"/>
      <c r="BG61" s="53">
        <f t="shared" ref="BG61:BL61" si="49">$AF61*BG28</f>
        <v>0.3150617647</v>
      </c>
      <c r="BH61" s="53">
        <f t="shared" si="49"/>
        <v>0.7426455882</v>
      </c>
      <c r="BI61" s="53">
        <f t="shared" si="49"/>
        <v>0.5626102941</v>
      </c>
      <c r="BJ61" s="53">
        <f t="shared" si="49"/>
        <v>0.3375661765</v>
      </c>
      <c r="BK61" s="53">
        <f t="shared" si="49"/>
        <v>0.1575308824</v>
      </c>
      <c r="BL61" s="53">
        <f t="shared" si="49"/>
        <v>0.09001764706</v>
      </c>
    </row>
    <row r="62" ht="15.75" customHeight="1">
      <c r="A62" s="209" t="s">
        <v>78</v>
      </c>
      <c r="B62" s="213">
        <v>15.0</v>
      </c>
      <c r="C62" s="214">
        <v>0.15</v>
      </c>
      <c r="D62" s="205"/>
      <c r="E62" s="205"/>
      <c r="F62" s="205"/>
      <c r="G62" s="205"/>
      <c r="H62" s="205"/>
      <c r="I62" s="205"/>
      <c r="J62" s="211"/>
      <c r="K62" s="211"/>
      <c r="L62" s="211"/>
      <c r="M62" s="211"/>
      <c r="N62" s="211"/>
      <c r="O62" s="211"/>
      <c r="P62" s="211"/>
      <c r="Q62" s="211"/>
      <c r="R62" s="211"/>
      <c r="S62" s="205"/>
      <c r="T62" s="205"/>
      <c r="U62" s="205"/>
      <c r="V62" s="211"/>
      <c r="W62" s="211"/>
      <c r="X62" s="211"/>
      <c r="Y62" s="211"/>
      <c r="Z62" s="53">
        <f t="shared" ref="Z62:AB62" si="50">$B62*Z29*$C62</f>
        <v>2.0025</v>
      </c>
      <c r="AA62" s="53">
        <f t="shared" si="50"/>
        <v>0.225</v>
      </c>
      <c r="AB62" s="53">
        <f t="shared" si="50"/>
        <v>0.0225</v>
      </c>
      <c r="AC62" s="211"/>
      <c r="AD62" s="211"/>
      <c r="AE62" s="217"/>
      <c r="AF62" s="53">
        <v>2.25</v>
      </c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53">
        <f t="shared" ref="BH62:BL62" si="51">$AF62*BH29</f>
        <v>0.315</v>
      </c>
      <c r="BI62" s="53">
        <f t="shared" si="51"/>
        <v>0.7425</v>
      </c>
      <c r="BJ62" s="53">
        <f t="shared" si="51"/>
        <v>0.5625</v>
      </c>
      <c r="BK62" s="53">
        <f t="shared" si="51"/>
        <v>0.3375</v>
      </c>
      <c r="BL62" s="53">
        <f t="shared" si="51"/>
        <v>0.1575</v>
      </c>
    </row>
    <row r="63" ht="15.75" customHeight="1">
      <c r="A63" s="209" t="s">
        <v>79</v>
      </c>
      <c r="B63" s="213">
        <v>15.0</v>
      </c>
      <c r="C63" s="214">
        <v>0.15</v>
      </c>
      <c r="D63" s="205"/>
      <c r="E63" s="205"/>
      <c r="F63" s="205"/>
      <c r="G63" s="205"/>
      <c r="H63" s="205"/>
      <c r="I63" s="205"/>
      <c r="J63" s="211"/>
      <c r="K63" s="211"/>
      <c r="L63" s="211"/>
      <c r="M63" s="211"/>
      <c r="N63" s="211"/>
      <c r="O63" s="211"/>
      <c r="P63" s="211"/>
      <c r="Q63" s="211"/>
      <c r="R63" s="211"/>
      <c r="S63" s="205"/>
      <c r="T63" s="205"/>
      <c r="U63" s="205"/>
      <c r="V63" s="211"/>
      <c r="W63" s="211"/>
      <c r="X63" s="211"/>
      <c r="Y63" s="211"/>
      <c r="Z63" s="211"/>
      <c r="AA63" s="53">
        <f t="shared" ref="AA63:AC63" si="52">$B63*AA30*$C63</f>
        <v>2.0025</v>
      </c>
      <c r="AB63" s="53">
        <f t="shared" si="52"/>
        <v>0.225</v>
      </c>
      <c r="AC63" s="53">
        <f t="shared" si="52"/>
        <v>0.0225</v>
      </c>
      <c r="AD63" s="211"/>
      <c r="AE63" s="217"/>
      <c r="AF63" s="53">
        <v>2.25</v>
      </c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53">
        <f t="shared" ref="BI63:BL63" si="53">$AF63*BI30</f>
        <v>0.315</v>
      </c>
      <c r="BJ63" s="53">
        <f t="shared" si="53"/>
        <v>0.7425</v>
      </c>
      <c r="BK63" s="53">
        <f t="shared" si="53"/>
        <v>0.5625</v>
      </c>
      <c r="BL63" s="53">
        <f t="shared" si="53"/>
        <v>0.3375</v>
      </c>
    </row>
    <row r="64" ht="15.75" customHeight="1">
      <c r="A64" s="209" t="s">
        <v>80</v>
      </c>
      <c r="B64" s="213">
        <v>15.0</v>
      </c>
      <c r="C64" s="214">
        <v>0.15</v>
      </c>
      <c r="D64" s="205"/>
      <c r="E64" s="205"/>
      <c r="F64" s="205"/>
      <c r="G64" s="205"/>
      <c r="H64" s="205"/>
      <c r="I64" s="205"/>
      <c r="J64" s="211"/>
      <c r="K64" s="211"/>
      <c r="L64" s="211"/>
      <c r="M64" s="211"/>
      <c r="N64" s="211"/>
      <c r="O64" s="211"/>
      <c r="P64" s="211"/>
      <c r="Q64" s="211"/>
      <c r="R64" s="211"/>
      <c r="S64" s="205"/>
      <c r="T64" s="205"/>
      <c r="U64" s="205"/>
      <c r="V64" s="211"/>
      <c r="W64" s="211"/>
      <c r="X64" s="211"/>
      <c r="Y64" s="211"/>
      <c r="Z64" s="211"/>
      <c r="AA64" s="211"/>
      <c r="AB64" s="53">
        <f t="shared" ref="AB64:AD64" si="54">$B64*AB31*$C64</f>
        <v>2.0025</v>
      </c>
      <c r="AC64" s="53">
        <f t="shared" si="54"/>
        <v>0.225</v>
      </c>
      <c r="AD64" s="53">
        <f t="shared" si="54"/>
        <v>0.0225</v>
      </c>
      <c r="AE64" s="217"/>
      <c r="AF64" s="53">
        <v>2.25</v>
      </c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53">
        <f t="shared" ref="BJ64:BL64" si="55">$AF64*BJ31</f>
        <v>0.315</v>
      </c>
      <c r="BK64" s="53">
        <f t="shared" si="55"/>
        <v>0.7425</v>
      </c>
      <c r="BL64" s="53">
        <f t="shared" si="55"/>
        <v>0.5625</v>
      </c>
    </row>
    <row r="65" ht="15.75" customHeight="1">
      <c r="A65" s="209" t="s">
        <v>81</v>
      </c>
      <c r="B65" s="213">
        <v>15.0</v>
      </c>
      <c r="C65" s="214">
        <v>0.15</v>
      </c>
      <c r="D65" s="205"/>
      <c r="E65" s="205"/>
      <c r="F65" s="205"/>
      <c r="G65" s="205"/>
      <c r="H65" s="205"/>
      <c r="I65" s="205"/>
      <c r="J65" s="211"/>
      <c r="K65" s="211"/>
      <c r="L65" s="211"/>
      <c r="M65" s="211"/>
      <c r="N65" s="211"/>
      <c r="O65" s="211"/>
      <c r="P65" s="211"/>
      <c r="Q65" s="211"/>
      <c r="R65" s="211"/>
      <c r="S65" s="205"/>
      <c r="T65" s="205"/>
      <c r="U65" s="205"/>
      <c r="V65" s="211"/>
      <c r="W65" s="211"/>
      <c r="X65" s="211"/>
      <c r="Y65" s="211"/>
      <c r="Z65" s="211"/>
      <c r="AA65" s="211"/>
      <c r="AB65" s="211"/>
      <c r="AC65" s="53">
        <f t="shared" ref="AC65:AD65" si="56">$B65*AC32*$C65</f>
        <v>2.0025</v>
      </c>
      <c r="AD65" s="53">
        <f t="shared" si="56"/>
        <v>0.225</v>
      </c>
      <c r="AE65" s="217"/>
      <c r="AF65" s="53">
        <v>2.25</v>
      </c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53">
        <f t="shared" ref="BK65:BL65" si="57">$AF65*BK32</f>
        <v>0.315</v>
      </c>
      <c r="BL65" s="53">
        <f t="shared" si="57"/>
        <v>0.7425</v>
      </c>
    </row>
    <row r="66" ht="15.75" customHeight="1">
      <c r="A66" s="209" t="s">
        <v>82</v>
      </c>
      <c r="B66" s="213">
        <v>15.0</v>
      </c>
      <c r="C66" s="214">
        <v>0.15</v>
      </c>
      <c r="D66" s="219"/>
      <c r="E66" s="219"/>
      <c r="F66" s="219"/>
      <c r="G66" s="219"/>
      <c r="H66" s="219"/>
      <c r="I66" s="219"/>
      <c r="J66" s="220"/>
      <c r="K66" s="220"/>
      <c r="L66" s="220"/>
      <c r="M66" s="220"/>
      <c r="N66" s="220"/>
      <c r="O66" s="221"/>
      <c r="P66" s="221"/>
      <c r="Q66" s="221"/>
      <c r="R66" s="221"/>
      <c r="S66" s="205"/>
      <c r="T66" s="205"/>
      <c r="U66" s="205"/>
      <c r="V66" s="211"/>
      <c r="W66" s="211"/>
      <c r="X66" s="211"/>
      <c r="Y66" s="211"/>
      <c r="Z66" s="211"/>
      <c r="AA66" s="211"/>
      <c r="AB66" s="211"/>
      <c r="AC66" s="211"/>
      <c r="AD66" s="53">
        <f>$B66*AD33*$C66</f>
        <v>2.0025</v>
      </c>
      <c r="AE66" s="222"/>
      <c r="AF66" s="53">
        <v>2.25</v>
      </c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3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53">
        <f>$AF66*BL33</f>
        <v>0.315</v>
      </c>
    </row>
    <row r="67" ht="15.75" customHeight="1">
      <c r="A67" s="224" t="s">
        <v>171</v>
      </c>
      <c r="B67" s="225"/>
      <c r="C67" s="225"/>
      <c r="D67" s="118">
        <f t="shared" ref="D67:AD67" si="58">sum(D39:D66)</f>
        <v>0</v>
      </c>
      <c r="E67" s="118">
        <f t="shared" si="58"/>
        <v>0</v>
      </c>
      <c r="F67" s="118">
        <f t="shared" si="58"/>
        <v>0</v>
      </c>
      <c r="G67" s="118">
        <f t="shared" si="58"/>
        <v>0</v>
      </c>
      <c r="H67" s="118">
        <f t="shared" si="58"/>
        <v>0</v>
      </c>
      <c r="I67" s="118">
        <f t="shared" si="58"/>
        <v>0</v>
      </c>
      <c r="J67" s="118">
        <f t="shared" si="58"/>
        <v>0</v>
      </c>
      <c r="K67" s="118">
        <f t="shared" si="58"/>
        <v>0</v>
      </c>
      <c r="L67" s="118">
        <f t="shared" si="58"/>
        <v>0</v>
      </c>
      <c r="M67" s="118">
        <f t="shared" si="58"/>
        <v>0</v>
      </c>
      <c r="N67" s="118">
        <f t="shared" si="58"/>
        <v>3.471</v>
      </c>
      <c r="O67" s="118">
        <f t="shared" si="58"/>
        <v>1.725</v>
      </c>
      <c r="P67" s="118">
        <f t="shared" si="58"/>
        <v>1.524</v>
      </c>
      <c r="Q67" s="118">
        <f t="shared" si="58"/>
        <v>2.1675</v>
      </c>
      <c r="R67" s="118">
        <f t="shared" si="58"/>
        <v>2.2425</v>
      </c>
      <c r="S67" s="118">
        <f t="shared" si="58"/>
        <v>2.250441176</v>
      </c>
      <c r="T67" s="118">
        <f t="shared" si="58"/>
        <v>2.250441176</v>
      </c>
      <c r="U67" s="118">
        <f t="shared" si="58"/>
        <v>2.250441176</v>
      </c>
      <c r="V67" s="118">
        <f t="shared" si="58"/>
        <v>2.250441176</v>
      </c>
      <c r="W67" s="118">
        <f t="shared" si="58"/>
        <v>2.250441176</v>
      </c>
      <c r="X67" s="118">
        <f t="shared" si="58"/>
        <v>2.250441176</v>
      </c>
      <c r="Y67" s="118">
        <f t="shared" si="58"/>
        <v>2.250441176</v>
      </c>
      <c r="Z67" s="118">
        <f t="shared" si="58"/>
        <v>2.25</v>
      </c>
      <c r="AA67" s="118">
        <f t="shared" si="58"/>
        <v>2.25</v>
      </c>
      <c r="AB67" s="118">
        <f t="shared" si="58"/>
        <v>2.25</v>
      </c>
      <c r="AC67" s="118">
        <f t="shared" si="58"/>
        <v>2.25</v>
      </c>
      <c r="AD67" s="118">
        <f t="shared" si="58"/>
        <v>2.25</v>
      </c>
      <c r="AE67" s="226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7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9"/>
    </row>
    <row r="68" ht="15.75" customHeight="1">
      <c r="A68" s="230" t="s">
        <v>172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2"/>
      <c r="AF68" s="231"/>
      <c r="AG68" s="60">
        <f t="shared" ref="AG68:BL68" si="59">sum(AG35:AG66)</f>
        <v>0</v>
      </c>
      <c r="AH68" s="60">
        <f t="shared" si="59"/>
        <v>0</v>
      </c>
      <c r="AI68" s="60">
        <f t="shared" si="59"/>
        <v>0</v>
      </c>
      <c r="AJ68" s="60">
        <f t="shared" si="59"/>
        <v>0</v>
      </c>
      <c r="AK68" s="60">
        <f t="shared" si="59"/>
        <v>0</v>
      </c>
      <c r="AL68" s="60">
        <f t="shared" si="59"/>
        <v>0</v>
      </c>
      <c r="AM68" s="60">
        <f t="shared" si="59"/>
        <v>0</v>
      </c>
      <c r="AN68" s="60">
        <f t="shared" si="59"/>
        <v>0</v>
      </c>
      <c r="AO68" s="60">
        <f t="shared" si="59"/>
        <v>0</v>
      </c>
      <c r="AP68" s="60">
        <f t="shared" si="59"/>
        <v>0</v>
      </c>
      <c r="AQ68" s="60">
        <f t="shared" si="59"/>
        <v>0</v>
      </c>
      <c r="AR68" s="60">
        <f t="shared" si="59"/>
        <v>0</v>
      </c>
      <c r="AS68" s="60">
        <f t="shared" si="59"/>
        <v>0</v>
      </c>
      <c r="AT68" s="60">
        <f t="shared" si="59"/>
        <v>0</v>
      </c>
      <c r="AU68" s="60">
        <f t="shared" si="59"/>
        <v>0</v>
      </c>
      <c r="AV68" s="60">
        <f t="shared" si="59"/>
        <v>0.48594</v>
      </c>
      <c r="AW68" s="60">
        <f t="shared" si="59"/>
        <v>1.38693</v>
      </c>
      <c r="AX68" s="60">
        <f t="shared" si="59"/>
        <v>1.65036</v>
      </c>
      <c r="AY68" s="60">
        <f t="shared" si="59"/>
        <v>1.75827</v>
      </c>
      <c r="AZ68" s="60">
        <f t="shared" si="59"/>
        <v>1.911945</v>
      </c>
      <c r="BA68" s="60">
        <f t="shared" si="59"/>
        <v>2.085151765</v>
      </c>
      <c r="BB68" s="60">
        <f t="shared" si="59"/>
        <v>2.188557353</v>
      </c>
      <c r="BC68" s="60">
        <f t="shared" si="59"/>
        <v>2.203877647</v>
      </c>
      <c r="BD68" s="60">
        <f t="shared" si="59"/>
        <v>2.232038824</v>
      </c>
      <c r="BE68" s="60">
        <f t="shared" si="59"/>
        <v>2.248464706</v>
      </c>
      <c r="BF68" s="60">
        <f t="shared" si="59"/>
        <v>2.250282353</v>
      </c>
      <c r="BG68" s="60">
        <f t="shared" si="59"/>
        <v>2.250441176</v>
      </c>
      <c r="BH68" s="60">
        <f t="shared" si="59"/>
        <v>2.250379412</v>
      </c>
      <c r="BI68" s="60">
        <f t="shared" si="59"/>
        <v>2.250233824</v>
      </c>
      <c r="BJ68" s="60">
        <f t="shared" si="59"/>
        <v>2.250123529</v>
      </c>
      <c r="BK68" s="60">
        <f t="shared" si="59"/>
        <v>2.250057353</v>
      </c>
      <c r="BL68" s="60">
        <f t="shared" si="59"/>
        <v>2.250026471</v>
      </c>
    </row>
    <row r="69" ht="15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233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234">
        <v>3.0</v>
      </c>
      <c r="AX69" s="234">
        <v>3.0</v>
      </c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</row>
    <row r="70" ht="15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233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</row>
    <row r="71" ht="15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233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</row>
    <row r="72" ht="15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23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233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</row>
    <row r="73" ht="15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23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233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</row>
    <row r="74" ht="15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23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233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233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233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</row>
    <row r="77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233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</row>
    <row r="78" ht="15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233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</row>
    <row r="79" ht="15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233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</row>
    <row r="80" ht="15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233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</row>
    <row r="81" ht="15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233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</row>
    <row r="82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233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</row>
    <row r="83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233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</row>
    <row r="84" ht="15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233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</row>
    <row r="85" ht="15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233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</row>
    <row r="86" ht="15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233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</row>
    <row r="87" ht="15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233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</row>
    <row r="88" ht="15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233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</row>
    <row r="89" ht="15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233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</row>
    <row r="90" ht="15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233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</row>
    <row r="91" ht="15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233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</row>
    <row r="92" ht="15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233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</row>
    <row r="93" ht="15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233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</row>
    <row r="94" ht="15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233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</row>
    <row r="95" ht="15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233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</row>
    <row r="96" ht="15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233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</row>
    <row r="97" ht="15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233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</row>
    <row r="98" ht="15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233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</row>
    <row r="99" ht="15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233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</row>
    <row r="100" ht="15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233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</row>
    <row r="101" ht="15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233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</row>
    <row r="102" ht="15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233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</row>
    <row r="103" ht="15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233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</row>
    <row r="104" ht="15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233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</row>
    <row r="105" ht="15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233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</row>
    <row r="106" ht="15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233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</row>
    <row r="107" ht="15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233"/>
      <c r="AF107" s="185"/>
      <c r="AG107" s="185"/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</row>
    <row r="108" ht="15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233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</row>
    <row r="109" ht="15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233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</row>
    <row r="110" ht="15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233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</row>
    <row r="111" ht="15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233"/>
      <c r="AF111" s="185"/>
      <c r="AG111" s="185"/>
      <c r="AH111" s="185"/>
      <c r="AI111" s="185"/>
      <c r="AJ111" s="185"/>
      <c r="AK111" s="185"/>
      <c r="AL111" s="185"/>
      <c r="AM111" s="185"/>
      <c r="AN111" s="185"/>
      <c r="AO111" s="185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</row>
    <row r="112" ht="15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233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</row>
    <row r="113" ht="15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233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</row>
    <row r="114" ht="15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233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</row>
    <row r="115" ht="15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233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185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</row>
    <row r="116" ht="15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233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</row>
    <row r="117" ht="15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233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185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</row>
    <row r="118" ht="15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233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185"/>
      <c r="BI118" s="185"/>
      <c r="BJ118" s="185"/>
      <c r="BK118" s="185"/>
      <c r="BL118" s="185"/>
    </row>
    <row r="119" ht="15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233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5"/>
      <c r="BL119" s="185"/>
    </row>
    <row r="120" ht="15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233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  <c r="BK120" s="185"/>
      <c r="BL120" s="185"/>
    </row>
    <row r="121" ht="15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233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</row>
    <row r="122" ht="15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233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  <c r="BH122" s="185"/>
      <c r="BI122" s="185"/>
      <c r="BJ122" s="185"/>
      <c r="BK122" s="185"/>
      <c r="BL122" s="185"/>
    </row>
    <row r="123" ht="15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233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</row>
    <row r="124" ht="15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233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  <c r="BH124" s="185"/>
      <c r="BI124" s="185"/>
      <c r="BJ124" s="185"/>
      <c r="BK124" s="185"/>
      <c r="BL124" s="185"/>
    </row>
    <row r="125" ht="15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233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</row>
    <row r="126" ht="15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233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</row>
    <row r="127" ht="15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233"/>
      <c r="AF127" s="185"/>
      <c r="AG127" s="185"/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5"/>
    </row>
    <row r="128" ht="15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233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  <c r="BD128" s="185"/>
      <c r="BE128" s="185"/>
      <c r="BF128" s="185"/>
      <c r="BG128" s="185"/>
      <c r="BH128" s="185"/>
      <c r="BI128" s="185"/>
      <c r="BJ128" s="185"/>
      <c r="BK128" s="185"/>
      <c r="BL128" s="185"/>
    </row>
    <row r="129" ht="15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233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5"/>
      <c r="BF129" s="185"/>
      <c r="BG129" s="185"/>
      <c r="BH129" s="185"/>
      <c r="BI129" s="185"/>
      <c r="BJ129" s="185"/>
      <c r="BK129" s="185"/>
      <c r="BL129" s="185"/>
    </row>
    <row r="130" ht="15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233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233"/>
      <c r="AF131" s="185"/>
      <c r="AG131" s="185"/>
      <c r="AH131" s="185"/>
      <c r="AI131" s="185"/>
      <c r="AJ131" s="185"/>
      <c r="AK131" s="185"/>
      <c r="AL131" s="185"/>
      <c r="AM131" s="185"/>
      <c r="AN131" s="185"/>
      <c r="AO131" s="185"/>
      <c r="AP131" s="185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  <c r="BA131" s="185"/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233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  <c r="AP132" s="185"/>
      <c r="AQ132" s="185"/>
      <c r="AR132" s="185"/>
      <c r="AS132" s="185"/>
      <c r="AT132" s="185"/>
      <c r="AU132" s="185"/>
      <c r="AV132" s="185"/>
      <c r="AW132" s="185"/>
      <c r="AX132" s="185"/>
      <c r="AY132" s="185"/>
      <c r="AZ132" s="185"/>
      <c r="BA132" s="185"/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233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233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233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233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5"/>
      <c r="AP136" s="185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233"/>
      <c r="AF137" s="185"/>
      <c r="AG137" s="185"/>
      <c r="AH137" s="185"/>
      <c r="AI137" s="185"/>
      <c r="AJ137" s="185"/>
      <c r="AK137" s="185"/>
      <c r="AL137" s="185"/>
      <c r="AM137" s="185"/>
      <c r="AN137" s="185"/>
      <c r="AO137" s="185"/>
      <c r="AP137" s="185"/>
      <c r="AQ137" s="185"/>
      <c r="AR137" s="185"/>
      <c r="AS137" s="185"/>
      <c r="AT137" s="185"/>
      <c r="AU137" s="185"/>
      <c r="AV137" s="185"/>
      <c r="AW137" s="185"/>
      <c r="AX137" s="185"/>
      <c r="AY137" s="185"/>
      <c r="AZ137" s="185"/>
      <c r="BA137" s="185"/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233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/>
      <c r="AT138" s="185"/>
      <c r="AU138" s="185"/>
      <c r="AV138" s="185"/>
      <c r="AW138" s="185"/>
      <c r="AX138" s="185"/>
      <c r="AY138" s="185"/>
      <c r="AZ138" s="185"/>
      <c r="BA138" s="185"/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233"/>
      <c r="AF139" s="185"/>
      <c r="AG139" s="185"/>
      <c r="AH139" s="185"/>
      <c r="AI139" s="185"/>
      <c r="AJ139" s="185"/>
      <c r="AK139" s="185"/>
      <c r="AL139" s="185"/>
      <c r="AM139" s="185"/>
      <c r="AN139" s="185"/>
      <c r="AO139" s="185"/>
      <c r="AP139" s="185"/>
      <c r="AQ139" s="185"/>
      <c r="AR139" s="185"/>
      <c r="AS139" s="185"/>
      <c r="AT139" s="185"/>
      <c r="AU139" s="185"/>
      <c r="AV139" s="185"/>
      <c r="AW139" s="185"/>
      <c r="AX139" s="185"/>
      <c r="AY139" s="185"/>
      <c r="AZ139" s="185"/>
      <c r="BA139" s="185"/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233"/>
      <c r="AF140" s="185"/>
      <c r="AG140" s="185"/>
      <c r="AH140" s="185"/>
      <c r="AI140" s="185"/>
      <c r="AJ140" s="185"/>
      <c r="AK140" s="185"/>
      <c r="AL140" s="185"/>
      <c r="AM140" s="185"/>
      <c r="AN140" s="185"/>
      <c r="AO140" s="185"/>
      <c r="AP140" s="185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233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233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233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  <c r="AP143" s="185"/>
      <c r="AQ143" s="185"/>
      <c r="AR143" s="185"/>
      <c r="AS143" s="185"/>
      <c r="AT143" s="185"/>
      <c r="AU143" s="185"/>
      <c r="AV143" s="185"/>
      <c r="AW143" s="185"/>
      <c r="AX143" s="185"/>
      <c r="AY143" s="185"/>
      <c r="AZ143" s="185"/>
      <c r="BA143" s="185"/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233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  <c r="AP144" s="185"/>
      <c r="AQ144" s="185"/>
      <c r="AR144" s="185"/>
      <c r="AS144" s="185"/>
      <c r="AT144" s="185"/>
      <c r="AU144" s="185"/>
      <c r="AV144" s="185"/>
      <c r="AW144" s="185"/>
      <c r="AX144" s="185"/>
      <c r="AY144" s="185"/>
      <c r="AZ144" s="185"/>
      <c r="BA144" s="185"/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233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/>
      <c r="AT145" s="185"/>
      <c r="AU145" s="185"/>
      <c r="AV145" s="185"/>
      <c r="AW145" s="185"/>
      <c r="AX145" s="185"/>
      <c r="AY145" s="185"/>
      <c r="AZ145" s="185"/>
      <c r="BA145" s="185"/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233"/>
      <c r="AF146" s="185"/>
      <c r="AG146" s="185"/>
      <c r="AH146" s="185"/>
      <c r="AI146" s="185"/>
      <c r="AJ146" s="185"/>
      <c r="AK146" s="185"/>
      <c r="AL146" s="185"/>
      <c r="AM146" s="185"/>
      <c r="AN146" s="185"/>
      <c r="AO146" s="185"/>
      <c r="AP146" s="185"/>
      <c r="AQ146" s="185"/>
      <c r="AR146" s="185"/>
      <c r="AS146" s="185"/>
      <c r="AT146" s="185"/>
      <c r="AU146" s="185"/>
      <c r="AV146" s="185"/>
      <c r="AW146" s="185"/>
      <c r="AX146" s="185"/>
      <c r="AY146" s="185"/>
      <c r="AZ146" s="185"/>
      <c r="BA146" s="185"/>
      <c r="BB146" s="185"/>
      <c r="BC146" s="185"/>
      <c r="BD146" s="185"/>
      <c r="BE146" s="185"/>
      <c r="BF146" s="185"/>
      <c r="BG146" s="185"/>
      <c r="BH146" s="185"/>
      <c r="BI146" s="185"/>
      <c r="BJ146" s="185"/>
      <c r="BK146" s="185"/>
      <c r="BL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233"/>
      <c r="AF147" s="185"/>
      <c r="AG147" s="185"/>
      <c r="AH147" s="185"/>
      <c r="AI147" s="185"/>
      <c r="AJ147" s="185"/>
      <c r="AK147" s="185"/>
      <c r="AL147" s="185"/>
      <c r="AM147" s="185"/>
      <c r="AN147" s="185"/>
      <c r="AO147" s="185"/>
      <c r="AP147" s="185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  <c r="BA147" s="185"/>
      <c r="BB147" s="185"/>
      <c r="BC147" s="185"/>
      <c r="BD147" s="185"/>
      <c r="BE147" s="185"/>
      <c r="BF147" s="185"/>
      <c r="BG147" s="185"/>
      <c r="BH147" s="185"/>
      <c r="BI147" s="185"/>
      <c r="BJ147" s="185"/>
      <c r="BK147" s="185"/>
      <c r="BL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233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  <c r="AP148" s="185"/>
      <c r="AQ148" s="185"/>
      <c r="AR148" s="185"/>
      <c r="AS148" s="185"/>
      <c r="AT148" s="185"/>
      <c r="AU148" s="185"/>
      <c r="AV148" s="185"/>
      <c r="AW148" s="185"/>
      <c r="AX148" s="185"/>
      <c r="AY148" s="185"/>
      <c r="AZ148" s="185"/>
      <c r="BA148" s="185"/>
      <c r="BB148" s="185"/>
      <c r="BC148" s="185"/>
      <c r="BD148" s="185"/>
      <c r="BE148" s="185"/>
      <c r="BF148" s="185"/>
      <c r="BG148" s="185"/>
      <c r="BH148" s="185"/>
      <c r="BI148" s="185"/>
      <c r="BJ148" s="185"/>
      <c r="BK148" s="185"/>
      <c r="BL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233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185"/>
      <c r="BD149" s="185"/>
      <c r="BE149" s="185"/>
      <c r="BF149" s="185"/>
      <c r="BG149" s="185"/>
      <c r="BH149" s="185"/>
      <c r="BI149" s="185"/>
      <c r="BJ149" s="185"/>
      <c r="BK149" s="185"/>
      <c r="BL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233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185"/>
      <c r="BE150" s="185"/>
      <c r="BF150" s="185"/>
      <c r="BG150" s="185"/>
      <c r="BH150" s="185"/>
      <c r="BI150" s="185"/>
      <c r="BJ150" s="185"/>
      <c r="BK150" s="185"/>
      <c r="BL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233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5"/>
      <c r="BF151" s="185"/>
      <c r="BG151" s="185"/>
      <c r="BH151" s="185"/>
      <c r="BI151" s="185"/>
      <c r="BJ151" s="185"/>
      <c r="BK151" s="185"/>
      <c r="BL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233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185"/>
      <c r="BE152" s="185"/>
      <c r="BF152" s="185"/>
      <c r="BG152" s="185"/>
      <c r="BH152" s="185"/>
      <c r="BI152" s="185"/>
      <c r="BJ152" s="185"/>
      <c r="BK152" s="185"/>
      <c r="BL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233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185"/>
      <c r="BE153" s="185"/>
      <c r="BF153" s="185"/>
      <c r="BG153" s="185"/>
      <c r="BH153" s="185"/>
      <c r="BI153" s="185"/>
      <c r="BJ153" s="185"/>
      <c r="BK153" s="185"/>
      <c r="BL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233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185"/>
      <c r="BE154" s="185"/>
      <c r="BF154" s="185"/>
      <c r="BG154" s="185"/>
      <c r="BH154" s="185"/>
      <c r="BI154" s="185"/>
      <c r="BJ154" s="185"/>
      <c r="BK154" s="185"/>
      <c r="BL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233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185"/>
      <c r="BE155" s="185"/>
      <c r="BF155" s="185"/>
      <c r="BG155" s="185"/>
      <c r="BH155" s="185"/>
      <c r="BI155" s="185"/>
      <c r="BJ155" s="185"/>
      <c r="BK155" s="185"/>
      <c r="BL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233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233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185"/>
      <c r="BE157" s="185"/>
      <c r="BF157" s="185"/>
      <c r="BG157" s="185"/>
      <c r="BH157" s="185"/>
      <c r="BI157" s="185"/>
      <c r="BJ157" s="185"/>
      <c r="BK157" s="185"/>
      <c r="BL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233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185"/>
      <c r="BE158" s="185"/>
      <c r="BF158" s="185"/>
      <c r="BG158" s="185"/>
      <c r="BH158" s="185"/>
      <c r="BI158" s="185"/>
      <c r="BJ158" s="185"/>
      <c r="BK158" s="185"/>
      <c r="BL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233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185"/>
      <c r="BE159" s="185"/>
      <c r="BF159" s="185"/>
      <c r="BG159" s="185"/>
      <c r="BH159" s="185"/>
      <c r="BI159" s="185"/>
      <c r="BJ159" s="185"/>
      <c r="BK159" s="185"/>
      <c r="BL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233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185"/>
      <c r="BE160" s="185"/>
      <c r="BF160" s="185"/>
      <c r="BG160" s="185"/>
      <c r="BH160" s="185"/>
      <c r="BI160" s="185"/>
      <c r="BJ160" s="185"/>
      <c r="BK160" s="185"/>
      <c r="BL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233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5"/>
      <c r="BF161" s="185"/>
      <c r="BG161" s="185"/>
      <c r="BH161" s="185"/>
      <c r="BI161" s="185"/>
      <c r="BJ161" s="185"/>
      <c r="BK161" s="185"/>
      <c r="BL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233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233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233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233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233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233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233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233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233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233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233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233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233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233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233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233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233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185"/>
      <c r="BE178" s="185"/>
      <c r="BF178" s="185"/>
      <c r="BG178" s="185"/>
      <c r="BH178" s="185"/>
      <c r="BI178" s="185"/>
      <c r="BJ178" s="185"/>
      <c r="BK178" s="185"/>
      <c r="BL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233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185"/>
      <c r="BI179" s="185"/>
      <c r="BJ179" s="185"/>
      <c r="BK179" s="185"/>
      <c r="BL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233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185"/>
      <c r="BI180" s="185"/>
      <c r="BJ180" s="185"/>
      <c r="BK180" s="185"/>
      <c r="BL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233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5"/>
      <c r="BF181" s="185"/>
      <c r="BG181" s="185"/>
      <c r="BH181" s="185"/>
      <c r="BI181" s="185"/>
      <c r="BJ181" s="185"/>
      <c r="BK181" s="185"/>
      <c r="BL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233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185"/>
      <c r="BI182" s="185"/>
      <c r="BJ182" s="185"/>
      <c r="BK182" s="185"/>
      <c r="BL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233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185"/>
      <c r="BI183" s="185"/>
      <c r="BJ183" s="185"/>
      <c r="BK183" s="185"/>
      <c r="BL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233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185"/>
      <c r="BI184" s="185"/>
      <c r="BJ184" s="185"/>
      <c r="BK184" s="185"/>
      <c r="BL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233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233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233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185"/>
      <c r="BE187" s="185"/>
      <c r="BF187" s="185"/>
      <c r="BG187" s="185"/>
      <c r="BH187" s="185"/>
      <c r="BI187" s="185"/>
      <c r="BJ187" s="185"/>
      <c r="BK187" s="185"/>
      <c r="BL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233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185"/>
      <c r="BE188" s="185"/>
      <c r="BF188" s="185"/>
      <c r="BG188" s="185"/>
      <c r="BH188" s="185"/>
      <c r="BI188" s="185"/>
      <c r="BJ188" s="185"/>
      <c r="BK188" s="185"/>
      <c r="BL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233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185"/>
      <c r="BE189" s="185"/>
      <c r="BF189" s="185"/>
      <c r="BG189" s="185"/>
      <c r="BH189" s="185"/>
      <c r="BI189" s="185"/>
      <c r="BJ189" s="185"/>
      <c r="BK189" s="185"/>
      <c r="BL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233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185"/>
      <c r="BE190" s="185"/>
      <c r="BF190" s="185"/>
      <c r="BG190" s="185"/>
      <c r="BH190" s="185"/>
      <c r="BI190" s="185"/>
      <c r="BJ190" s="185"/>
      <c r="BK190" s="185"/>
      <c r="BL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233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5"/>
      <c r="BF191" s="185"/>
      <c r="BG191" s="185"/>
      <c r="BH191" s="185"/>
      <c r="BI191" s="185"/>
      <c r="BJ191" s="185"/>
      <c r="BK191" s="185"/>
      <c r="BL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233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185"/>
      <c r="BE192" s="185"/>
      <c r="BF192" s="185"/>
      <c r="BG192" s="185"/>
      <c r="BH192" s="185"/>
      <c r="BI192" s="185"/>
      <c r="BJ192" s="185"/>
      <c r="BK192" s="185"/>
      <c r="BL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233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185"/>
      <c r="BE193" s="185"/>
      <c r="BF193" s="185"/>
      <c r="BG193" s="185"/>
      <c r="BH193" s="185"/>
      <c r="BI193" s="185"/>
      <c r="BJ193" s="185"/>
      <c r="BK193" s="185"/>
      <c r="BL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233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233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233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233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233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233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233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</row>
    <row r="201" ht="15.7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233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185"/>
      <c r="BE201" s="185"/>
      <c r="BF201" s="185"/>
      <c r="BG201" s="185"/>
      <c r="BH201" s="185"/>
      <c r="BI201" s="185"/>
      <c r="BJ201" s="185"/>
      <c r="BK201" s="185"/>
      <c r="BL201" s="185"/>
    </row>
    <row r="202" ht="15.7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233"/>
      <c r="AF202" s="185"/>
      <c r="AG202" s="185"/>
      <c r="AH202" s="185"/>
      <c r="AI202" s="185"/>
      <c r="AJ202" s="185"/>
      <c r="AK202" s="185"/>
      <c r="AL202" s="185"/>
      <c r="AM202" s="185"/>
      <c r="AN202" s="185"/>
      <c r="AO202" s="185"/>
      <c r="AP202" s="185"/>
      <c r="AQ202" s="185"/>
      <c r="AR202" s="185"/>
      <c r="AS202" s="185"/>
      <c r="AT202" s="185"/>
      <c r="AU202" s="185"/>
      <c r="AV202" s="185"/>
      <c r="AW202" s="185"/>
      <c r="AX202" s="185"/>
      <c r="AY202" s="185"/>
      <c r="AZ202" s="185"/>
      <c r="BA202" s="185"/>
      <c r="BB202" s="185"/>
      <c r="BC202" s="185"/>
      <c r="BD202" s="185"/>
      <c r="BE202" s="185"/>
      <c r="BF202" s="185"/>
      <c r="BG202" s="185"/>
      <c r="BH202" s="185"/>
      <c r="BI202" s="185"/>
      <c r="BJ202" s="185"/>
      <c r="BK202" s="185"/>
      <c r="BL202" s="185"/>
    </row>
    <row r="203" ht="15.7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233"/>
      <c r="AF203" s="185"/>
      <c r="AG203" s="185"/>
      <c r="AH203" s="185"/>
      <c r="AI203" s="185"/>
      <c r="AJ203" s="185"/>
      <c r="AK203" s="185"/>
      <c r="AL203" s="185"/>
      <c r="AM203" s="185"/>
      <c r="AN203" s="185"/>
      <c r="AO203" s="185"/>
      <c r="AP203" s="185"/>
      <c r="AQ203" s="185"/>
      <c r="AR203" s="185"/>
      <c r="AS203" s="185"/>
      <c r="AT203" s="185"/>
      <c r="AU203" s="185"/>
      <c r="AV203" s="185"/>
      <c r="AW203" s="185"/>
      <c r="AX203" s="185"/>
      <c r="AY203" s="185"/>
      <c r="AZ203" s="185"/>
      <c r="BA203" s="185"/>
      <c r="BB203" s="185"/>
      <c r="BC203" s="185"/>
      <c r="BD203" s="185"/>
      <c r="BE203" s="185"/>
      <c r="BF203" s="185"/>
      <c r="BG203" s="185"/>
      <c r="BH203" s="185"/>
      <c r="BI203" s="185"/>
      <c r="BJ203" s="185"/>
      <c r="BK203" s="185"/>
      <c r="BL203" s="185"/>
    </row>
    <row r="204" ht="15.7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233"/>
      <c r="AF204" s="185"/>
      <c r="AG204" s="185"/>
      <c r="AH204" s="185"/>
      <c r="AI204" s="185"/>
      <c r="AJ204" s="185"/>
      <c r="AK204" s="185"/>
      <c r="AL204" s="185"/>
      <c r="AM204" s="185"/>
      <c r="AN204" s="185"/>
      <c r="AO204" s="185"/>
      <c r="AP204" s="185"/>
      <c r="AQ204" s="185"/>
      <c r="AR204" s="185"/>
      <c r="AS204" s="185"/>
      <c r="AT204" s="185"/>
      <c r="AU204" s="185"/>
      <c r="AV204" s="185"/>
      <c r="AW204" s="185"/>
      <c r="AX204" s="185"/>
      <c r="AY204" s="185"/>
      <c r="AZ204" s="185"/>
      <c r="BA204" s="185"/>
      <c r="BB204" s="185"/>
      <c r="BC204" s="185"/>
      <c r="BD204" s="185"/>
      <c r="BE204" s="185"/>
      <c r="BF204" s="185"/>
      <c r="BG204" s="185"/>
      <c r="BH204" s="185"/>
      <c r="BI204" s="185"/>
      <c r="BJ204" s="185"/>
      <c r="BK204" s="185"/>
      <c r="BL204" s="185"/>
    </row>
    <row r="205" ht="15.7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233"/>
      <c r="AF205" s="185"/>
      <c r="AG205" s="185"/>
      <c r="AH205" s="185"/>
      <c r="AI205" s="185"/>
      <c r="AJ205" s="185"/>
      <c r="AK205" s="185"/>
      <c r="AL205" s="185"/>
      <c r="AM205" s="185"/>
      <c r="AN205" s="185"/>
      <c r="AO205" s="185"/>
      <c r="AP205" s="185"/>
      <c r="AQ205" s="185"/>
      <c r="AR205" s="185"/>
      <c r="AS205" s="185"/>
      <c r="AT205" s="185"/>
      <c r="AU205" s="185"/>
      <c r="AV205" s="185"/>
      <c r="AW205" s="185"/>
      <c r="AX205" s="185"/>
      <c r="AY205" s="185"/>
      <c r="AZ205" s="185"/>
      <c r="BA205" s="185"/>
      <c r="BB205" s="185"/>
      <c r="BC205" s="185"/>
      <c r="BD205" s="185"/>
      <c r="BE205" s="185"/>
      <c r="BF205" s="185"/>
      <c r="BG205" s="185"/>
      <c r="BH205" s="185"/>
      <c r="BI205" s="185"/>
      <c r="BJ205" s="185"/>
      <c r="BK205" s="185"/>
      <c r="BL205" s="185"/>
    </row>
    <row r="206" ht="15.7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233"/>
      <c r="AF206" s="185"/>
      <c r="AG206" s="185"/>
      <c r="AH206" s="185"/>
      <c r="AI206" s="185"/>
      <c r="AJ206" s="185"/>
      <c r="AK206" s="185"/>
      <c r="AL206" s="185"/>
      <c r="AM206" s="185"/>
      <c r="AN206" s="185"/>
      <c r="AO206" s="185"/>
      <c r="AP206" s="185"/>
      <c r="AQ206" s="185"/>
      <c r="AR206" s="185"/>
      <c r="AS206" s="185"/>
      <c r="AT206" s="185"/>
      <c r="AU206" s="185"/>
      <c r="AV206" s="185"/>
      <c r="AW206" s="185"/>
      <c r="AX206" s="185"/>
      <c r="AY206" s="185"/>
      <c r="AZ206" s="185"/>
      <c r="BA206" s="185"/>
      <c r="BB206" s="185"/>
      <c r="BC206" s="185"/>
      <c r="BD206" s="185"/>
      <c r="BE206" s="185"/>
      <c r="BF206" s="185"/>
      <c r="BG206" s="185"/>
      <c r="BH206" s="185"/>
      <c r="BI206" s="185"/>
      <c r="BJ206" s="185"/>
      <c r="BK206" s="185"/>
      <c r="BL206" s="185"/>
    </row>
    <row r="207" ht="15.7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233"/>
      <c r="AF207" s="185"/>
      <c r="AG207" s="185"/>
      <c r="AH207" s="185"/>
      <c r="AI207" s="185"/>
      <c r="AJ207" s="185"/>
      <c r="AK207" s="185"/>
      <c r="AL207" s="185"/>
      <c r="AM207" s="185"/>
      <c r="AN207" s="185"/>
      <c r="AO207" s="185"/>
      <c r="AP207" s="185"/>
      <c r="AQ207" s="185"/>
      <c r="AR207" s="185"/>
      <c r="AS207" s="185"/>
      <c r="AT207" s="185"/>
      <c r="AU207" s="185"/>
      <c r="AV207" s="185"/>
      <c r="AW207" s="185"/>
      <c r="AX207" s="185"/>
      <c r="AY207" s="185"/>
      <c r="AZ207" s="185"/>
      <c r="BA207" s="185"/>
      <c r="BB207" s="185"/>
      <c r="BC207" s="185"/>
      <c r="BD207" s="185"/>
      <c r="BE207" s="185"/>
      <c r="BF207" s="185"/>
      <c r="BG207" s="185"/>
      <c r="BH207" s="185"/>
      <c r="BI207" s="185"/>
      <c r="BJ207" s="185"/>
      <c r="BK207" s="185"/>
      <c r="BL207" s="185"/>
    </row>
    <row r="208" ht="15.7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233"/>
      <c r="AF208" s="185"/>
      <c r="AG208" s="185"/>
      <c r="AH208" s="185"/>
      <c r="AI208" s="185"/>
      <c r="AJ208" s="185"/>
      <c r="AK208" s="185"/>
      <c r="AL208" s="185"/>
      <c r="AM208" s="185"/>
      <c r="AN208" s="185"/>
      <c r="AO208" s="185"/>
      <c r="AP208" s="185"/>
      <c r="AQ208" s="185"/>
      <c r="AR208" s="185"/>
      <c r="AS208" s="185"/>
      <c r="AT208" s="185"/>
      <c r="AU208" s="185"/>
      <c r="AV208" s="185"/>
      <c r="AW208" s="185"/>
      <c r="AX208" s="185"/>
      <c r="AY208" s="185"/>
      <c r="AZ208" s="185"/>
      <c r="BA208" s="185"/>
      <c r="BB208" s="185"/>
      <c r="BC208" s="185"/>
      <c r="BD208" s="185"/>
      <c r="BE208" s="185"/>
      <c r="BF208" s="185"/>
      <c r="BG208" s="185"/>
      <c r="BH208" s="185"/>
      <c r="BI208" s="185"/>
      <c r="BJ208" s="185"/>
      <c r="BK208" s="185"/>
      <c r="BL208" s="185"/>
    </row>
    <row r="209" ht="15.7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233"/>
      <c r="AF209" s="185"/>
      <c r="AG209" s="185"/>
      <c r="AH209" s="185"/>
      <c r="AI209" s="185"/>
      <c r="AJ209" s="185"/>
      <c r="AK209" s="185"/>
      <c r="AL209" s="185"/>
      <c r="AM209" s="185"/>
      <c r="AN209" s="185"/>
      <c r="AO209" s="185"/>
      <c r="AP209" s="185"/>
      <c r="AQ209" s="185"/>
      <c r="AR209" s="185"/>
      <c r="AS209" s="185"/>
      <c r="AT209" s="185"/>
      <c r="AU209" s="185"/>
      <c r="AV209" s="185"/>
      <c r="AW209" s="185"/>
      <c r="AX209" s="185"/>
      <c r="AY209" s="185"/>
      <c r="AZ209" s="185"/>
      <c r="BA209" s="185"/>
      <c r="BB209" s="185"/>
      <c r="BC209" s="185"/>
      <c r="BD209" s="185"/>
      <c r="BE209" s="185"/>
      <c r="BF209" s="185"/>
      <c r="BG209" s="185"/>
      <c r="BH209" s="185"/>
      <c r="BI209" s="185"/>
      <c r="BJ209" s="185"/>
      <c r="BK209" s="185"/>
      <c r="BL209" s="185"/>
    </row>
    <row r="210" ht="15.7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233"/>
      <c r="AF210" s="185"/>
      <c r="AG210" s="185"/>
      <c r="AH210" s="185"/>
      <c r="AI210" s="185"/>
      <c r="AJ210" s="185"/>
      <c r="AK210" s="185"/>
      <c r="AL210" s="185"/>
      <c r="AM210" s="185"/>
      <c r="AN210" s="185"/>
      <c r="AO210" s="185"/>
      <c r="AP210" s="185"/>
      <c r="AQ210" s="185"/>
      <c r="AR210" s="185"/>
      <c r="AS210" s="185"/>
      <c r="AT210" s="185"/>
      <c r="AU210" s="185"/>
      <c r="AV210" s="185"/>
      <c r="AW210" s="185"/>
      <c r="AX210" s="185"/>
      <c r="AY210" s="185"/>
      <c r="AZ210" s="185"/>
      <c r="BA210" s="185"/>
      <c r="BB210" s="185"/>
      <c r="BC210" s="185"/>
      <c r="BD210" s="185"/>
      <c r="BE210" s="185"/>
      <c r="BF210" s="185"/>
      <c r="BG210" s="185"/>
      <c r="BH210" s="185"/>
      <c r="BI210" s="185"/>
      <c r="BJ210" s="185"/>
      <c r="BK210" s="185"/>
      <c r="BL210" s="185"/>
    </row>
    <row r="211" ht="15.7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233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  <c r="BA211" s="185"/>
      <c r="BB211" s="185"/>
      <c r="BC211" s="185"/>
      <c r="BD211" s="185"/>
      <c r="BE211" s="185"/>
      <c r="BF211" s="185"/>
      <c r="BG211" s="185"/>
      <c r="BH211" s="185"/>
      <c r="BI211" s="185"/>
      <c r="BJ211" s="185"/>
      <c r="BK211" s="185"/>
      <c r="BL211" s="185"/>
    </row>
    <row r="212" ht="15.7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233"/>
      <c r="AF212" s="185"/>
      <c r="AG212" s="185"/>
      <c r="AH212" s="185"/>
      <c r="AI212" s="185"/>
      <c r="AJ212" s="185"/>
      <c r="AK212" s="185"/>
      <c r="AL212" s="185"/>
      <c r="AM212" s="185"/>
      <c r="AN212" s="185"/>
      <c r="AO212" s="185"/>
      <c r="AP212" s="185"/>
      <c r="AQ212" s="185"/>
      <c r="AR212" s="185"/>
      <c r="AS212" s="185"/>
      <c r="AT212" s="185"/>
      <c r="AU212" s="185"/>
      <c r="AV212" s="185"/>
      <c r="AW212" s="185"/>
      <c r="AX212" s="185"/>
      <c r="AY212" s="185"/>
      <c r="AZ212" s="185"/>
      <c r="BA212" s="185"/>
      <c r="BB212" s="185"/>
      <c r="BC212" s="185"/>
      <c r="BD212" s="185"/>
      <c r="BE212" s="185"/>
      <c r="BF212" s="185"/>
      <c r="BG212" s="185"/>
      <c r="BH212" s="185"/>
      <c r="BI212" s="185"/>
      <c r="BJ212" s="185"/>
      <c r="BK212" s="185"/>
      <c r="BL212" s="185"/>
    </row>
    <row r="213" ht="15.7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233"/>
      <c r="AF213" s="185"/>
      <c r="AG213" s="185"/>
      <c r="AH213" s="185"/>
      <c r="AI213" s="185"/>
      <c r="AJ213" s="185"/>
      <c r="AK213" s="185"/>
      <c r="AL213" s="185"/>
      <c r="AM213" s="185"/>
      <c r="AN213" s="185"/>
      <c r="AO213" s="185"/>
      <c r="AP213" s="185"/>
      <c r="AQ213" s="185"/>
      <c r="AR213" s="185"/>
      <c r="AS213" s="185"/>
      <c r="AT213" s="185"/>
      <c r="AU213" s="185"/>
      <c r="AV213" s="185"/>
      <c r="AW213" s="185"/>
      <c r="AX213" s="185"/>
      <c r="AY213" s="185"/>
      <c r="AZ213" s="185"/>
      <c r="BA213" s="185"/>
      <c r="BB213" s="185"/>
      <c r="BC213" s="185"/>
      <c r="BD213" s="185"/>
      <c r="BE213" s="185"/>
      <c r="BF213" s="185"/>
      <c r="BG213" s="185"/>
      <c r="BH213" s="185"/>
      <c r="BI213" s="185"/>
      <c r="BJ213" s="185"/>
      <c r="BK213" s="185"/>
      <c r="BL213" s="185"/>
    </row>
    <row r="214" ht="15.7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233"/>
      <c r="AF214" s="185"/>
      <c r="AG214" s="185"/>
      <c r="AH214" s="185"/>
      <c r="AI214" s="185"/>
      <c r="AJ214" s="185"/>
      <c r="AK214" s="185"/>
      <c r="AL214" s="185"/>
      <c r="AM214" s="185"/>
      <c r="AN214" s="185"/>
      <c r="AO214" s="185"/>
      <c r="AP214" s="185"/>
      <c r="AQ214" s="185"/>
      <c r="AR214" s="185"/>
      <c r="AS214" s="185"/>
      <c r="AT214" s="185"/>
      <c r="AU214" s="185"/>
      <c r="AV214" s="185"/>
      <c r="AW214" s="185"/>
      <c r="AX214" s="185"/>
      <c r="AY214" s="185"/>
      <c r="AZ214" s="185"/>
      <c r="BA214" s="185"/>
      <c r="BB214" s="185"/>
      <c r="BC214" s="185"/>
      <c r="BD214" s="185"/>
      <c r="BE214" s="185"/>
      <c r="BF214" s="185"/>
      <c r="BG214" s="185"/>
      <c r="BH214" s="185"/>
      <c r="BI214" s="185"/>
      <c r="BJ214" s="185"/>
      <c r="BK214" s="185"/>
      <c r="BL214" s="185"/>
    </row>
    <row r="215" ht="15.7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233"/>
      <c r="AF215" s="185"/>
      <c r="AG215" s="185"/>
      <c r="AH215" s="185"/>
      <c r="AI215" s="185"/>
      <c r="AJ215" s="185"/>
      <c r="AK215" s="185"/>
      <c r="AL215" s="185"/>
      <c r="AM215" s="185"/>
      <c r="AN215" s="185"/>
      <c r="AO215" s="185"/>
      <c r="AP215" s="185"/>
      <c r="AQ215" s="185"/>
      <c r="AR215" s="185"/>
      <c r="AS215" s="185"/>
      <c r="AT215" s="185"/>
      <c r="AU215" s="185"/>
      <c r="AV215" s="185"/>
      <c r="AW215" s="185"/>
      <c r="AX215" s="185"/>
      <c r="AY215" s="185"/>
      <c r="AZ215" s="185"/>
      <c r="BA215" s="185"/>
      <c r="BB215" s="185"/>
      <c r="BC215" s="185"/>
      <c r="BD215" s="185"/>
      <c r="BE215" s="185"/>
      <c r="BF215" s="185"/>
      <c r="BG215" s="185"/>
      <c r="BH215" s="185"/>
      <c r="BI215" s="185"/>
      <c r="BJ215" s="185"/>
      <c r="BK215" s="185"/>
      <c r="BL215" s="185"/>
    </row>
    <row r="216" ht="15.7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233"/>
      <c r="AF216" s="185"/>
      <c r="AG216" s="185"/>
      <c r="AH216" s="185"/>
      <c r="AI216" s="185"/>
      <c r="AJ216" s="185"/>
      <c r="AK216" s="185"/>
      <c r="AL216" s="185"/>
      <c r="AM216" s="185"/>
      <c r="AN216" s="185"/>
      <c r="AO216" s="185"/>
      <c r="AP216" s="185"/>
      <c r="AQ216" s="185"/>
      <c r="AR216" s="185"/>
      <c r="AS216" s="185"/>
      <c r="AT216" s="185"/>
      <c r="AU216" s="185"/>
      <c r="AV216" s="185"/>
      <c r="AW216" s="185"/>
      <c r="AX216" s="185"/>
      <c r="AY216" s="185"/>
      <c r="AZ216" s="185"/>
      <c r="BA216" s="185"/>
      <c r="BB216" s="185"/>
      <c r="BC216" s="185"/>
      <c r="BD216" s="185"/>
      <c r="BE216" s="185"/>
      <c r="BF216" s="185"/>
      <c r="BG216" s="185"/>
      <c r="BH216" s="185"/>
      <c r="BI216" s="185"/>
      <c r="BJ216" s="185"/>
      <c r="BK216" s="185"/>
      <c r="BL216" s="185"/>
    </row>
    <row r="217" ht="15.7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233"/>
      <c r="AF217" s="185"/>
      <c r="AG217" s="185"/>
      <c r="AH217" s="185"/>
      <c r="AI217" s="185"/>
      <c r="AJ217" s="185"/>
      <c r="AK217" s="185"/>
      <c r="AL217" s="185"/>
      <c r="AM217" s="185"/>
      <c r="AN217" s="185"/>
      <c r="AO217" s="185"/>
      <c r="AP217" s="185"/>
      <c r="AQ217" s="185"/>
      <c r="AR217" s="185"/>
      <c r="AS217" s="185"/>
      <c r="AT217" s="185"/>
      <c r="AU217" s="185"/>
      <c r="AV217" s="185"/>
      <c r="AW217" s="185"/>
      <c r="AX217" s="185"/>
      <c r="AY217" s="185"/>
      <c r="AZ217" s="185"/>
      <c r="BA217" s="185"/>
      <c r="BB217" s="185"/>
      <c r="BC217" s="185"/>
      <c r="BD217" s="185"/>
      <c r="BE217" s="185"/>
      <c r="BF217" s="185"/>
      <c r="BG217" s="185"/>
      <c r="BH217" s="185"/>
      <c r="BI217" s="185"/>
      <c r="BJ217" s="185"/>
      <c r="BK217" s="185"/>
      <c r="BL217" s="185"/>
    </row>
    <row r="218" ht="15.7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233"/>
      <c r="AF218" s="185"/>
      <c r="AG218" s="185"/>
      <c r="AH218" s="185"/>
      <c r="AI218" s="185"/>
      <c r="AJ218" s="185"/>
      <c r="AK218" s="185"/>
      <c r="AL218" s="185"/>
      <c r="AM218" s="185"/>
      <c r="AN218" s="185"/>
      <c r="AO218" s="185"/>
      <c r="AP218" s="185"/>
      <c r="AQ218" s="185"/>
      <c r="AR218" s="185"/>
      <c r="AS218" s="185"/>
      <c r="AT218" s="185"/>
      <c r="AU218" s="185"/>
      <c r="AV218" s="185"/>
      <c r="AW218" s="185"/>
      <c r="AX218" s="185"/>
      <c r="AY218" s="185"/>
      <c r="AZ218" s="185"/>
      <c r="BA218" s="185"/>
      <c r="BB218" s="185"/>
      <c r="BC218" s="185"/>
      <c r="BD218" s="185"/>
      <c r="BE218" s="185"/>
      <c r="BF218" s="185"/>
      <c r="BG218" s="185"/>
      <c r="BH218" s="185"/>
      <c r="BI218" s="185"/>
      <c r="BJ218" s="185"/>
      <c r="BK218" s="185"/>
      <c r="BL218" s="185"/>
    </row>
    <row r="219" ht="15.7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233"/>
      <c r="AF219" s="185"/>
      <c r="AG219" s="185"/>
      <c r="AH219" s="185"/>
      <c r="AI219" s="185"/>
      <c r="AJ219" s="185"/>
      <c r="AK219" s="185"/>
      <c r="AL219" s="185"/>
      <c r="AM219" s="185"/>
      <c r="AN219" s="185"/>
      <c r="AO219" s="185"/>
      <c r="AP219" s="185"/>
      <c r="AQ219" s="185"/>
      <c r="AR219" s="185"/>
      <c r="AS219" s="185"/>
      <c r="AT219" s="185"/>
      <c r="AU219" s="185"/>
      <c r="AV219" s="185"/>
      <c r="AW219" s="185"/>
      <c r="AX219" s="185"/>
      <c r="AY219" s="185"/>
      <c r="AZ219" s="185"/>
      <c r="BA219" s="185"/>
      <c r="BB219" s="185"/>
      <c r="BC219" s="185"/>
      <c r="BD219" s="185"/>
      <c r="BE219" s="185"/>
      <c r="BF219" s="185"/>
      <c r="BG219" s="185"/>
      <c r="BH219" s="185"/>
      <c r="BI219" s="185"/>
      <c r="BJ219" s="185"/>
      <c r="BK219" s="185"/>
      <c r="BL219" s="185"/>
    </row>
    <row r="220" ht="15.7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233"/>
      <c r="AF220" s="185"/>
      <c r="AG220" s="185"/>
      <c r="AH220" s="185"/>
      <c r="AI220" s="185"/>
      <c r="AJ220" s="185"/>
      <c r="AK220" s="185"/>
      <c r="AL220" s="185"/>
      <c r="AM220" s="185"/>
      <c r="AN220" s="185"/>
      <c r="AO220" s="185"/>
      <c r="AP220" s="185"/>
      <c r="AQ220" s="185"/>
      <c r="AR220" s="185"/>
      <c r="AS220" s="185"/>
      <c r="AT220" s="185"/>
      <c r="AU220" s="185"/>
      <c r="AV220" s="185"/>
      <c r="AW220" s="185"/>
      <c r="AX220" s="185"/>
      <c r="AY220" s="185"/>
      <c r="AZ220" s="185"/>
      <c r="BA220" s="185"/>
      <c r="BB220" s="185"/>
      <c r="BC220" s="185"/>
      <c r="BD220" s="185"/>
      <c r="BE220" s="185"/>
      <c r="BF220" s="185"/>
      <c r="BG220" s="185"/>
      <c r="BH220" s="185"/>
      <c r="BI220" s="185"/>
      <c r="BJ220" s="185"/>
      <c r="BK220" s="185"/>
      <c r="BL220" s="185"/>
    </row>
    <row r="221" ht="15.7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233"/>
      <c r="AF221" s="185"/>
      <c r="AG221" s="185"/>
      <c r="AH221" s="185"/>
      <c r="AI221" s="185"/>
      <c r="AJ221" s="185"/>
      <c r="AK221" s="185"/>
      <c r="AL221" s="185"/>
      <c r="AM221" s="185"/>
      <c r="AN221" s="185"/>
      <c r="AO221" s="185"/>
      <c r="AP221" s="185"/>
      <c r="AQ221" s="185"/>
      <c r="AR221" s="185"/>
      <c r="AS221" s="185"/>
      <c r="AT221" s="185"/>
      <c r="AU221" s="185"/>
      <c r="AV221" s="185"/>
      <c r="AW221" s="185"/>
      <c r="AX221" s="185"/>
      <c r="AY221" s="185"/>
      <c r="AZ221" s="185"/>
      <c r="BA221" s="185"/>
      <c r="BB221" s="185"/>
      <c r="BC221" s="185"/>
      <c r="BD221" s="185"/>
      <c r="BE221" s="185"/>
      <c r="BF221" s="185"/>
      <c r="BG221" s="185"/>
      <c r="BH221" s="185"/>
      <c r="BI221" s="185"/>
      <c r="BJ221" s="185"/>
      <c r="BK221" s="185"/>
      <c r="BL221" s="185"/>
    </row>
    <row r="222" ht="15.7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233"/>
      <c r="AF222" s="185"/>
      <c r="AG222" s="185"/>
      <c r="AH222" s="185"/>
      <c r="AI222" s="185"/>
      <c r="AJ222" s="185"/>
      <c r="AK222" s="185"/>
      <c r="AL222" s="185"/>
      <c r="AM222" s="185"/>
      <c r="AN222" s="185"/>
      <c r="AO222" s="185"/>
      <c r="AP222" s="185"/>
      <c r="AQ222" s="185"/>
      <c r="AR222" s="185"/>
      <c r="AS222" s="185"/>
      <c r="AT222" s="185"/>
      <c r="AU222" s="185"/>
      <c r="AV222" s="185"/>
      <c r="AW222" s="185"/>
      <c r="AX222" s="185"/>
      <c r="AY222" s="185"/>
      <c r="AZ222" s="185"/>
      <c r="BA222" s="185"/>
      <c r="BB222" s="185"/>
      <c r="BC222" s="185"/>
      <c r="BD222" s="185"/>
      <c r="BE222" s="185"/>
      <c r="BF222" s="185"/>
      <c r="BG222" s="185"/>
      <c r="BH222" s="185"/>
      <c r="BI222" s="185"/>
      <c r="BJ222" s="185"/>
      <c r="BK222" s="185"/>
      <c r="BL222" s="185"/>
    </row>
    <row r="223" ht="15.7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233"/>
      <c r="AF223" s="185"/>
      <c r="AG223" s="185"/>
      <c r="AH223" s="185"/>
      <c r="AI223" s="185"/>
      <c r="AJ223" s="185"/>
      <c r="AK223" s="185"/>
      <c r="AL223" s="185"/>
      <c r="AM223" s="185"/>
      <c r="AN223" s="185"/>
      <c r="AO223" s="185"/>
      <c r="AP223" s="185"/>
      <c r="AQ223" s="185"/>
      <c r="AR223" s="185"/>
      <c r="AS223" s="185"/>
      <c r="AT223" s="185"/>
      <c r="AU223" s="185"/>
      <c r="AV223" s="185"/>
      <c r="AW223" s="185"/>
      <c r="AX223" s="185"/>
      <c r="AY223" s="185"/>
      <c r="AZ223" s="185"/>
      <c r="BA223" s="185"/>
      <c r="BB223" s="185"/>
      <c r="BC223" s="185"/>
      <c r="BD223" s="185"/>
      <c r="BE223" s="185"/>
      <c r="BF223" s="185"/>
      <c r="BG223" s="185"/>
      <c r="BH223" s="185"/>
      <c r="BI223" s="185"/>
      <c r="BJ223" s="185"/>
      <c r="BK223" s="185"/>
      <c r="BL223" s="185"/>
    </row>
    <row r="224" ht="15.7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233"/>
      <c r="AF224" s="185"/>
      <c r="AG224" s="185"/>
      <c r="AH224" s="185"/>
      <c r="AI224" s="185"/>
      <c r="AJ224" s="185"/>
      <c r="AK224" s="185"/>
      <c r="AL224" s="185"/>
      <c r="AM224" s="185"/>
      <c r="AN224" s="185"/>
      <c r="AO224" s="185"/>
      <c r="AP224" s="185"/>
      <c r="AQ224" s="185"/>
      <c r="AR224" s="185"/>
      <c r="AS224" s="185"/>
      <c r="AT224" s="185"/>
      <c r="AU224" s="185"/>
      <c r="AV224" s="185"/>
      <c r="AW224" s="185"/>
      <c r="AX224" s="185"/>
      <c r="AY224" s="185"/>
      <c r="AZ224" s="185"/>
      <c r="BA224" s="185"/>
      <c r="BB224" s="185"/>
      <c r="BC224" s="185"/>
      <c r="BD224" s="185"/>
      <c r="BE224" s="185"/>
      <c r="BF224" s="185"/>
      <c r="BG224" s="185"/>
      <c r="BH224" s="185"/>
      <c r="BI224" s="185"/>
      <c r="BJ224" s="185"/>
      <c r="BK224" s="185"/>
      <c r="BL224" s="185"/>
    </row>
    <row r="225" ht="15.7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233"/>
      <c r="AF225" s="185"/>
      <c r="AG225" s="185"/>
      <c r="AH225" s="185"/>
      <c r="AI225" s="185"/>
      <c r="AJ225" s="185"/>
      <c r="AK225" s="185"/>
      <c r="AL225" s="185"/>
      <c r="AM225" s="185"/>
      <c r="AN225" s="185"/>
      <c r="AO225" s="185"/>
      <c r="AP225" s="185"/>
      <c r="AQ225" s="185"/>
      <c r="AR225" s="185"/>
      <c r="AS225" s="185"/>
      <c r="AT225" s="185"/>
      <c r="AU225" s="185"/>
      <c r="AV225" s="185"/>
      <c r="AW225" s="185"/>
      <c r="AX225" s="185"/>
      <c r="AY225" s="185"/>
      <c r="AZ225" s="185"/>
      <c r="BA225" s="185"/>
      <c r="BB225" s="185"/>
      <c r="BC225" s="185"/>
      <c r="BD225" s="185"/>
      <c r="BE225" s="185"/>
      <c r="BF225" s="185"/>
      <c r="BG225" s="185"/>
      <c r="BH225" s="185"/>
      <c r="BI225" s="185"/>
      <c r="BJ225" s="185"/>
      <c r="BK225" s="185"/>
      <c r="BL225" s="185"/>
    </row>
    <row r="226" ht="15.7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233"/>
      <c r="AF226" s="185"/>
      <c r="AG226" s="185"/>
      <c r="AH226" s="185"/>
      <c r="AI226" s="185"/>
      <c r="AJ226" s="185"/>
      <c r="AK226" s="185"/>
      <c r="AL226" s="185"/>
      <c r="AM226" s="185"/>
      <c r="AN226" s="185"/>
      <c r="AO226" s="185"/>
      <c r="AP226" s="185"/>
      <c r="AQ226" s="185"/>
      <c r="AR226" s="185"/>
      <c r="AS226" s="185"/>
      <c r="AT226" s="185"/>
      <c r="AU226" s="185"/>
      <c r="AV226" s="185"/>
      <c r="AW226" s="185"/>
      <c r="AX226" s="185"/>
      <c r="AY226" s="185"/>
      <c r="AZ226" s="185"/>
      <c r="BA226" s="185"/>
      <c r="BB226" s="185"/>
      <c r="BC226" s="185"/>
      <c r="BD226" s="185"/>
      <c r="BE226" s="185"/>
      <c r="BF226" s="185"/>
      <c r="BG226" s="185"/>
      <c r="BH226" s="185"/>
      <c r="BI226" s="185"/>
      <c r="BJ226" s="185"/>
      <c r="BK226" s="185"/>
      <c r="BL226" s="185"/>
    </row>
    <row r="227" ht="15.7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233"/>
      <c r="AF227" s="185"/>
      <c r="AG227" s="185"/>
      <c r="AH227" s="185"/>
      <c r="AI227" s="185"/>
      <c r="AJ227" s="185"/>
      <c r="AK227" s="185"/>
      <c r="AL227" s="185"/>
      <c r="AM227" s="185"/>
      <c r="AN227" s="185"/>
      <c r="AO227" s="185"/>
      <c r="AP227" s="185"/>
      <c r="AQ227" s="185"/>
      <c r="AR227" s="185"/>
      <c r="AS227" s="185"/>
      <c r="AT227" s="185"/>
      <c r="AU227" s="185"/>
      <c r="AV227" s="185"/>
      <c r="AW227" s="185"/>
      <c r="AX227" s="185"/>
      <c r="AY227" s="185"/>
      <c r="AZ227" s="185"/>
      <c r="BA227" s="185"/>
      <c r="BB227" s="185"/>
      <c r="BC227" s="185"/>
      <c r="BD227" s="185"/>
      <c r="BE227" s="185"/>
      <c r="BF227" s="185"/>
      <c r="BG227" s="185"/>
      <c r="BH227" s="185"/>
      <c r="BI227" s="185"/>
      <c r="BJ227" s="185"/>
      <c r="BK227" s="185"/>
      <c r="BL227" s="185"/>
    </row>
    <row r="228" ht="15.7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233"/>
      <c r="AF228" s="185"/>
      <c r="AG228" s="185"/>
      <c r="AH228" s="185"/>
      <c r="AI228" s="185"/>
      <c r="AJ228" s="185"/>
      <c r="AK228" s="185"/>
      <c r="AL228" s="185"/>
      <c r="AM228" s="185"/>
      <c r="AN228" s="185"/>
      <c r="AO228" s="185"/>
      <c r="AP228" s="185"/>
      <c r="AQ228" s="185"/>
      <c r="AR228" s="185"/>
      <c r="AS228" s="185"/>
      <c r="AT228" s="185"/>
      <c r="AU228" s="185"/>
      <c r="AV228" s="185"/>
      <c r="AW228" s="185"/>
      <c r="AX228" s="185"/>
      <c r="AY228" s="185"/>
      <c r="AZ228" s="185"/>
      <c r="BA228" s="185"/>
      <c r="BB228" s="185"/>
      <c r="BC228" s="185"/>
      <c r="BD228" s="185"/>
      <c r="BE228" s="185"/>
      <c r="BF228" s="185"/>
      <c r="BG228" s="185"/>
      <c r="BH228" s="185"/>
      <c r="BI228" s="185"/>
      <c r="BJ228" s="185"/>
      <c r="BK228" s="185"/>
      <c r="BL228" s="185"/>
    </row>
    <row r="229" ht="15.7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233"/>
      <c r="AF229" s="185"/>
      <c r="AG229" s="185"/>
      <c r="AH229" s="185"/>
      <c r="AI229" s="185"/>
      <c r="AJ229" s="185"/>
      <c r="AK229" s="185"/>
      <c r="AL229" s="185"/>
      <c r="AM229" s="185"/>
      <c r="AN229" s="185"/>
      <c r="AO229" s="185"/>
      <c r="AP229" s="185"/>
      <c r="AQ229" s="185"/>
      <c r="AR229" s="185"/>
      <c r="AS229" s="185"/>
      <c r="AT229" s="185"/>
      <c r="AU229" s="185"/>
      <c r="AV229" s="185"/>
      <c r="AW229" s="185"/>
      <c r="AX229" s="185"/>
      <c r="AY229" s="185"/>
      <c r="AZ229" s="185"/>
      <c r="BA229" s="185"/>
      <c r="BB229" s="185"/>
      <c r="BC229" s="185"/>
      <c r="BD229" s="185"/>
      <c r="BE229" s="185"/>
      <c r="BF229" s="185"/>
      <c r="BG229" s="185"/>
      <c r="BH229" s="185"/>
      <c r="BI229" s="185"/>
      <c r="BJ229" s="185"/>
      <c r="BK229" s="185"/>
      <c r="BL229" s="185"/>
    </row>
    <row r="230" ht="15.7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233"/>
      <c r="AF230" s="185"/>
      <c r="AG230" s="185"/>
      <c r="AH230" s="185"/>
      <c r="AI230" s="185"/>
      <c r="AJ230" s="185"/>
      <c r="AK230" s="185"/>
      <c r="AL230" s="185"/>
      <c r="AM230" s="185"/>
      <c r="AN230" s="185"/>
      <c r="AO230" s="185"/>
      <c r="AP230" s="185"/>
      <c r="AQ230" s="185"/>
      <c r="AR230" s="185"/>
      <c r="AS230" s="185"/>
      <c r="AT230" s="185"/>
      <c r="AU230" s="185"/>
      <c r="AV230" s="185"/>
      <c r="AW230" s="185"/>
      <c r="AX230" s="185"/>
      <c r="AY230" s="185"/>
      <c r="AZ230" s="185"/>
      <c r="BA230" s="185"/>
      <c r="BB230" s="185"/>
      <c r="BC230" s="185"/>
      <c r="BD230" s="185"/>
      <c r="BE230" s="185"/>
      <c r="BF230" s="185"/>
      <c r="BG230" s="185"/>
      <c r="BH230" s="185"/>
      <c r="BI230" s="185"/>
      <c r="BJ230" s="185"/>
      <c r="BK230" s="185"/>
      <c r="BL230" s="185"/>
    </row>
    <row r="231" ht="15.7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233"/>
      <c r="AF231" s="185"/>
      <c r="AG231" s="185"/>
      <c r="AH231" s="185"/>
      <c r="AI231" s="185"/>
      <c r="AJ231" s="185"/>
      <c r="AK231" s="185"/>
      <c r="AL231" s="185"/>
      <c r="AM231" s="185"/>
      <c r="AN231" s="185"/>
      <c r="AO231" s="185"/>
      <c r="AP231" s="185"/>
      <c r="AQ231" s="185"/>
      <c r="AR231" s="185"/>
      <c r="AS231" s="185"/>
      <c r="AT231" s="185"/>
      <c r="AU231" s="185"/>
      <c r="AV231" s="185"/>
      <c r="AW231" s="185"/>
      <c r="AX231" s="185"/>
      <c r="AY231" s="185"/>
      <c r="AZ231" s="185"/>
      <c r="BA231" s="185"/>
      <c r="BB231" s="185"/>
      <c r="BC231" s="185"/>
      <c r="BD231" s="185"/>
      <c r="BE231" s="185"/>
      <c r="BF231" s="185"/>
      <c r="BG231" s="185"/>
      <c r="BH231" s="185"/>
      <c r="BI231" s="185"/>
      <c r="BJ231" s="185"/>
      <c r="BK231" s="185"/>
      <c r="BL231" s="185"/>
    </row>
    <row r="232" ht="15.7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233"/>
      <c r="AF232" s="185"/>
      <c r="AG232" s="185"/>
      <c r="AH232" s="185"/>
      <c r="AI232" s="185"/>
      <c r="AJ232" s="185"/>
      <c r="AK232" s="185"/>
      <c r="AL232" s="185"/>
      <c r="AM232" s="185"/>
      <c r="AN232" s="185"/>
      <c r="AO232" s="185"/>
      <c r="AP232" s="185"/>
      <c r="AQ232" s="185"/>
      <c r="AR232" s="185"/>
      <c r="AS232" s="185"/>
      <c r="AT232" s="185"/>
      <c r="AU232" s="185"/>
      <c r="AV232" s="185"/>
      <c r="AW232" s="185"/>
      <c r="AX232" s="185"/>
      <c r="AY232" s="185"/>
      <c r="AZ232" s="185"/>
      <c r="BA232" s="185"/>
      <c r="BB232" s="185"/>
      <c r="BC232" s="185"/>
      <c r="BD232" s="185"/>
      <c r="BE232" s="185"/>
      <c r="BF232" s="185"/>
      <c r="BG232" s="185"/>
      <c r="BH232" s="185"/>
      <c r="BI232" s="185"/>
      <c r="BJ232" s="185"/>
      <c r="BK232" s="185"/>
      <c r="BL232" s="185"/>
    </row>
    <row r="233" ht="15.7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233"/>
      <c r="AF233" s="185"/>
      <c r="AG233" s="185"/>
      <c r="AH233" s="185"/>
      <c r="AI233" s="185"/>
      <c r="AJ233" s="185"/>
      <c r="AK233" s="185"/>
      <c r="AL233" s="185"/>
      <c r="AM233" s="185"/>
      <c r="AN233" s="185"/>
      <c r="AO233" s="185"/>
      <c r="AP233" s="185"/>
      <c r="AQ233" s="185"/>
      <c r="AR233" s="185"/>
      <c r="AS233" s="185"/>
      <c r="AT233" s="185"/>
      <c r="AU233" s="185"/>
      <c r="AV233" s="185"/>
      <c r="AW233" s="185"/>
      <c r="AX233" s="185"/>
      <c r="AY233" s="185"/>
      <c r="AZ233" s="185"/>
      <c r="BA233" s="185"/>
      <c r="BB233" s="185"/>
      <c r="BC233" s="185"/>
      <c r="BD233" s="185"/>
      <c r="BE233" s="185"/>
      <c r="BF233" s="185"/>
      <c r="BG233" s="185"/>
      <c r="BH233" s="185"/>
      <c r="BI233" s="185"/>
      <c r="BJ233" s="185"/>
      <c r="BK233" s="185"/>
      <c r="BL233" s="185"/>
    </row>
    <row r="234" ht="15.7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233"/>
      <c r="AF234" s="185"/>
      <c r="AG234" s="185"/>
      <c r="AH234" s="185"/>
      <c r="AI234" s="185"/>
      <c r="AJ234" s="185"/>
      <c r="AK234" s="185"/>
      <c r="AL234" s="185"/>
      <c r="AM234" s="185"/>
      <c r="AN234" s="185"/>
      <c r="AO234" s="185"/>
      <c r="AP234" s="185"/>
      <c r="AQ234" s="185"/>
      <c r="AR234" s="185"/>
      <c r="AS234" s="185"/>
      <c r="AT234" s="185"/>
      <c r="AU234" s="185"/>
      <c r="AV234" s="185"/>
      <c r="AW234" s="185"/>
      <c r="AX234" s="185"/>
      <c r="AY234" s="185"/>
      <c r="AZ234" s="185"/>
      <c r="BA234" s="185"/>
      <c r="BB234" s="185"/>
      <c r="BC234" s="185"/>
      <c r="BD234" s="185"/>
      <c r="BE234" s="185"/>
      <c r="BF234" s="185"/>
      <c r="BG234" s="185"/>
      <c r="BH234" s="185"/>
      <c r="BI234" s="185"/>
      <c r="BJ234" s="185"/>
      <c r="BK234" s="185"/>
      <c r="BL234" s="185"/>
    </row>
    <row r="235" ht="15.7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233"/>
      <c r="AF235" s="185"/>
      <c r="AG235" s="185"/>
      <c r="AH235" s="185"/>
      <c r="AI235" s="185"/>
      <c r="AJ235" s="185"/>
      <c r="AK235" s="185"/>
      <c r="AL235" s="185"/>
      <c r="AM235" s="185"/>
      <c r="AN235" s="185"/>
      <c r="AO235" s="185"/>
      <c r="AP235" s="185"/>
      <c r="AQ235" s="185"/>
      <c r="AR235" s="185"/>
      <c r="AS235" s="185"/>
      <c r="AT235" s="185"/>
      <c r="AU235" s="185"/>
      <c r="AV235" s="185"/>
      <c r="AW235" s="185"/>
      <c r="AX235" s="185"/>
      <c r="AY235" s="185"/>
      <c r="AZ235" s="185"/>
      <c r="BA235" s="185"/>
      <c r="BB235" s="185"/>
      <c r="BC235" s="185"/>
      <c r="BD235" s="185"/>
      <c r="BE235" s="185"/>
      <c r="BF235" s="185"/>
      <c r="BG235" s="185"/>
      <c r="BH235" s="185"/>
      <c r="BI235" s="185"/>
      <c r="BJ235" s="185"/>
      <c r="BK235" s="185"/>
      <c r="BL235" s="185"/>
    </row>
    <row r="236" ht="15.7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233"/>
      <c r="AF236" s="185"/>
      <c r="AG236" s="185"/>
      <c r="AH236" s="185"/>
      <c r="AI236" s="185"/>
      <c r="AJ236" s="185"/>
      <c r="AK236" s="185"/>
      <c r="AL236" s="185"/>
      <c r="AM236" s="185"/>
      <c r="AN236" s="185"/>
      <c r="AO236" s="185"/>
      <c r="AP236" s="185"/>
      <c r="AQ236" s="185"/>
      <c r="AR236" s="185"/>
      <c r="AS236" s="185"/>
      <c r="AT236" s="185"/>
      <c r="AU236" s="185"/>
      <c r="AV236" s="185"/>
      <c r="AW236" s="185"/>
      <c r="AX236" s="185"/>
      <c r="AY236" s="185"/>
      <c r="AZ236" s="185"/>
      <c r="BA236" s="185"/>
      <c r="BB236" s="185"/>
      <c r="BC236" s="185"/>
      <c r="BD236" s="185"/>
      <c r="BE236" s="185"/>
      <c r="BF236" s="185"/>
      <c r="BG236" s="185"/>
      <c r="BH236" s="185"/>
      <c r="BI236" s="185"/>
      <c r="BJ236" s="185"/>
      <c r="BK236" s="185"/>
      <c r="BL236" s="185"/>
    </row>
    <row r="237" ht="15.7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233"/>
      <c r="AF237" s="185"/>
      <c r="AG237" s="185"/>
      <c r="AH237" s="185"/>
      <c r="AI237" s="185"/>
      <c r="AJ237" s="185"/>
      <c r="AK237" s="185"/>
      <c r="AL237" s="185"/>
      <c r="AM237" s="185"/>
      <c r="AN237" s="185"/>
      <c r="AO237" s="185"/>
      <c r="AP237" s="185"/>
      <c r="AQ237" s="185"/>
      <c r="AR237" s="185"/>
      <c r="AS237" s="185"/>
      <c r="AT237" s="185"/>
      <c r="AU237" s="185"/>
      <c r="AV237" s="185"/>
      <c r="AW237" s="185"/>
      <c r="AX237" s="185"/>
      <c r="AY237" s="185"/>
      <c r="AZ237" s="185"/>
      <c r="BA237" s="185"/>
      <c r="BB237" s="185"/>
      <c r="BC237" s="185"/>
      <c r="BD237" s="185"/>
      <c r="BE237" s="185"/>
      <c r="BF237" s="185"/>
      <c r="BG237" s="185"/>
      <c r="BH237" s="185"/>
      <c r="BI237" s="185"/>
      <c r="BJ237" s="185"/>
      <c r="BK237" s="185"/>
      <c r="BL237" s="185"/>
    </row>
    <row r="238" ht="15.7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233"/>
      <c r="AF238" s="185"/>
      <c r="AG238" s="185"/>
      <c r="AH238" s="185"/>
      <c r="AI238" s="185"/>
      <c r="AJ238" s="185"/>
      <c r="AK238" s="185"/>
      <c r="AL238" s="185"/>
      <c r="AM238" s="185"/>
      <c r="AN238" s="185"/>
      <c r="AO238" s="185"/>
      <c r="AP238" s="185"/>
      <c r="AQ238" s="185"/>
      <c r="AR238" s="185"/>
      <c r="AS238" s="185"/>
      <c r="AT238" s="185"/>
      <c r="AU238" s="185"/>
      <c r="AV238" s="185"/>
      <c r="AW238" s="185"/>
      <c r="AX238" s="185"/>
      <c r="AY238" s="185"/>
      <c r="AZ238" s="185"/>
      <c r="BA238" s="185"/>
      <c r="BB238" s="185"/>
      <c r="BC238" s="185"/>
      <c r="BD238" s="185"/>
      <c r="BE238" s="185"/>
      <c r="BF238" s="185"/>
      <c r="BG238" s="185"/>
      <c r="BH238" s="185"/>
      <c r="BI238" s="185"/>
      <c r="BJ238" s="185"/>
      <c r="BK238" s="185"/>
      <c r="BL238" s="185"/>
    </row>
    <row r="239" ht="15.7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233"/>
      <c r="AF239" s="185"/>
      <c r="AG239" s="185"/>
      <c r="AH239" s="185"/>
      <c r="AI239" s="185"/>
      <c r="AJ239" s="185"/>
      <c r="AK239" s="185"/>
      <c r="AL239" s="185"/>
      <c r="AM239" s="185"/>
      <c r="AN239" s="185"/>
      <c r="AO239" s="185"/>
      <c r="AP239" s="185"/>
      <c r="AQ239" s="185"/>
      <c r="AR239" s="185"/>
      <c r="AS239" s="185"/>
      <c r="AT239" s="185"/>
      <c r="AU239" s="185"/>
      <c r="AV239" s="185"/>
      <c r="AW239" s="185"/>
      <c r="AX239" s="185"/>
      <c r="AY239" s="185"/>
      <c r="AZ239" s="185"/>
      <c r="BA239" s="185"/>
      <c r="BB239" s="185"/>
      <c r="BC239" s="185"/>
      <c r="BD239" s="185"/>
      <c r="BE239" s="185"/>
      <c r="BF239" s="185"/>
      <c r="BG239" s="185"/>
      <c r="BH239" s="185"/>
      <c r="BI239" s="185"/>
      <c r="BJ239" s="185"/>
      <c r="BK239" s="185"/>
      <c r="BL239" s="185"/>
    </row>
    <row r="240" ht="15.7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233"/>
      <c r="AF240" s="185"/>
      <c r="AG240" s="185"/>
      <c r="AH240" s="185"/>
      <c r="AI240" s="185"/>
      <c r="AJ240" s="185"/>
      <c r="AK240" s="185"/>
      <c r="AL240" s="185"/>
      <c r="AM240" s="185"/>
      <c r="AN240" s="185"/>
      <c r="AO240" s="185"/>
      <c r="AP240" s="185"/>
      <c r="AQ240" s="185"/>
      <c r="AR240" s="185"/>
      <c r="AS240" s="185"/>
      <c r="AT240" s="185"/>
      <c r="AU240" s="185"/>
      <c r="AV240" s="185"/>
      <c r="AW240" s="185"/>
      <c r="AX240" s="185"/>
      <c r="AY240" s="185"/>
      <c r="AZ240" s="185"/>
      <c r="BA240" s="185"/>
      <c r="BB240" s="185"/>
      <c r="BC240" s="185"/>
      <c r="BD240" s="185"/>
      <c r="BE240" s="185"/>
      <c r="BF240" s="185"/>
      <c r="BG240" s="185"/>
      <c r="BH240" s="185"/>
      <c r="BI240" s="185"/>
      <c r="BJ240" s="185"/>
      <c r="BK240" s="185"/>
      <c r="BL240" s="185"/>
    </row>
    <row r="241" ht="15.7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233"/>
      <c r="AF241" s="185"/>
      <c r="AG241" s="185"/>
      <c r="AH241" s="185"/>
      <c r="AI241" s="185"/>
      <c r="AJ241" s="185"/>
      <c r="AK241" s="185"/>
      <c r="AL241" s="185"/>
      <c r="AM241" s="185"/>
      <c r="AN241" s="185"/>
      <c r="AO241" s="185"/>
      <c r="AP241" s="185"/>
      <c r="AQ241" s="185"/>
      <c r="AR241" s="185"/>
      <c r="AS241" s="185"/>
      <c r="AT241" s="185"/>
      <c r="AU241" s="185"/>
      <c r="AV241" s="185"/>
      <c r="AW241" s="185"/>
      <c r="AX241" s="185"/>
      <c r="AY241" s="185"/>
      <c r="AZ241" s="185"/>
      <c r="BA241" s="185"/>
      <c r="BB241" s="185"/>
      <c r="BC241" s="185"/>
      <c r="BD241" s="185"/>
      <c r="BE241" s="185"/>
      <c r="BF241" s="185"/>
      <c r="BG241" s="185"/>
      <c r="BH241" s="185"/>
      <c r="BI241" s="185"/>
      <c r="BJ241" s="185"/>
      <c r="BK241" s="185"/>
      <c r="BL241" s="185"/>
    </row>
    <row r="242" ht="15.7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233"/>
      <c r="AF242" s="185"/>
      <c r="AG242" s="185"/>
      <c r="AH242" s="185"/>
      <c r="AI242" s="185"/>
      <c r="AJ242" s="185"/>
      <c r="AK242" s="185"/>
      <c r="AL242" s="185"/>
      <c r="AM242" s="185"/>
      <c r="AN242" s="185"/>
      <c r="AO242" s="185"/>
      <c r="AP242" s="185"/>
      <c r="AQ242" s="185"/>
      <c r="AR242" s="185"/>
      <c r="AS242" s="185"/>
      <c r="AT242" s="185"/>
      <c r="AU242" s="185"/>
      <c r="AV242" s="185"/>
      <c r="AW242" s="185"/>
      <c r="AX242" s="185"/>
      <c r="AY242" s="185"/>
      <c r="AZ242" s="185"/>
      <c r="BA242" s="185"/>
      <c r="BB242" s="185"/>
      <c r="BC242" s="185"/>
      <c r="BD242" s="185"/>
      <c r="BE242" s="185"/>
      <c r="BF242" s="185"/>
      <c r="BG242" s="185"/>
      <c r="BH242" s="185"/>
      <c r="BI242" s="185"/>
      <c r="BJ242" s="185"/>
      <c r="BK242" s="185"/>
      <c r="BL242" s="185"/>
    </row>
    <row r="243" ht="15.7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233"/>
      <c r="AF243" s="185"/>
      <c r="AG243" s="185"/>
      <c r="AH243" s="185"/>
      <c r="AI243" s="185"/>
      <c r="AJ243" s="185"/>
      <c r="AK243" s="185"/>
      <c r="AL243" s="185"/>
      <c r="AM243" s="185"/>
      <c r="AN243" s="185"/>
      <c r="AO243" s="185"/>
      <c r="AP243" s="185"/>
      <c r="AQ243" s="185"/>
      <c r="AR243" s="185"/>
      <c r="AS243" s="185"/>
      <c r="AT243" s="185"/>
      <c r="AU243" s="185"/>
      <c r="AV243" s="185"/>
      <c r="AW243" s="185"/>
      <c r="AX243" s="185"/>
      <c r="AY243" s="185"/>
      <c r="AZ243" s="185"/>
      <c r="BA243" s="185"/>
      <c r="BB243" s="185"/>
      <c r="BC243" s="185"/>
      <c r="BD243" s="185"/>
      <c r="BE243" s="185"/>
      <c r="BF243" s="185"/>
      <c r="BG243" s="185"/>
      <c r="BH243" s="185"/>
      <c r="BI243" s="185"/>
      <c r="BJ243" s="185"/>
      <c r="BK243" s="185"/>
      <c r="BL243" s="185"/>
    </row>
    <row r="244" ht="15.7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233"/>
      <c r="AF244" s="185"/>
      <c r="AG244" s="185"/>
      <c r="AH244" s="185"/>
      <c r="AI244" s="185"/>
      <c r="AJ244" s="185"/>
      <c r="AK244" s="185"/>
      <c r="AL244" s="185"/>
      <c r="AM244" s="185"/>
      <c r="AN244" s="185"/>
      <c r="AO244" s="185"/>
      <c r="AP244" s="185"/>
      <c r="AQ244" s="185"/>
      <c r="AR244" s="185"/>
      <c r="AS244" s="185"/>
      <c r="AT244" s="185"/>
      <c r="AU244" s="185"/>
      <c r="AV244" s="185"/>
      <c r="AW244" s="185"/>
      <c r="AX244" s="185"/>
      <c r="AY244" s="185"/>
      <c r="AZ244" s="185"/>
      <c r="BA244" s="185"/>
      <c r="BB244" s="185"/>
      <c r="BC244" s="185"/>
      <c r="BD244" s="185"/>
      <c r="BE244" s="185"/>
      <c r="BF244" s="185"/>
      <c r="BG244" s="185"/>
      <c r="BH244" s="185"/>
      <c r="BI244" s="185"/>
      <c r="BJ244" s="185"/>
      <c r="BK244" s="185"/>
      <c r="BL244" s="185"/>
    </row>
    <row r="245" ht="15.7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233"/>
      <c r="AF245" s="185"/>
      <c r="AG245" s="185"/>
      <c r="AH245" s="185"/>
      <c r="AI245" s="185"/>
      <c r="AJ245" s="185"/>
      <c r="AK245" s="185"/>
      <c r="AL245" s="185"/>
      <c r="AM245" s="185"/>
      <c r="AN245" s="185"/>
      <c r="AO245" s="185"/>
      <c r="AP245" s="185"/>
      <c r="AQ245" s="185"/>
      <c r="AR245" s="185"/>
      <c r="AS245" s="185"/>
      <c r="AT245" s="185"/>
      <c r="AU245" s="185"/>
      <c r="AV245" s="185"/>
      <c r="AW245" s="185"/>
      <c r="AX245" s="185"/>
      <c r="AY245" s="185"/>
      <c r="AZ245" s="185"/>
      <c r="BA245" s="185"/>
      <c r="BB245" s="185"/>
      <c r="BC245" s="185"/>
      <c r="BD245" s="185"/>
      <c r="BE245" s="185"/>
      <c r="BF245" s="185"/>
      <c r="BG245" s="185"/>
      <c r="BH245" s="185"/>
      <c r="BI245" s="185"/>
      <c r="BJ245" s="185"/>
      <c r="BK245" s="185"/>
      <c r="BL245" s="185"/>
    </row>
    <row r="246" ht="15.7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233"/>
      <c r="AF246" s="185"/>
      <c r="AG246" s="185"/>
      <c r="AH246" s="185"/>
      <c r="AI246" s="185"/>
      <c r="AJ246" s="185"/>
      <c r="AK246" s="185"/>
      <c r="AL246" s="185"/>
      <c r="AM246" s="185"/>
      <c r="AN246" s="185"/>
      <c r="AO246" s="185"/>
      <c r="AP246" s="185"/>
      <c r="AQ246" s="185"/>
      <c r="AR246" s="185"/>
      <c r="AS246" s="185"/>
      <c r="AT246" s="185"/>
      <c r="AU246" s="185"/>
      <c r="AV246" s="185"/>
      <c r="AW246" s="185"/>
      <c r="AX246" s="185"/>
      <c r="AY246" s="185"/>
      <c r="AZ246" s="185"/>
      <c r="BA246" s="185"/>
      <c r="BB246" s="185"/>
      <c r="BC246" s="185"/>
      <c r="BD246" s="185"/>
      <c r="BE246" s="185"/>
      <c r="BF246" s="185"/>
      <c r="BG246" s="185"/>
      <c r="BH246" s="185"/>
      <c r="BI246" s="185"/>
      <c r="BJ246" s="185"/>
      <c r="BK246" s="185"/>
      <c r="BL246" s="185"/>
    </row>
    <row r="247" ht="15.7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233"/>
      <c r="AF247" s="185"/>
      <c r="AG247" s="185"/>
      <c r="AH247" s="185"/>
      <c r="AI247" s="185"/>
      <c r="AJ247" s="185"/>
      <c r="AK247" s="185"/>
      <c r="AL247" s="185"/>
      <c r="AM247" s="185"/>
      <c r="AN247" s="185"/>
      <c r="AO247" s="185"/>
      <c r="AP247" s="185"/>
      <c r="AQ247" s="185"/>
      <c r="AR247" s="185"/>
      <c r="AS247" s="185"/>
      <c r="AT247" s="185"/>
      <c r="AU247" s="185"/>
      <c r="AV247" s="185"/>
      <c r="AW247" s="185"/>
      <c r="AX247" s="185"/>
      <c r="AY247" s="185"/>
      <c r="AZ247" s="185"/>
      <c r="BA247" s="185"/>
      <c r="BB247" s="185"/>
      <c r="BC247" s="185"/>
      <c r="BD247" s="185"/>
      <c r="BE247" s="185"/>
      <c r="BF247" s="185"/>
      <c r="BG247" s="185"/>
      <c r="BH247" s="185"/>
      <c r="BI247" s="185"/>
      <c r="BJ247" s="185"/>
      <c r="BK247" s="185"/>
      <c r="BL247" s="185"/>
    </row>
    <row r="248" ht="15.7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233"/>
      <c r="AF248" s="185"/>
      <c r="AG248" s="185"/>
      <c r="AH248" s="185"/>
      <c r="AI248" s="185"/>
      <c r="AJ248" s="185"/>
      <c r="AK248" s="185"/>
      <c r="AL248" s="185"/>
      <c r="AM248" s="185"/>
      <c r="AN248" s="185"/>
      <c r="AO248" s="185"/>
      <c r="AP248" s="185"/>
      <c r="AQ248" s="185"/>
      <c r="AR248" s="185"/>
      <c r="AS248" s="185"/>
      <c r="AT248" s="185"/>
      <c r="AU248" s="185"/>
      <c r="AV248" s="185"/>
      <c r="AW248" s="185"/>
      <c r="AX248" s="185"/>
      <c r="AY248" s="185"/>
      <c r="AZ248" s="185"/>
      <c r="BA248" s="185"/>
      <c r="BB248" s="185"/>
      <c r="BC248" s="185"/>
      <c r="BD248" s="185"/>
      <c r="BE248" s="185"/>
      <c r="BF248" s="185"/>
      <c r="BG248" s="185"/>
      <c r="BH248" s="185"/>
      <c r="BI248" s="185"/>
      <c r="BJ248" s="185"/>
      <c r="BK248" s="185"/>
      <c r="BL248" s="185"/>
    </row>
    <row r="249" ht="15.7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233"/>
      <c r="AF249" s="185"/>
      <c r="AG249" s="185"/>
      <c r="AH249" s="185"/>
      <c r="AI249" s="185"/>
      <c r="AJ249" s="185"/>
      <c r="AK249" s="185"/>
      <c r="AL249" s="185"/>
      <c r="AM249" s="185"/>
      <c r="AN249" s="185"/>
      <c r="AO249" s="185"/>
      <c r="AP249" s="185"/>
      <c r="AQ249" s="185"/>
      <c r="AR249" s="185"/>
      <c r="AS249" s="185"/>
      <c r="AT249" s="185"/>
      <c r="AU249" s="185"/>
      <c r="AV249" s="185"/>
      <c r="AW249" s="185"/>
      <c r="AX249" s="185"/>
      <c r="AY249" s="185"/>
      <c r="AZ249" s="185"/>
      <c r="BA249" s="185"/>
      <c r="BB249" s="185"/>
      <c r="BC249" s="185"/>
      <c r="BD249" s="185"/>
      <c r="BE249" s="185"/>
      <c r="BF249" s="185"/>
      <c r="BG249" s="185"/>
      <c r="BH249" s="185"/>
      <c r="BI249" s="185"/>
      <c r="BJ249" s="185"/>
      <c r="BK249" s="185"/>
      <c r="BL249" s="185"/>
    </row>
    <row r="250" ht="15.7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233"/>
      <c r="AF250" s="185"/>
      <c r="AG250" s="185"/>
      <c r="AH250" s="185"/>
      <c r="AI250" s="185"/>
      <c r="AJ250" s="185"/>
      <c r="AK250" s="185"/>
      <c r="AL250" s="185"/>
      <c r="AM250" s="185"/>
      <c r="AN250" s="185"/>
      <c r="AO250" s="185"/>
      <c r="AP250" s="185"/>
      <c r="AQ250" s="185"/>
      <c r="AR250" s="185"/>
      <c r="AS250" s="185"/>
      <c r="AT250" s="185"/>
      <c r="AU250" s="185"/>
      <c r="AV250" s="185"/>
      <c r="AW250" s="185"/>
      <c r="AX250" s="185"/>
      <c r="AY250" s="185"/>
      <c r="AZ250" s="185"/>
      <c r="BA250" s="185"/>
      <c r="BB250" s="185"/>
      <c r="BC250" s="185"/>
      <c r="BD250" s="185"/>
      <c r="BE250" s="185"/>
      <c r="BF250" s="185"/>
      <c r="BG250" s="185"/>
      <c r="BH250" s="185"/>
      <c r="BI250" s="185"/>
      <c r="BJ250" s="185"/>
      <c r="BK250" s="185"/>
      <c r="BL250" s="185"/>
    </row>
    <row r="251" ht="15.7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233"/>
      <c r="AF251" s="185"/>
      <c r="AG251" s="185"/>
      <c r="AH251" s="185"/>
      <c r="AI251" s="185"/>
      <c r="AJ251" s="185"/>
      <c r="AK251" s="185"/>
      <c r="AL251" s="185"/>
      <c r="AM251" s="185"/>
      <c r="AN251" s="185"/>
      <c r="AO251" s="185"/>
      <c r="AP251" s="185"/>
      <c r="AQ251" s="185"/>
      <c r="AR251" s="185"/>
      <c r="AS251" s="185"/>
      <c r="AT251" s="185"/>
      <c r="AU251" s="185"/>
      <c r="AV251" s="185"/>
      <c r="AW251" s="185"/>
      <c r="AX251" s="185"/>
      <c r="AY251" s="185"/>
      <c r="AZ251" s="185"/>
      <c r="BA251" s="185"/>
      <c r="BB251" s="185"/>
      <c r="BC251" s="185"/>
      <c r="BD251" s="185"/>
      <c r="BE251" s="185"/>
      <c r="BF251" s="185"/>
      <c r="BG251" s="185"/>
      <c r="BH251" s="185"/>
      <c r="BI251" s="185"/>
      <c r="BJ251" s="185"/>
      <c r="BK251" s="185"/>
      <c r="BL251" s="185"/>
    </row>
    <row r="252" ht="15.7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233"/>
      <c r="AF252" s="185"/>
      <c r="AG252" s="185"/>
      <c r="AH252" s="185"/>
      <c r="AI252" s="185"/>
      <c r="AJ252" s="185"/>
      <c r="AK252" s="185"/>
      <c r="AL252" s="185"/>
      <c r="AM252" s="185"/>
      <c r="AN252" s="185"/>
      <c r="AO252" s="185"/>
      <c r="AP252" s="185"/>
      <c r="AQ252" s="185"/>
      <c r="AR252" s="185"/>
      <c r="AS252" s="185"/>
      <c r="AT252" s="185"/>
      <c r="AU252" s="185"/>
      <c r="AV252" s="185"/>
      <c r="AW252" s="185"/>
      <c r="AX252" s="185"/>
      <c r="AY252" s="185"/>
      <c r="AZ252" s="185"/>
      <c r="BA252" s="185"/>
      <c r="BB252" s="185"/>
      <c r="BC252" s="185"/>
      <c r="BD252" s="185"/>
      <c r="BE252" s="185"/>
      <c r="BF252" s="185"/>
      <c r="BG252" s="185"/>
      <c r="BH252" s="185"/>
      <c r="BI252" s="185"/>
      <c r="BJ252" s="185"/>
      <c r="BK252" s="185"/>
      <c r="BL252" s="185"/>
    </row>
    <row r="253" ht="15.7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233"/>
      <c r="AF253" s="185"/>
      <c r="AG253" s="185"/>
      <c r="AH253" s="185"/>
      <c r="AI253" s="185"/>
      <c r="AJ253" s="185"/>
      <c r="AK253" s="185"/>
      <c r="AL253" s="185"/>
      <c r="AM253" s="185"/>
      <c r="AN253" s="185"/>
      <c r="AO253" s="185"/>
      <c r="AP253" s="185"/>
      <c r="AQ253" s="185"/>
      <c r="AR253" s="185"/>
      <c r="AS253" s="185"/>
      <c r="AT253" s="185"/>
      <c r="AU253" s="185"/>
      <c r="AV253" s="185"/>
      <c r="AW253" s="185"/>
      <c r="AX253" s="185"/>
      <c r="AY253" s="185"/>
      <c r="AZ253" s="185"/>
      <c r="BA253" s="185"/>
      <c r="BB253" s="185"/>
      <c r="BC253" s="185"/>
      <c r="BD253" s="185"/>
      <c r="BE253" s="185"/>
      <c r="BF253" s="185"/>
      <c r="BG253" s="185"/>
      <c r="BH253" s="185"/>
      <c r="BI253" s="185"/>
      <c r="BJ253" s="185"/>
      <c r="BK253" s="185"/>
      <c r="BL253" s="185"/>
    </row>
    <row r="254" ht="15.7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233"/>
      <c r="AF254" s="185"/>
      <c r="AG254" s="185"/>
      <c r="AH254" s="185"/>
      <c r="AI254" s="185"/>
      <c r="AJ254" s="185"/>
      <c r="AK254" s="185"/>
      <c r="AL254" s="185"/>
      <c r="AM254" s="185"/>
      <c r="AN254" s="185"/>
      <c r="AO254" s="185"/>
      <c r="AP254" s="185"/>
      <c r="AQ254" s="185"/>
      <c r="AR254" s="185"/>
      <c r="AS254" s="185"/>
      <c r="AT254" s="185"/>
      <c r="AU254" s="185"/>
      <c r="AV254" s="185"/>
      <c r="AW254" s="185"/>
      <c r="AX254" s="185"/>
      <c r="AY254" s="185"/>
      <c r="AZ254" s="185"/>
      <c r="BA254" s="185"/>
      <c r="BB254" s="185"/>
      <c r="BC254" s="185"/>
      <c r="BD254" s="185"/>
      <c r="BE254" s="185"/>
      <c r="BF254" s="185"/>
      <c r="BG254" s="185"/>
      <c r="BH254" s="185"/>
      <c r="BI254" s="185"/>
      <c r="BJ254" s="185"/>
      <c r="BK254" s="185"/>
      <c r="BL254" s="185"/>
    </row>
    <row r="255" ht="15.7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233"/>
      <c r="AF255" s="185"/>
      <c r="AG255" s="185"/>
      <c r="AH255" s="185"/>
      <c r="AI255" s="185"/>
      <c r="AJ255" s="185"/>
      <c r="AK255" s="185"/>
      <c r="AL255" s="185"/>
      <c r="AM255" s="185"/>
      <c r="AN255" s="185"/>
      <c r="AO255" s="185"/>
      <c r="AP255" s="185"/>
      <c r="AQ255" s="185"/>
      <c r="AR255" s="185"/>
      <c r="AS255" s="185"/>
      <c r="AT255" s="185"/>
      <c r="AU255" s="185"/>
      <c r="AV255" s="185"/>
      <c r="AW255" s="185"/>
      <c r="AX255" s="185"/>
      <c r="AY255" s="185"/>
      <c r="AZ255" s="185"/>
      <c r="BA255" s="185"/>
      <c r="BB255" s="185"/>
      <c r="BC255" s="185"/>
      <c r="BD255" s="185"/>
      <c r="BE255" s="185"/>
      <c r="BF255" s="185"/>
      <c r="BG255" s="185"/>
      <c r="BH255" s="185"/>
      <c r="BI255" s="185"/>
      <c r="BJ255" s="185"/>
      <c r="BK255" s="185"/>
      <c r="BL255" s="185"/>
    </row>
    <row r="256" ht="15.7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233"/>
      <c r="AF256" s="185"/>
      <c r="AG256" s="185"/>
      <c r="AH256" s="185"/>
      <c r="AI256" s="185"/>
      <c r="AJ256" s="185"/>
      <c r="AK256" s="185"/>
      <c r="AL256" s="185"/>
      <c r="AM256" s="185"/>
      <c r="AN256" s="185"/>
      <c r="AO256" s="185"/>
      <c r="AP256" s="185"/>
      <c r="AQ256" s="185"/>
      <c r="AR256" s="185"/>
      <c r="AS256" s="185"/>
      <c r="AT256" s="185"/>
      <c r="AU256" s="185"/>
      <c r="AV256" s="185"/>
      <c r="AW256" s="185"/>
      <c r="AX256" s="185"/>
      <c r="AY256" s="185"/>
      <c r="AZ256" s="185"/>
      <c r="BA256" s="185"/>
      <c r="BB256" s="185"/>
      <c r="BC256" s="185"/>
      <c r="BD256" s="185"/>
      <c r="BE256" s="185"/>
      <c r="BF256" s="185"/>
      <c r="BG256" s="185"/>
      <c r="BH256" s="185"/>
      <c r="BI256" s="185"/>
      <c r="BJ256" s="185"/>
      <c r="BK256" s="185"/>
      <c r="BL256" s="185"/>
    </row>
    <row r="257" ht="15.7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233"/>
      <c r="AF257" s="185"/>
      <c r="AG257" s="185"/>
      <c r="AH257" s="185"/>
      <c r="AI257" s="185"/>
      <c r="AJ257" s="185"/>
      <c r="AK257" s="185"/>
      <c r="AL257" s="185"/>
      <c r="AM257" s="185"/>
      <c r="AN257" s="185"/>
      <c r="AO257" s="185"/>
      <c r="AP257" s="185"/>
      <c r="AQ257" s="185"/>
      <c r="AR257" s="185"/>
      <c r="AS257" s="185"/>
      <c r="AT257" s="185"/>
      <c r="AU257" s="185"/>
      <c r="AV257" s="185"/>
      <c r="AW257" s="185"/>
      <c r="AX257" s="185"/>
      <c r="AY257" s="185"/>
      <c r="AZ257" s="185"/>
      <c r="BA257" s="185"/>
      <c r="BB257" s="185"/>
      <c r="BC257" s="185"/>
      <c r="BD257" s="185"/>
      <c r="BE257" s="185"/>
      <c r="BF257" s="185"/>
      <c r="BG257" s="185"/>
      <c r="BH257" s="185"/>
      <c r="BI257" s="185"/>
      <c r="BJ257" s="185"/>
      <c r="BK257" s="185"/>
      <c r="BL257" s="185"/>
    </row>
    <row r="258" ht="15.7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233"/>
      <c r="AF258" s="185"/>
      <c r="AG258" s="185"/>
      <c r="AH258" s="185"/>
      <c r="AI258" s="185"/>
      <c r="AJ258" s="185"/>
      <c r="AK258" s="185"/>
      <c r="AL258" s="185"/>
      <c r="AM258" s="185"/>
      <c r="AN258" s="185"/>
      <c r="AO258" s="185"/>
      <c r="AP258" s="185"/>
      <c r="AQ258" s="185"/>
      <c r="AR258" s="185"/>
      <c r="AS258" s="185"/>
      <c r="AT258" s="185"/>
      <c r="AU258" s="185"/>
      <c r="AV258" s="185"/>
      <c r="AW258" s="185"/>
      <c r="AX258" s="185"/>
      <c r="AY258" s="185"/>
      <c r="AZ258" s="185"/>
      <c r="BA258" s="185"/>
      <c r="BB258" s="185"/>
      <c r="BC258" s="185"/>
      <c r="BD258" s="185"/>
      <c r="BE258" s="185"/>
      <c r="BF258" s="185"/>
      <c r="BG258" s="185"/>
      <c r="BH258" s="185"/>
      <c r="BI258" s="185"/>
      <c r="BJ258" s="185"/>
      <c r="BK258" s="185"/>
      <c r="BL258" s="185"/>
    </row>
    <row r="259" ht="15.7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233"/>
      <c r="AF259" s="185"/>
      <c r="AG259" s="185"/>
      <c r="AH259" s="185"/>
      <c r="AI259" s="185"/>
      <c r="AJ259" s="185"/>
      <c r="AK259" s="185"/>
      <c r="AL259" s="185"/>
      <c r="AM259" s="185"/>
      <c r="AN259" s="185"/>
      <c r="AO259" s="185"/>
      <c r="AP259" s="185"/>
      <c r="AQ259" s="185"/>
      <c r="AR259" s="185"/>
      <c r="AS259" s="185"/>
      <c r="AT259" s="185"/>
      <c r="AU259" s="185"/>
      <c r="AV259" s="185"/>
      <c r="AW259" s="185"/>
      <c r="AX259" s="185"/>
      <c r="AY259" s="185"/>
      <c r="AZ259" s="185"/>
      <c r="BA259" s="185"/>
      <c r="BB259" s="185"/>
      <c r="BC259" s="185"/>
      <c r="BD259" s="185"/>
      <c r="BE259" s="185"/>
      <c r="BF259" s="185"/>
      <c r="BG259" s="185"/>
      <c r="BH259" s="185"/>
      <c r="BI259" s="185"/>
      <c r="BJ259" s="185"/>
      <c r="BK259" s="185"/>
      <c r="BL259" s="185"/>
    </row>
    <row r="260" ht="15.7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233"/>
      <c r="AF260" s="185"/>
      <c r="AG260" s="185"/>
      <c r="AH260" s="185"/>
      <c r="AI260" s="185"/>
      <c r="AJ260" s="185"/>
      <c r="AK260" s="185"/>
      <c r="AL260" s="185"/>
      <c r="AM260" s="185"/>
      <c r="AN260" s="185"/>
      <c r="AO260" s="185"/>
      <c r="AP260" s="185"/>
      <c r="AQ260" s="185"/>
      <c r="AR260" s="185"/>
      <c r="AS260" s="185"/>
      <c r="AT260" s="185"/>
      <c r="AU260" s="185"/>
      <c r="AV260" s="185"/>
      <c r="AW260" s="185"/>
      <c r="AX260" s="185"/>
      <c r="AY260" s="185"/>
      <c r="AZ260" s="185"/>
      <c r="BA260" s="185"/>
      <c r="BB260" s="185"/>
      <c r="BC260" s="185"/>
      <c r="BD260" s="185"/>
      <c r="BE260" s="185"/>
      <c r="BF260" s="185"/>
      <c r="BG260" s="185"/>
      <c r="BH260" s="185"/>
      <c r="BI260" s="185"/>
      <c r="BJ260" s="185"/>
      <c r="BK260" s="185"/>
      <c r="BL260" s="185"/>
    </row>
    <row r="261" ht="15.7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233"/>
      <c r="AF261" s="185"/>
      <c r="AG261" s="185"/>
      <c r="AH261" s="185"/>
      <c r="AI261" s="185"/>
      <c r="AJ261" s="185"/>
      <c r="AK261" s="185"/>
      <c r="AL261" s="185"/>
      <c r="AM261" s="185"/>
      <c r="AN261" s="185"/>
      <c r="AO261" s="185"/>
      <c r="AP261" s="185"/>
      <c r="AQ261" s="185"/>
      <c r="AR261" s="185"/>
      <c r="AS261" s="185"/>
      <c r="AT261" s="185"/>
      <c r="AU261" s="185"/>
      <c r="AV261" s="185"/>
      <c r="AW261" s="185"/>
      <c r="AX261" s="185"/>
      <c r="AY261" s="185"/>
      <c r="AZ261" s="185"/>
      <c r="BA261" s="185"/>
      <c r="BB261" s="185"/>
      <c r="BC261" s="185"/>
      <c r="BD261" s="185"/>
      <c r="BE261" s="185"/>
      <c r="BF261" s="185"/>
      <c r="BG261" s="185"/>
      <c r="BH261" s="185"/>
      <c r="BI261" s="185"/>
      <c r="BJ261" s="185"/>
      <c r="BK261" s="185"/>
      <c r="BL261" s="185"/>
    </row>
    <row r="262" ht="15.7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233"/>
      <c r="AF262" s="185"/>
      <c r="AG262" s="185"/>
      <c r="AH262" s="185"/>
      <c r="AI262" s="185"/>
      <c r="AJ262" s="185"/>
      <c r="AK262" s="185"/>
      <c r="AL262" s="185"/>
      <c r="AM262" s="185"/>
      <c r="AN262" s="185"/>
      <c r="AO262" s="185"/>
      <c r="AP262" s="185"/>
      <c r="AQ262" s="185"/>
      <c r="AR262" s="185"/>
      <c r="AS262" s="185"/>
      <c r="AT262" s="185"/>
      <c r="AU262" s="185"/>
      <c r="AV262" s="185"/>
      <c r="AW262" s="185"/>
      <c r="AX262" s="185"/>
      <c r="AY262" s="185"/>
      <c r="AZ262" s="185"/>
      <c r="BA262" s="185"/>
      <c r="BB262" s="185"/>
      <c r="BC262" s="185"/>
      <c r="BD262" s="185"/>
      <c r="BE262" s="185"/>
      <c r="BF262" s="185"/>
      <c r="BG262" s="185"/>
      <c r="BH262" s="185"/>
      <c r="BI262" s="185"/>
      <c r="BJ262" s="185"/>
      <c r="BK262" s="185"/>
      <c r="BL262" s="185"/>
    </row>
    <row r="263" ht="15.7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233"/>
      <c r="AF263" s="185"/>
      <c r="AG263" s="185"/>
      <c r="AH263" s="185"/>
      <c r="AI263" s="185"/>
      <c r="AJ263" s="185"/>
      <c r="AK263" s="185"/>
      <c r="AL263" s="185"/>
      <c r="AM263" s="185"/>
      <c r="AN263" s="185"/>
      <c r="AO263" s="185"/>
      <c r="AP263" s="185"/>
      <c r="AQ263" s="185"/>
      <c r="AR263" s="185"/>
      <c r="AS263" s="185"/>
      <c r="AT263" s="185"/>
      <c r="AU263" s="185"/>
      <c r="AV263" s="185"/>
      <c r="AW263" s="185"/>
      <c r="AX263" s="185"/>
      <c r="AY263" s="185"/>
      <c r="AZ263" s="185"/>
      <c r="BA263" s="185"/>
      <c r="BB263" s="185"/>
      <c r="BC263" s="185"/>
      <c r="BD263" s="185"/>
      <c r="BE263" s="185"/>
      <c r="BF263" s="185"/>
      <c r="BG263" s="185"/>
      <c r="BH263" s="185"/>
      <c r="BI263" s="185"/>
      <c r="BJ263" s="185"/>
      <c r="BK263" s="185"/>
      <c r="BL263" s="185"/>
    </row>
    <row r="264" ht="15.7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233"/>
      <c r="AF264" s="185"/>
      <c r="AG264" s="185"/>
      <c r="AH264" s="185"/>
      <c r="AI264" s="185"/>
      <c r="AJ264" s="185"/>
      <c r="AK264" s="185"/>
      <c r="AL264" s="185"/>
      <c r="AM264" s="185"/>
      <c r="AN264" s="185"/>
      <c r="AO264" s="185"/>
      <c r="AP264" s="185"/>
      <c r="AQ264" s="185"/>
      <c r="AR264" s="185"/>
      <c r="AS264" s="185"/>
      <c r="AT264" s="185"/>
      <c r="AU264" s="185"/>
      <c r="AV264" s="185"/>
      <c r="AW264" s="185"/>
      <c r="AX264" s="185"/>
      <c r="AY264" s="185"/>
      <c r="AZ264" s="185"/>
      <c r="BA264" s="185"/>
      <c r="BB264" s="185"/>
      <c r="BC264" s="185"/>
      <c r="BD264" s="185"/>
      <c r="BE264" s="185"/>
      <c r="BF264" s="185"/>
      <c r="BG264" s="185"/>
      <c r="BH264" s="185"/>
      <c r="BI264" s="185"/>
      <c r="BJ264" s="185"/>
      <c r="BK264" s="185"/>
      <c r="BL264" s="185"/>
    </row>
    <row r="265" ht="15.7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233"/>
      <c r="AF265" s="185"/>
      <c r="AG265" s="185"/>
      <c r="AH265" s="185"/>
      <c r="AI265" s="185"/>
      <c r="AJ265" s="185"/>
      <c r="AK265" s="185"/>
      <c r="AL265" s="185"/>
      <c r="AM265" s="185"/>
      <c r="AN265" s="185"/>
      <c r="AO265" s="185"/>
      <c r="AP265" s="185"/>
      <c r="AQ265" s="185"/>
      <c r="AR265" s="185"/>
      <c r="AS265" s="185"/>
      <c r="AT265" s="185"/>
      <c r="AU265" s="185"/>
      <c r="AV265" s="185"/>
      <c r="AW265" s="185"/>
      <c r="AX265" s="185"/>
      <c r="AY265" s="185"/>
      <c r="AZ265" s="185"/>
      <c r="BA265" s="185"/>
      <c r="BB265" s="185"/>
      <c r="BC265" s="185"/>
      <c r="BD265" s="185"/>
      <c r="BE265" s="185"/>
      <c r="BF265" s="185"/>
      <c r="BG265" s="185"/>
      <c r="BH265" s="185"/>
      <c r="BI265" s="185"/>
      <c r="BJ265" s="185"/>
      <c r="BK265" s="185"/>
      <c r="BL265" s="185"/>
    </row>
    <row r="266" ht="15.7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233"/>
      <c r="AF266" s="185"/>
      <c r="AG266" s="185"/>
      <c r="AH266" s="185"/>
      <c r="AI266" s="185"/>
      <c r="AJ266" s="185"/>
      <c r="AK266" s="185"/>
      <c r="AL266" s="185"/>
      <c r="AM266" s="185"/>
      <c r="AN266" s="185"/>
      <c r="AO266" s="185"/>
      <c r="AP266" s="185"/>
      <c r="AQ266" s="185"/>
      <c r="AR266" s="185"/>
      <c r="AS266" s="185"/>
      <c r="AT266" s="185"/>
      <c r="AU266" s="185"/>
      <c r="AV266" s="185"/>
      <c r="AW266" s="185"/>
      <c r="AX266" s="185"/>
      <c r="AY266" s="185"/>
      <c r="AZ266" s="185"/>
      <c r="BA266" s="185"/>
      <c r="BB266" s="185"/>
      <c r="BC266" s="185"/>
      <c r="BD266" s="185"/>
      <c r="BE266" s="185"/>
      <c r="BF266" s="185"/>
      <c r="BG266" s="185"/>
      <c r="BH266" s="185"/>
      <c r="BI266" s="185"/>
      <c r="BJ266" s="185"/>
      <c r="BK266" s="185"/>
      <c r="BL266" s="185"/>
    </row>
    <row r="267" ht="15.7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233"/>
      <c r="AF267" s="185"/>
      <c r="AG267" s="185"/>
      <c r="AH267" s="185"/>
      <c r="AI267" s="185"/>
      <c r="AJ267" s="185"/>
      <c r="AK267" s="185"/>
      <c r="AL267" s="185"/>
      <c r="AM267" s="185"/>
      <c r="AN267" s="185"/>
      <c r="AO267" s="185"/>
      <c r="AP267" s="185"/>
      <c r="AQ267" s="185"/>
      <c r="AR267" s="185"/>
      <c r="AS267" s="185"/>
      <c r="AT267" s="185"/>
      <c r="AU267" s="185"/>
      <c r="AV267" s="185"/>
      <c r="AW267" s="185"/>
      <c r="AX267" s="185"/>
      <c r="AY267" s="185"/>
      <c r="AZ267" s="185"/>
      <c r="BA267" s="185"/>
      <c r="BB267" s="185"/>
      <c r="BC267" s="185"/>
      <c r="BD267" s="185"/>
      <c r="BE267" s="185"/>
      <c r="BF267" s="185"/>
      <c r="BG267" s="185"/>
      <c r="BH267" s="185"/>
      <c r="BI267" s="185"/>
      <c r="BJ267" s="185"/>
      <c r="BK267" s="185"/>
      <c r="BL267" s="185"/>
    </row>
    <row r="268" ht="15.7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233"/>
      <c r="AF268" s="185"/>
      <c r="AG268" s="185"/>
      <c r="AH268" s="185"/>
      <c r="AI268" s="185"/>
      <c r="AJ268" s="185"/>
      <c r="AK268" s="185"/>
      <c r="AL268" s="185"/>
      <c r="AM268" s="185"/>
      <c r="AN268" s="185"/>
      <c r="AO268" s="185"/>
      <c r="AP268" s="185"/>
      <c r="AQ268" s="185"/>
      <c r="AR268" s="185"/>
      <c r="AS268" s="185"/>
      <c r="AT268" s="185"/>
      <c r="AU268" s="185"/>
      <c r="AV268" s="185"/>
      <c r="AW268" s="185"/>
      <c r="AX268" s="185"/>
      <c r="AY268" s="185"/>
      <c r="AZ268" s="185"/>
      <c r="BA268" s="185"/>
      <c r="BB268" s="185"/>
      <c r="BC268" s="185"/>
      <c r="BD268" s="185"/>
      <c r="BE268" s="185"/>
      <c r="BF268" s="185"/>
      <c r="BG268" s="185"/>
      <c r="BH268" s="185"/>
      <c r="BI268" s="185"/>
      <c r="BJ268" s="185"/>
      <c r="BK268" s="185"/>
      <c r="BL268" s="185"/>
    </row>
    <row r="269" ht="15.7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233"/>
      <c r="AF269" s="185"/>
      <c r="AG269" s="185"/>
      <c r="AH269" s="185"/>
      <c r="AI269" s="185"/>
      <c r="AJ269" s="185"/>
      <c r="AK269" s="185"/>
      <c r="AL269" s="185"/>
      <c r="AM269" s="185"/>
      <c r="AN269" s="185"/>
      <c r="AO269" s="185"/>
      <c r="AP269" s="185"/>
      <c r="AQ269" s="185"/>
      <c r="AR269" s="185"/>
      <c r="AS269" s="185"/>
      <c r="AT269" s="185"/>
      <c r="AU269" s="185"/>
      <c r="AV269" s="185"/>
      <c r="AW269" s="185"/>
      <c r="AX269" s="185"/>
      <c r="AY269" s="185"/>
      <c r="AZ269" s="185"/>
      <c r="BA269" s="185"/>
      <c r="BB269" s="185"/>
      <c r="BC269" s="185"/>
      <c r="BD269" s="185"/>
      <c r="BE269" s="185"/>
      <c r="BF269" s="185"/>
      <c r="BG269" s="185"/>
      <c r="BH269" s="185"/>
      <c r="BI269" s="185"/>
      <c r="BJ269" s="185"/>
      <c r="BK269" s="185"/>
      <c r="BL269" s="18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 ht="15.75" customHeight="1">
      <c r="A1" s="43" t="s">
        <v>0</v>
      </c>
      <c r="B1" s="203"/>
      <c r="C1" s="203"/>
      <c r="D1" s="43" t="s">
        <v>7</v>
      </c>
      <c r="E1" s="43" t="s">
        <v>8</v>
      </c>
      <c r="F1" s="43" t="s">
        <v>9</v>
      </c>
      <c r="G1" s="43" t="s">
        <v>10</v>
      </c>
      <c r="H1" s="43" t="s">
        <v>11</v>
      </c>
      <c r="I1" s="43" t="s">
        <v>12</v>
      </c>
      <c r="J1" s="43" t="s">
        <v>13</v>
      </c>
      <c r="K1" s="43" t="s">
        <v>63</v>
      </c>
      <c r="L1" s="43" t="s">
        <v>64</v>
      </c>
      <c r="M1" s="43" t="s">
        <v>65</v>
      </c>
      <c r="N1" s="43" t="s">
        <v>66</v>
      </c>
      <c r="O1" s="43" t="s">
        <v>67</v>
      </c>
      <c r="P1" s="43" t="s">
        <v>68</v>
      </c>
      <c r="Q1" s="43" t="s">
        <v>69</v>
      </c>
      <c r="R1" s="43" t="s">
        <v>70</v>
      </c>
      <c r="S1" s="203" t="str">
        <f t="array" ref="S1:AD1">transpose(A22:A33)</f>
        <v/>
      </c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4"/>
      <c r="AF1" s="43" t="s">
        <v>14</v>
      </c>
      <c r="AG1" s="43" t="s">
        <v>2</v>
      </c>
      <c r="AH1" s="43" t="s">
        <v>3</v>
      </c>
      <c r="AI1" s="43" t="s">
        <v>4</v>
      </c>
      <c r="AJ1" s="43" t="s">
        <v>5</v>
      </c>
      <c r="AK1" s="43" t="s">
        <v>6</v>
      </c>
      <c r="AL1" s="43" t="s">
        <v>7</v>
      </c>
      <c r="AM1" s="43" t="s">
        <v>8</v>
      </c>
      <c r="AN1" s="43" t="s">
        <v>9</v>
      </c>
      <c r="AO1" s="43" t="s">
        <v>10</v>
      </c>
      <c r="AP1" s="43" t="s">
        <v>11</v>
      </c>
      <c r="AQ1" s="43" t="s">
        <v>12</v>
      </c>
      <c r="AR1" s="43" t="s">
        <v>13</v>
      </c>
      <c r="AS1" s="43" t="s">
        <v>63</v>
      </c>
      <c r="AT1" s="43" t="s">
        <v>64</v>
      </c>
      <c r="AU1" s="43" t="s">
        <v>65</v>
      </c>
      <c r="AV1" s="43" t="s">
        <v>66</v>
      </c>
      <c r="AW1" s="43" t="s">
        <v>67</v>
      </c>
      <c r="AX1" s="43" t="s">
        <v>68</v>
      </c>
      <c r="AY1" s="43" t="s">
        <v>69</v>
      </c>
      <c r="AZ1" s="43" t="s">
        <v>70</v>
      </c>
      <c r="BA1" s="203" t="str">
        <f t="array" ref="BA1:BL1">transpose(A22:A33)</f>
        <v/>
      </c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</row>
    <row r="2" ht="15.75" customHeight="1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04"/>
      <c r="AF2" s="205"/>
      <c r="AG2" s="206">
        <v>0.14</v>
      </c>
      <c r="AH2" s="206">
        <v>0.33</v>
      </c>
      <c r="AI2" s="206">
        <v>0.25</v>
      </c>
      <c r="AJ2" s="206">
        <v>0.15</v>
      </c>
      <c r="AK2" s="206">
        <v>0.07</v>
      </c>
      <c r="AL2" s="206">
        <v>0.04</v>
      </c>
      <c r="AM2" s="206">
        <v>0.02</v>
      </c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</row>
    <row r="3" ht="15.75" customHeight="1">
      <c r="A3" s="237"/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04"/>
      <c r="AF3" s="205"/>
      <c r="AG3" s="205"/>
      <c r="AH3" s="206">
        <v>0.14</v>
      </c>
      <c r="AI3" s="206">
        <v>0.33</v>
      </c>
      <c r="AJ3" s="206">
        <v>0.25</v>
      </c>
      <c r="AK3" s="206">
        <v>0.15</v>
      </c>
      <c r="AL3" s="206">
        <v>0.07</v>
      </c>
      <c r="AM3" s="206">
        <v>0.04</v>
      </c>
      <c r="AN3" s="206">
        <v>0.02</v>
      </c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</row>
    <row r="4" ht="15.75" customHeight="1">
      <c r="A4" s="237"/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04"/>
      <c r="AF4" s="205"/>
      <c r="AG4" s="205"/>
      <c r="AH4" s="205"/>
      <c r="AI4" s="206">
        <v>0.14</v>
      </c>
      <c r="AJ4" s="206">
        <v>0.33</v>
      </c>
      <c r="AK4" s="206">
        <v>0.25</v>
      </c>
      <c r="AL4" s="206">
        <v>0.15</v>
      </c>
      <c r="AM4" s="206">
        <v>0.07</v>
      </c>
      <c r="AN4" s="206">
        <v>0.04</v>
      </c>
      <c r="AO4" s="206">
        <v>0.02</v>
      </c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</row>
    <row r="5" ht="15.75" customHeight="1">
      <c r="A5" s="237"/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04"/>
      <c r="AF5" s="205"/>
      <c r="AG5" s="205"/>
      <c r="AH5" s="205"/>
      <c r="AI5" s="205"/>
      <c r="AJ5" s="206">
        <v>0.14</v>
      </c>
      <c r="AK5" s="206">
        <v>0.33</v>
      </c>
      <c r="AL5" s="206">
        <v>0.25</v>
      </c>
      <c r="AM5" s="206">
        <v>0.15</v>
      </c>
      <c r="AN5" s="206">
        <v>0.07</v>
      </c>
      <c r="AO5" s="206">
        <v>0.04</v>
      </c>
      <c r="AP5" s="206">
        <v>0.02</v>
      </c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</row>
    <row r="6" ht="15.75" customHeight="1">
      <c r="A6" s="237"/>
      <c r="B6" s="237"/>
      <c r="C6" s="237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08"/>
      <c r="AF6" s="207"/>
      <c r="AG6" s="207"/>
      <c r="AH6" s="207"/>
      <c r="AI6" s="207"/>
      <c r="AJ6" s="207"/>
      <c r="AK6" s="206">
        <v>0.14</v>
      </c>
      <c r="AL6" s="206">
        <v>0.33</v>
      </c>
      <c r="AM6" s="206">
        <v>0.25</v>
      </c>
      <c r="AN6" s="206">
        <v>0.15</v>
      </c>
      <c r="AO6" s="206">
        <v>0.07</v>
      </c>
      <c r="AP6" s="206">
        <v>0.04</v>
      </c>
      <c r="AQ6" s="206">
        <v>0.02</v>
      </c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</row>
    <row r="7" ht="15.75" customHeight="1">
      <c r="A7" s="237"/>
      <c r="B7" s="237"/>
      <c r="C7" s="237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/>
      <c r="AE7" s="208"/>
      <c r="AF7" s="207"/>
      <c r="AG7" s="207"/>
      <c r="AH7" s="207"/>
      <c r="AI7" s="207"/>
      <c r="AJ7" s="207"/>
      <c r="AK7" s="207"/>
      <c r="AL7" s="206">
        <v>0.14</v>
      </c>
      <c r="AM7" s="206">
        <v>0.33</v>
      </c>
      <c r="AN7" s="206">
        <v>0.25</v>
      </c>
      <c r="AO7" s="206">
        <v>0.15</v>
      </c>
      <c r="AP7" s="206">
        <v>0.07</v>
      </c>
      <c r="AQ7" s="206">
        <v>0.04</v>
      </c>
      <c r="AR7" s="206">
        <v>0.02</v>
      </c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</row>
    <row r="8" ht="15.75" customHeight="1">
      <c r="A8" s="237"/>
      <c r="B8" s="237"/>
      <c r="C8" s="237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W8" s="238"/>
      <c r="X8" s="238"/>
      <c r="Y8" s="238"/>
      <c r="Z8" s="238"/>
      <c r="AA8" s="238"/>
      <c r="AB8" s="238"/>
      <c r="AC8" s="238"/>
      <c r="AD8" s="238"/>
      <c r="AE8" s="208"/>
      <c r="AF8" s="207"/>
      <c r="AG8" s="207"/>
      <c r="AH8" s="207"/>
      <c r="AI8" s="207"/>
      <c r="AJ8" s="207"/>
      <c r="AK8" s="207"/>
      <c r="AL8" s="207"/>
      <c r="AM8" s="206">
        <v>0.14</v>
      </c>
      <c r="AN8" s="206">
        <v>0.33</v>
      </c>
      <c r="AO8" s="206">
        <v>0.25</v>
      </c>
      <c r="AP8" s="206">
        <v>0.15</v>
      </c>
      <c r="AQ8" s="206">
        <v>0.07</v>
      </c>
      <c r="AR8" s="206">
        <v>0.04</v>
      </c>
      <c r="AS8" s="206">
        <v>0.02</v>
      </c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</row>
    <row r="9" ht="15.75" customHeight="1">
      <c r="A9" s="237"/>
      <c r="B9" s="237"/>
      <c r="C9" s="237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08"/>
      <c r="AF9" s="207"/>
      <c r="AG9" s="207"/>
      <c r="AH9" s="207"/>
      <c r="AI9" s="207"/>
      <c r="AJ9" s="207"/>
      <c r="AK9" s="207"/>
      <c r="AL9" s="207"/>
      <c r="AM9" s="207"/>
      <c r="AN9" s="206">
        <v>0.14</v>
      </c>
      <c r="AO9" s="206">
        <v>0.33</v>
      </c>
      <c r="AP9" s="206">
        <v>0.25</v>
      </c>
      <c r="AQ9" s="206">
        <v>0.15</v>
      </c>
      <c r="AR9" s="206">
        <v>0.07</v>
      </c>
      <c r="AS9" s="206">
        <v>0.04</v>
      </c>
      <c r="AT9" s="206">
        <v>0.02</v>
      </c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</row>
    <row r="10" ht="15.75" customHeight="1">
      <c r="A10" s="237"/>
      <c r="B10" s="237"/>
      <c r="C10" s="237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08"/>
      <c r="AF10" s="207"/>
      <c r="AG10" s="207"/>
      <c r="AH10" s="207"/>
      <c r="AI10" s="207"/>
      <c r="AJ10" s="207"/>
      <c r="AK10" s="207"/>
      <c r="AL10" s="207"/>
      <c r="AM10" s="207"/>
      <c r="AN10" s="207"/>
      <c r="AO10" s="206">
        <v>0.14</v>
      </c>
      <c r="AP10" s="206">
        <v>0.33</v>
      </c>
      <c r="AQ10" s="206">
        <v>0.25</v>
      </c>
      <c r="AR10" s="206">
        <v>0.15</v>
      </c>
      <c r="AS10" s="206">
        <v>0.07</v>
      </c>
      <c r="AT10" s="206">
        <v>0.04</v>
      </c>
      <c r="AU10" s="206">
        <v>0.02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</row>
    <row r="11" ht="15.75" customHeight="1">
      <c r="A11" s="237"/>
      <c r="B11" s="237"/>
      <c r="C11" s="237"/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08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6">
        <v>0.14</v>
      </c>
      <c r="AQ11" s="206">
        <v>0.33</v>
      </c>
      <c r="AR11" s="206">
        <v>0.25</v>
      </c>
      <c r="AS11" s="206">
        <v>0.15</v>
      </c>
      <c r="AT11" s="206">
        <v>0.07</v>
      </c>
      <c r="AU11" s="206">
        <v>0.04</v>
      </c>
      <c r="AV11" s="206">
        <v>0.02</v>
      </c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</row>
    <row r="12" ht="15.75" customHeight="1">
      <c r="A12" s="237"/>
      <c r="B12" s="237"/>
      <c r="C12" s="237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08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>
        <v>0.14</v>
      </c>
      <c r="AR12" s="206">
        <v>0.33</v>
      </c>
      <c r="AS12" s="206">
        <v>0.25</v>
      </c>
      <c r="AT12" s="206">
        <v>0.15</v>
      </c>
      <c r="AU12" s="206">
        <v>0.07</v>
      </c>
      <c r="AV12" s="206">
        <v>0.04</v>
      </c>
      <c r="AW12" s="206">
        <v>0.02</v>
      </c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</row>
    <row r="13" ht="15.75" customHeight="1">
      <c r="A13" s="237"/>
      <c r="B13" s="237"/>
      <c r="C13" s="237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08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6">
        <v>0.14</v>
      </c>
      <c r="AS13" s="206">
        <v>0.33</v>
      </c>
      <c r="AT13" s="206">
        <v>0.25</v>
      </c>
      <c r="AU13" s="206">
        <v>0.15</v>
      </c>
      <c r="AV13" s="206">
        <v>0.07</v>
      </c>
      <c r="AW13" s="206">
        <v>0.04</v>
      </c>
      <c r="AX13" s="206">
        <v>0.02</v>
      </c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</row>
    <row r="14" ht="15.75" customHeight="1">
      <c r="A14" s="237"/>
      <c r="B14" s="237"/>
      <c r="C14" s="237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08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6">
        <v>0.14</v>
      </c>
      <c r="AT14" s="206">
        <v>0.33</v>
      </c>
      <c r="AU14" s="206">
        <v>0.25</v>
      </c>
      <c r="AV14" s="206">
        <v>0.15</v>
      </c>
      <c r="AW14" s="206">
        <v>0.07</v>
      </c>
      <c r="AX14" s="206">
        <v>0.04</v>
      </c>
      <c r="AY14" s="206">
        <v>0.02</v>
      </c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</row>
    <row r="15" ht="15.75" customHeight="1">
      <c r="A15" s="237"/>
      <c r="B15" s="237"/>
      <c r="C15" s="237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08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6">
        <v>0.14</v>
      </c>
      <c r="AU15" s="206">
        <v>0.33</v>
      </c>
      <c r="AV15" s="206">
        <v>0.25</v>
      </c>
      <c r="AW15" s="206">
        <v>0.15</v>
      </c>
      <c r="AX15" s="206">
        <v>0.07</v>
      </c>
      <c r="AY15" s="206">
        <v>0.04</v>
      </c>
      <c r="AZ15" s="206">
        <v>0.02</v>
      </c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</row>
    <row r="16" ht="15.75" customHeight="1">
      <c r="A16" s="237"/>
      <c r="B16" s="237"/>
      <c r="C16" s="237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08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6">
        <v>0.14</v>
      </c>
      <c r="AV16" s="206">
        <v>0.33</v>
      </c>
      <c r="AW16" s="206">
        <v>0.25</v>
      </c>
      <c r="AX16" s="206">
        <v>0.15</v>
      </c>
      <c r="AY16" s="206">
        <v>0.07</v>
      </c>
      <c r="AZ16" s="206">
        <v>0.04</v>
      </c>
      <c r="BA16" s="206">
        <v>0.02</v>
      </c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</row>
    <row r="17" ht="15.75" customHeight="1">
      <c r="A17" s="237"/>
      <c r="B17" s="237"/>
      <c r="C17" s="237"/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08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6">
        <v>0.14</v>
      </c>
      <c r="AW17" s="206">
        <v>0.33</v>
      </c>
      <c r="AX17" s="206">
        <v>0.25</v>
      </c>
      <c r="AY17" s="206">
        <v>0.15</v>
      </c>
      <c r="AZ17" s="206">
        <v>0.07</v>
      </c>
      <c r="BA17" s="206">
        <v>0.04</v>
      </c>
      <c r="BB17" s="206">
        <v>0.02</v>
      </c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</row>
    <row r="18" ht="15.75" customHeight="1">
      <c r="A18" s="237"/>
      <c r="B18" s="237"/>
      <c r="C18" s="237"/>
      <c r="D18" s="238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8"/>
      <c r="S18" s="238"/>
      <c r="T18" s="238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08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6">
        <v>0.14</v>
      </c>
      <c r="AX18" s="206">
        <v>0.33</v>
      </c>
      <c r="AY18" s="206">
        <v>0.25</v>
      </c>
      <c r="AZ18" s="206">
        <v>0.15</v>
      </c>
      <c r="BA18" s="206">
        <v>0.07</v>
      </c>
      <c r="BB18" s="206">
        <v>0.04</v>
      </c>
      <c r="BC18" s="206">
        <v>0.02</v>
      </c>
      <c r="BD18" s="207"/>
      <c r="BE18" s="207"/>
      <c r="BF18" s="207"/>
      <c r="BG18" s="207"/>
      <c r="BH18" s="207"/>
      <c r="BI18" s="207"/>
      <c r="BJ18" s="207"/>
      <c r="BK18" s="207"/>
      <c r="BL18" s="207"/>
    </row>
    <row r="19" ht="15.75" customHeight="1">
      <c r="A19" s="237"/>
      <c r="B19" s="237"/>
      <c r="C19" s="237"/>
      <c r="D19" s="238"/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08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6">
        <v>0.14</v>
      </c>
      <c r="AY19" s="206">
        <v>0.33</v>
      </c>
      <c r="AZ19" s="206">
        <v>0.25</v>
      </c>
      <c r="BA19" s="206">
        <v>0.15</v>
      </c>
      <c r="BB19" s="206">
        <v>0.07</v>
      </c>
      <c r="BC19" s="206">
        <v>0.04</v>
      </c>
      <c r="BD19" s="206">
        <v>0.02</v>
      </c>
      <c r="BE19" s="207"/>
      <c r="BF19" s="207"/>
      <c r="BG19" s="207"/>
      <c r="BH19" s="207"/>
      <c r="BI19" s="207"/>
      <c r="BJ19" s="207"/>
      <c r="BK19" s="207"/>
      <c r="BL19" s="207"/>
    </row>
    <row r="20" ht="15.75" customHeight="1">
      <c r="A20" s="237"/>
      <c r="B20" s="237"/>
      <c r="C20" s="237"/>
      <c r="D20" s="238"/>
      <c r="E20" s="238"/>
      <c r="F20" s="238"/>
      <c r="G20" s="238"/>
      <c r="H20" s="238"/>
      <c r="I20" s="238"/>
      <c r="J20" s="238"/>
      <c r="K20" s="238"/>
      <c r="L20" s="238"/>
      <c r="M20" s="238"/>
      <c r="N20" s="238"/>
      <c r="O20" s="238"/>
      <c r="P20" s="238"/>
      <c r="Q20" s="238"/>
      <c r="R20" s="238"/>
      <c r="S20" s="238"/>
      <c r="T20" s="238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08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6">
        <v>0.14</v>
      </c>
      <c r="AZ20" s="206">
        <v>0.33</v>
      </c>
      <c r="BA20" s="206">
        <v>0.25</v>
      </c>
      <c r="BB20" s="206">
        <v>0.15</v>
      </c>
      <c r="BC20" s="206">
        <v>0.07</v>
      </c>
      <c r="BD20" s="206">
        <v>0.04</v>
      </c>
      <c r="BE20" s="206">
        <v>0.02</v>
      </c>
      <c r="BF20" s="207"/>
      <c r="BG20" s="207"/>
      <c r="BH20" s="207"/>
      <c r="BI20" s="207"/>
      <c r="BJ20" s="207"/>
      <c r="BK20" s="207"/>
      <c r="BL20" s="207"/>
    </row>
    <row r="21" ht="15.75" customHeight="1">
      <c r="A21" s="237"/>
      <c r="B21" s="237"/>
      <c r="C21" s="237"/>
      <c r="D21" s="238"/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08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6">
        <v>0.14</v>
      </c>
      <c r="BA21" s="206">
        <v>0.33</v>
      </c>
      <c r="BB21" s="206">
        <v>0.25</v>
      </c>
      <c r="BC21" s="206">
        <v>0.15</v>
      </c>
      <c r="BD21" s="206">
        <v>0.07</v>
      </c>
      <c r="BE21" s="206">
        <v>0.04</v>
      </c>
      <c r="BF21" s="206">
        <v>0.02</v>
      </c>
      <c r="BG21" s="207"/>
      <c r="BH21" s="207"/>
      <c r="BI21" s="207"/>
      <c r="BJ21" s="207"/>
      <c r="BK21" s="207"/>
      <c r="BL21" s="207"/>
    </row>
    <row r="22" ht="15.75" customHeight="1">
      <c r="A22" s="237"/>
      <c r="B22" s="237"/>
      <c r="C22" s="237"/>
      <c r="D22" s="238"/>
      <c r="E22" s="238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08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6">
        <v>0.14</v>
      </c>
      <c r="BB22" s="206">
        <v>0.33</v>
      </c>
      <c r="BC22" s="206">
        <v>0.25</v>
      </c>
      <c r="BD22" s="206">
        <v>0.15</v>
      </c>
      <c r="BE22" s="206">
        <v>0.07</v>
      </c>
      <c r="BF22" s="206">
        <v>0.04</v>
      </c>
      <c r="BG22" s="206">
        <v>0.02</v>
      </c>
      <c r="BH22" s="207"/>
      <c r="BI22" s="207"/>
      <c r="BJ22" s="207"/>
      <c r="BK22" s="207"/>
      <c r="BL22" s="207"/>
    </row>
    <row r="23" ht="15.75" customHeight="1">
      <c r="A23" s="237"/>
      <c r="B23" s="237"/>
      <c r="C23" s="237"/>
      <c r="D23" s="238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08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6">
        <v>0.14</v>
      </c>
      <c r="BC23" s="206">
        <v>0.33</v>
      </c>
      <c r="BD23" s="206">
        <v>0.25</v>
      </c>
      <c r="BE23" s="206">
        <v>0.15</v>
      </c>
      <c r="BF23" s="206">
        <v>0.07</v>
      </c>
      <c r="BG23" s="206">
        <v>0.04</v>
      </c>
      <c r="BH23" s="206">
        <v>0.02</v>
      </c>
      <c r="BI23" s="207"/>
      <c r="BJ23" s="207"/>
      <c r="BK23" s="207"/>
      <c r="BL23" s="207"/>
    </row>
    <row r="24" ht="15.75" customHeight="1">
      <c r="A24" s="237"/>
      <c r="B24" s="237"/>
      <c r="C24" s="237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08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6">
        <v>0.14</v>
      </c>
      <c r="BD24" s="206">
        <v>0.33</v>
      </c>
      <c r="BE24" s="206">
        <v>0.25</v>
      </c>
      <c r="BF24" s="206">
        <v>0.15</v>
      </c>
      <c r="BG24" s="206">
        <v>0.07</v>
      </c>
      <c r="BH24" s="206">
        <v>0.04</v>
      </c>
      <c r="BI24" s="206">
        <v>0.02</v>
      </c>
      <c r="BJ24" s="207"/>
      <c r="BK24" s="207"/>
      <c r="BL24" s="207"/>
    </row>
    <row r="25" ht="15.75" customHeight="1">
      <c r="A25" s="237"/>
      <c r="B25" s="237"/>
      <c r="C25" s="237"/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08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6">
        <v>0.14</v>
      </c>
      <c r="BE25" s="206">
        <v>0.33</v>
      </c>
      <c r="BF25" s="206">
        <v>0.25</v>
      </c>
      <c r="BG25" s="206">
        <v>0.15</v>
      </c>
      <c r="BH25" s="206">
        <v>0.07</v>
      </c>
      <c r="BI25" s="206">
        <v>0.04</v>
      </c>
      <c r="BJ25" s="206">
        <v>0.02</v>
      </c>
      <c r="BK25" s="207"/>
      <c r="BL25" s="207"/>
    </row>
    <row r="26" ht="15.75" customHeight="1">
      <c r="A26" s="237"/>
      <c r="B26" s="237"/>
      <c r="C26" s="237"/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08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6">
        <v>0.14</v>
      </c>
      <c r="BF26" s="206">
        <v>0.33</v>
      </c>
      <c r="BG26" s="206">
        <v>0.25</v>
      </c>
      <c r="BH26" s="206">
        <v>0.15</v>
      </c>
      <c r="BI26" s="206">
        <v>0.07</v>
      </c>
      <c r="BJ26" s="206">
        <v>0.04</v>
      </c>
      <c r="BK26" s="206">
        <v>0.02</v>
      </c>
      <c r="BL26" s="207"/>
    </row>
    <row r="27" ht="15.75" customHeight="1">
      <c r="A27" s="237"/>
      <c r="B27" s="237"/>
      <c r="C27" s="237"/>
      <c r="D27" s="238"/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08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6">
        <v>0.14</v>
      </c>
      <c r="BG27" s="206">
        <v>0.33</v>
      </c>
      <c r="BH27" s="206">
        <v>0.25</v>
      </c>
      <c r="BI27" s="206">
        <v>0.15</v>
      </c>
      <c r="BJ27" s="206">
        <v>0.07</v>
      </c>
      <c r="BK27" s="206">
        <v>0.04</v>
      </c>
      <c r="BL27" s="206">
        <v>0.02</v>
      </c>
    </row>
    <row r="28" ht="15.75" customHeight="1">
      <c r="A28" s="237"/>
      <c r="B28" s="237"/>
      <c r="C28" s="237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08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6">
        <v>0.14</v>
      </c>
      <c r="BH28" s="206">
        <v>0.33</v>
      </c>
      <c r="BI28" s="206">
        <v>0.25</v>
      </c>
      <c r="BJ28" s="206">
        <v>0.15</v>
      </c>
      <c r="BK28" s="206">
        <v>0.07</v>
      </c>
      <c r="BL28" s="206">
        <v>0.04</v>
      </c>
    </row>
    <row r="29" ht="15.75" customHeight="1">
      <c r="A29" s="237"/>
      <c r="B29" s="237"/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08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6">
        <v>0.14</v>
      </c>
      <c r="BI29" s="206">
        <v>0.33</v>
      </c>
      <c r="BJ29" s="206">
        <v>0.25</v>
      </c>
      <c r="BK29" s="206">
        <v>0.15</v>
      </c>
      <c r="BL29" s="206">
        <v>0.07</v>
      </c>
    </row>
    <row r="30" ht="15.75" customHeight="1">
      <c r="A30" s="237"/>
      <c r="B30" s="237"/>
      <c r="C30" s="237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08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6">
        <v>0.14</v>
      </c>
      <c r="BJ30" s="206">
        <v>0.33</v>
      </c>
      <c r="BK30" s="206">
        <v>0.25</v>
      </c>
      <c r="BL30" s="206">
        <v>0.15</v>
      </c>
    </row>
    <row r="31" ht="15.75" customHeight="1">
      <c r="A31" s="237"/>
      <c r="B31" s="237"/>
      <c r="C31" s="237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08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6">
        <v>0.14</v>
      </c>
      <c r="BK31" s="206">
        <v>0.33</v>
      </c>
      <c r="BL31" s="206">
        <v>0.25</v>
      </c>
    </row>
    <row r="32" ht="15.75" customHeight="1">
      <c r="A32" s="237"/>
      <c r="B32" s="237"/>
      <c r="C32" s="237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08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6">
        <v>0.14</v>
      </c>
      <c r="BL32" s="206">
        <v>0.33</v>
      </c>
    </row>
    <row r="33" ht="15.75" customHeight="1">
      <c r="A33" s="237"/>
      <c r="B33" s="237"/>
      <c r="C33" s="237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08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6">
        <v>0.14</v>
      </c>
    </row>
    <row r="34" ht="15.75" customHeight="1">
      <c r="A34" s="237"/>
      <c r="B34" s="237"/>
      <c r="C34" s="237"/>
      <c r="D34" s="237"/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  <c r="AA34" s="237"/>
      <c r="AB34" s="237"/>
      <c r="AC34" s="237"/>
      <c r="AD34" s="237"/>
      <c r="AE34" s="204"/>
      <c r="AF34" s="209" t="s">
        <v>14</v>
      </c>
      <c r="AG34" s="209" t="s">
        <v>2</v>
      </c>
      <c r="AH34" s="209" t="s">
        <v>3</v>
      </c>
      <c r="AI34" s="209" t="s">
        <v>4</v>
      </c>
      <c r="AJ34" s="209" t="s">
        <v>5</v>
      </c>
      <c r="AK34" s="209" t="s">
        <v>6</v>
      </c>
      <c r="AL34" s="209" t="s">
        <v>7</v>
      </c>
      <c r="AM34" s="209" t="s">
        <v>8</v>
      </c>
      <c r="AN34" s="209" t="s">
        <v>9</v>
      </c>
      <c r="AO34" s="209" t="s">
        <v>10</v>
      </c>
      <c r="AP34" s="209" t="s">
        <v>11</v>
      </c>
      <c r="AQ34" s="209" t="s">
        <v>12</v>
      </c>
      <c r="AR34" s="209" t="s">
        <v>13</v>
      </c>
      <c r="AS34" s="209" t="s">
        <v>63</v>
      </c>
      <c r="AT34" s="209" t="s">
        <v>64</v>
      </c>
      <c r="AU34" s="209" t="s">
        <v>65</v>
      </c>
      <c r="AV34" s="209" t="s">
        <v>66</v>
      </c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</row>
    <row r="35" ht="15.75" customHeight="1">
      <c r="A35" s="237"/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04"/>
      <c r="AF35" s="212">
        <v>0.0</v>
      </c>
      <c r="AG35" s="53">
        <f t="shared" ref="AG35:AM35" si="1">$AF35*AG2</f>
        <v>0</v>
      </c>
      <c r="AH35" s="53">
        <f t="shared" si="1"/>
        <v>0</v>
      </c>
      <c r="AI35" s="53">
        <f t="shared" si="1"/>
        <v>0</v>
      </c>
      <c r="AJ35" s="53">
        <f t="shared" si="1"/>
        <v>0</v>
      </c>
      <c r="AK35" s="53">
        <f t="shared" si="1"/>
        <v>0</v>
      </c>
      <c r="AL35" s="53">
        <f t="shared" si="1"/>
        <v>0</v>
      </c>
      <c r="AM35" s="53">
        <f t="shared" si="1"/>
        <v>0</v>
      </c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</row>
    <row r="36" ht="15.75" customHeight="1">
      <c r="A36" s="237"/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  <c r="AA36" s="239"/>
      <c r="AB36" s="239"/>
      <c r="AC36" s="239"/>
      <c r="AD36" s="239"/>
      <c r="AE36" s="204"/>
      <c r="AF36" s="212">
        <v>0.0</v>
      </c>
      <c r="AG36" s="211"/>
      <c r="AH36" s="53">
        <f t="shared" ref="AH36:AN36" si="2">$AF36*AH3</f>
        <v>0</v>
      </c>
      <c r="AI36" s="53">
        <f t="shared" si="2"/>
        <v>0</v>
      </c>
      <c r="AJ36" s="53">
        <f t="shared" si="2"/>
        <v>0</v>
      </c>
      <c r="AK36" s="53">
        <f t="shared" si="2"/>
        <v>0</v>
      </c>
      <c r="AL36" s="53">
        <f t="shared" si="2"/>
        <v>0</v>
      </c>
      <c r="AM36" s="53">
        <f t="shared" si="2"/>
        <v>0</v>
      </c>
      <c r="AN36" s="53">
        <f t="shared" si="2"/>
        <v>0</v>
      </c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</row>
    <row r="37" ht="15.75" customHeight="1">
      <c r="A37" s="237"/>
      <c r="B37" s="239"/>
      <c r="C37" s="239"/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04"/>
      <c r="AF37" s="212">
        <v>0.0</v>
      </c>
      <c r="AG37" s="207"/>
      <c r="AH37" s="211"/>
      <c r="AI37" s="53">
        <f t="shared" ref="AI37:AO37" si="3">$AF37*AI4</f>
        <v>0</v>
      </c>
      <c r="AJ37" s="53">
        <f t="shared" si="3"/>
        <v>0</v>
      </c>
      <c r="AK37" s="53">
        <f t="shared" si="3"/>
        <v>0</v>
      </c>
      <c r="AL37" s="53">
        <f t="shared" si="3"/>
        <v>0</v>
      </c>
      <c r="AM37" s="53">
        <f t="shared" si="3"/>
        <v>0</v>
      </c>
      <c r="AN37" s="53">
        <f t="shared" si="3"/>
        <v>0</v>
      </c>
      <c r="AO37" s="53">
        <f t="shared" si="3"/>
        <v>0</v>
      </c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</row>
    <row r="38" ht="15.75" customHeight="1">
      <c r="A38" s="237"/>
      <c r="B38" s="239"/>
      <c r="C38" s="239"/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  <c r="AA38" s="239"/>
      <c r="AB38" s="239"/>
      <c r="AC38" s="239"/>
      <c r="AD38" s="239"/>
      <c r="AE38" s="204"/>
      <c r="AF38" s="212">
        <v>0.0</v>
      </c>
      <c r="AG38" s="207"/>
      <c r="AH38" s="211"/>
      <c r="AI38" s="211"/>
      <c r="AJ38" s="53">
        <f t="shared" ref="AJ38:AP38" si="4">$AF38*AJ5</f>
        <v>0</v>
      </c>
      <c r="AK38" s="53">
        <f t="shared" si="4"/>
        <v>0</v>
      </c>
      <c r="AL38" s="53">
        <f t="shared" si="4"/>
        <v>0</v>
      </c>
      <c r="AM38" s="53">
        <f t="shared" si="4"/>
        <v>0</v>
      </c>
      <c r="AN38" s="53">
        <f t="shared" si="4"/>
        <v>0</v>
      </c>
      <c r="AO38" s="53">
        <f t="shared" si="4"/>
        <v>0</v>
      </c>
      <c r="AP38" s="53">
        <f t="shared" si="4"/>
        <v>0</v>
      </c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</row>
    <row r="39" ht="15.75" customHeight="1">
      <c r="A39" s="237"/>
      <c r="B39" s="237"/>
      <c r="C39" s="237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  <c r="AA39" s="239"/>
      <c r="AB39" s="239"/>
      <c r="AC39" s="239"/>
      <c r="AD39" s="239"/>
      <c r="AE39" s="204"/>
      <c r="AF39" s="212">
        <v>0.0</v>
      </c>
      <c r="AG39" s="207"/>
      <c r="AH39" s="211"/>
      <c r="AI39" s="211"/>
      <c r="AJ39" s="211"/>
      <c r="AK39" s="53">
        <f t="shared" ref="AK39:AQ39" si="5">$AF39*AK6</f>
        <v>0</v>
      </c>
      <c r="AL39" s="53">
        <f t="shared" si="5"/>
        <v>0</v>
      </c>
      <c r="AM39" s="53">
        <f t="shared" si="5"/>
        <v>0</v>
      </c>
      <c r="AN39" s="53">
        <f t="shared" si="5"/>
        <v>0</v>
      </c>
      <c r="AO39" s="53">
        <f t="shared" si="5"/>
        <v>0</v>
      </c>
      <c r="AP39" s="53">
        <f t="shared" si="5"/>
        <v>0</v>
      </c>
      <c r="AQ39" s="53">
        <f t="shared" si="5"/>
        <v>0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</row>
    <row r="40" ht="15.75" customHeight="1">
      <c r="A40" s="237"/>
      <c r="B40" s="237"/>
      <c r="C40" s="238"/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  <c r="AA40" s="239"/>
      <c r="AB40" s="239"/>
      <c r="AC40" s="239"/>
      <c r="AD40" s="239"/>
      <c r="AE40" s="215"/>
      <c r="AF40" s="216">
        <f t="array" ref="AF40:AF66">transpose(D67:AD67)</f>
        <v>12</v>
      </c>
      <c r="AG40" s="207"/>
      <c r="AH40" s="211"/>
      <c r="AI40" s="211"/>
      <c r="AJ40" s="211"/>
      <c r="AK40" s="211"/>
      <c r="AL40" s="53">
        <f t="shared" ref="AL40:AR40" si="6">$AF40*AL7</f>
        <v>1.68</v>
      </c>
      <c r="AM40" s="53">
        <f t="shared" si="6"/>
        <v>3.96</v>
      </c>
      <c r="AN40" s="53">
        <f t="shared" si="6"/>
        <v>3</v>
      </c>
      <c r="AO40" s="53">
        <f t="shared" si="6"/>
        <v>1.8</v>
      </c>
      <c r="AP40" s="53">
        <f t="shared" si="6"/>
        <v>0.84</v>
      </c>
      <c r="AQ40" s="53">
        <f t="shared" si="6"/>
        <v>0.48</v>
      </c>
      <c r="AR40" s="53">
        <f t="shared" si="6"/>
        <v>0.24</v>
      </c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</row>
    <row r="41" ht="15.75" customHeight="1">
      <c r="A41" s="237"/>
      <c r="B41" s="237"/>
      <c r="C41" s="238"/>
      <c r="D41" s="239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  <c r="AA41" s="239"/>
      <c r="AB41" s="239"/>
      <c r="AC41" s="239"/>
      <c r="AD41" s="239"/>
      <c r="AE41" s="217"/>
      <c r="AF41" s="53">
        <v>7.0</v>
      </c>
      <c r="AG41" s="207"/>
      <c r="AH41" s="211"/>
      <c r="AI41" s="211"/>
      <c r="AJ41" s="211"/>
      <c r="AK41" s="211"/>
      <c r="AL41" s="211"/>
      <c r="AM41" s="53">
        <f t="shared" ref="AM41:AS41" si="7">$AF41*AM8</f>
        <v>0.98</v>
      </c>
      <c r="AN41" s="53">
        <f t="shared" si="7"/>
        <v>2.31</v>
      </c>
      <c r="AO41" s="53">
        <f t="shared" si="7"/>
        <v>1.75</v>
      </c>
      <c r="AP41" s="53">
        <f t="shared" si="7"/>
        <v>1.05</v>
      </c>
      <c r="AQ41" s="53">
        <f t="shared" si="7"/>
        <v>0.49</v>
      </c>
      <c r="AR41" s="53">
        <f t="shared" si="7"/>
        <v>0.28</v>
      </c>
      <c r="AS41" s="53">
        <f t="shared" si="7"/>
        <v>0.14</v>
      </c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</row>
    <row r="42" ht="15.75" customHeight="1">
      <c r="A42" s="237"/>
      <c r="B42" s="237"/>
      <c r="C42" s="238"/>
      <c r="D42" s="237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  <c r="AA42" s="239"/>
      <c r="AB42" s="239"/>
      <c r="AC42" s="239"/>
      <c r="AD42" s="239"/>
      <c r="AE42" s="217"/>
      <c r="AF42" s="53">
        <v>6.0</v>
      </c>
      <c r="AG42" s="207"/>
      <c r="AH42" s="211"/>
      <c r="AI42" s="211"/>
      <c r="AJ42" s="211"/>
      <c r="AK42" s="211"/>
      <c r="AL42" s="211"/>
      <c r="AM42" s="211"/>
      <c r="AN42" s="53">
        <f t="shared" ref="AN42:AT42" si="8">$AF42*AN9</f>
        <v>0.84</v>
      </c>
      <c r="AO42" s="53">
        <f t="shared" si="8"/>
        <v>1.98</v>
      </c>
      <c r="AP42" s="53">
        <f t="shared" si="8"/>
        <v>1.5</v>
      </c>
      <c r="AQ42" s="53">
        <f t="shared" si="8"/>
        <v>0.9</v>
      </c>
      <c r="AR42" s="53">
        <f t="shared" si="8"/>
        <v>0.42</v>
      </c>
      <c r="AS42" s="53">
        <f t="shared" si="8"/>
        <v>0.24</v>
      </c>
      <c r="AT42" s="53">
        <f t="shared" si="8"/>
        <v>0.12</v>
      </c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</row>
    <row r="43" ht="15.75" customHeight="1">
      <c r="A43" s="237"/>
      <c r="B43" s="237"/>
      <c r="C43" s="238"/>
      <c r="D43" s="237"/>
      <c r="E43" s="237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17"/>
      <c r="AF43" s="53">
        <v>3.0</v>
      </c>
      <c r="AG43" s="207"/>
      <c r="AH43" s="211"/>
      <c r="AI43" s="211"/>
      <c r="AJ43" s="211"/>
      <c r="AK43" s="211"/>
      <c r="AL43" s="211"/>
      <c r="AM43" s="211"/>
      <c r="AN43" s="211"/>
      <c r="AO43" s="53">
        <f t="shared" ref="AO43:AU43" si="9">$AF43*AO10</f>
        <v>0.42</v>
      </c>
      <c r="AP43" s="53">
        <f t="shared" si="9"/>
        <v>0.99</v>
      </c>
      <c r="AQ43" s="53">
        <f t="shared" si="9"/>
        <v>0.75</v>
      </c>
      <c r="AR43" s="53">
        <f t="shared" si="9"/>
        <v>0.45</v>
      </c>
      <c r="AS43" s="53">
        <f t="shared" si="9"/>
        <v>0.21</v>
      </c>
      <c r="AT43" s="53">
        <f t="shared" si="9"/>
        <v>0.12</v>
      </c>
      <c r="AU43" s="53">
        <f t="shared" si="9"/>
        <v>0.06</v>
      </c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</row>
    <row r="44" ht="15.75" customHeight="1">
      <c r="A44" s="237"/>
      <c r="B44" s="237"/>
      <c r="C44" s="238"/>
      <c r="D44" s="237"/>
      <c r="E44" s="237"/>
      <c r="F44" s="237"/>
      <c r="G44" s="237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  <c r="AE44" s="217"/>
      <c r="AF44" s="53">
        <v>3.0</v>
      </c>
      <c r="AG44" s="207"/>
      <c r="AH44" s="211"/>
      <c r="AI44" s="211"/>
      <c r="AJ44" s="211"/>
      <c r="AK44" s="211"/>
      <c r="AL44" s="211"/>
      <c r="AM44" s="211"/>
      <c r="AN44" s="211"/>
      <c r="AO44" s="211"/>
      <c r="AP44" s="53">
        <f t="shared" ref="AP44:AV44" si="10">$AF44*AP11</f>
        <v>0.42</v>
      </c>
      <c r="AQ44" s="53">
        <f t="shared" si="10"/>
        <v>0.99</v>
      </c>
      <c r="AR44" s="53">
        <f t="shared" si="10"/>
        <v>0.75</v>
      </c>
      <c r="AS44" s="53">
        <f t="shared" si="10"/>
        <v>0.45</v>
      </c>
      <c r="AT44" s="53">
        <f t="shared" si="10"/>
        <v>0.21</v>
      </c>
      <c r="AU44" s="53">
        <f t="shared" si="10"/>
        <v>0.12</v>
      </c>
      <c r="AV44" s="53">
        <f t="shared" si="10"/>
        <v>0.06</v>
      </c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</row>
    <row r="45" ht="15.75" customHeight="1">
      <c r="A45" s="237"/>
      <c r="B45" s="237"/>
      <c r="C45" s="238"/>
      <c r="D45" s="237"/>
      <c r="E45" s="237"/>
      <c r="F45" s="237"/>
      <c r="G45" s="237"/>
      <c r="H45" s="237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17"/>
      <c r="AF45" s="53">
        <v>6.0</v>
      </c>
      <c r="AG45" s="207"/>
      <c r="AH45" s="211"/>
      <c r="AI45" s="211"/>
      <c r="AJ45" s="211"/>
      <c r="AK45" s="211"/>
      <c r="AL45" s="211"/>
      <c r="AM45" s="211"/>
      <c r="AN45" s="211"/>
      <c r="AO45" s="211"/>
      <c r="AP45" s="211"/>
      <c r="AQ45" s="53">
        <f t="shared" ref="AQ45:AW45" si="11">$AF45*AQ12</f>
        <v>0.84</v>
      </c>
      <c r="AR45" s="53">
        <f t="shared" si="11"/>
        <v>1.98</v>
      </c>
      <c r="AS45" s="53">
        <f t="shared" si="11"/>
        <v>1.5</v>
      </c>
      <c r="AT45" s="53">
        <f t="shared" si="11"/>
        <v>0.9</v>
      </c>
      <c r="AU45" s="53">
        <f t="shared" si="11"/>
        <v>0.42</v>
      </c>
      <c r="AV45" s="53">
        <f t="shared" si="11"/>
        <v>0.24</v>
      </c>
      <c r="AW45" s="53">
        <f t="shared" si="11"/>
        <v>0.12</v>
      </c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</row>
    <row r="46" ht="15.75" customHeight="1">
      <c r="A46" s="237"/>
      <c r="B46" s="240"/>
      <c r="C46" s="238"/>
      <c r="D46" s="237"/>
      <c r="E46" s="237"/>
      <c r="F46" s="237"/>
      <c r="G46" s="237"/>
      <c r="H46" s="237"/>
      <c r="I46" s="237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  <c r="AA46" s="239"/>
      <c r="AB46" s="239"/>
      <c r="AC46" s="239"/>
      <c r="AD46" s="239"/>
      <c r="AE46" s="217"/>
      <c r="AF46" s="53">
        <v>6.0</v>
      </c>
      <c r="AG46" s="207"/>
      <c r="AH46" s="211"/>
      <c r="AI46" s="211"/>
      <c r="AJ46" s="211"/>
      <c r="AK46" s="211"/>
      <c r="AL46" s="211"/>
      <c r="AM46" s="211"/>
      <c r="AN46" s="211"/>
      <c r="AO46" s="211"/>
      <c r="AP46" s="207"/>
      <c r="AQ46" s="211"/>
      <c r="AR46" s="53">
        <f t="shared" ref="AR46:AX46" si="12">$AF46*AR13</f>
        <v>0.84</v>
      </c>
      <c r="AS46" s="53">
        <f t="shared" si="12"/>
        <v>1.98</v>
      </c>
      <c r="AT46" s="53">
        <f t="shared" si="12"/>
        <v>1.5</v>
      </c>
      <c r="AU46" s="53">
        <f t="shared" si="12"/>
        <v>0.9</v>
      </c>
      <c r="AV46" s="53">
        <f t="shared" si="12"/>
        <v>0.42</v>
      </c>
      <c r="AW46" s="53">
        <f t="shared" si="12"/>
        <v>0.24</v>
      </c>
      <c r="AX46" s="53">
        <f t="shared" si="12"/>
        <v>0.12</v>
      </c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</row>
    <row r="47" ht="15.75" customHeight="1">
      <c r="A47" s="237"/>
      <c r="B47" s="240"/>
      <c r="C47" s="238"/>
      <c r="D47" s="237"/>
      <c r="E47" s="237"/>
      <c r="F47" s="237"/>
      <c r="G47" s="237"/>
      <c r="H47" s="237"/>
      <c r="I47" s="237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17"/>
      <c r="AF47" s="53">
        <v>7.0</v>
      </c>
      <c r="AG47" s="207"/>
      <c r="AH47" s="211"/>
      <c r="AI47" s="211"/>
      <c r="AJ47" s="211"/>
      <c r="AK47" s="211"/>
      <c r="AL47" s="211"/>
      <c r="AM47" s="211"/>
      <c r="AN47" s="211"/>
      <c r="AO47" s="211"/>
      <c r="AP47" s="207"/>
      <c r="AQ47" s="211"/>
      <c r="AR47" s="211"/>
      <c r="AS47" s="53">
        <f t="shared" ref="AS47:AY47" si="13">$AF47*AS14</f>
        <v>0.98</v>
      </c>
      <c r="AT47" s="53">
        <f t="shared" si="13"/>
        <v>2.31</v>
      </c>
      <c r="AU47" s="53">
        <f t="shared" si="13"/>
        <v>1.75</v>
      </c>
      <c r="AV47" s="53">
        <f t="shared" si="13"/>
        <v>1.05</v>
      </c>
      <c r="AW47" s="53">
        <f t="shared" si="13"/>
        <v>0.49</v>
      </c>
      <c r="AX47" s="53">
        <f t="shared" si="13"/>
        <v>0.28</v>
      </c>
      <c r="AY47" s="53">
        <f t="shared" si="13"/>
        <v>0.14</v>
      </c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</row>
    <row r="48" ht="15.75" customHeight="1">
      <c r="A48" s="237"/>
      <c r="B48" s="240"/>
      <c r="C48" s="238"/>
      <c r="D48" s="237"/>
      <c r="E48" s="237"/>
      <c r="F48" s="237"/>
      <c r="G48" s="237"/>
      <c r="H48" s="237"/>
      <c r="I48" s="237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  <c r="V48" s="239"/>
      <c r="W48" s="239"/>
      <c r="X48" s="239"/>
      <c r="Y48" s="239"/>
      <c r="Z48" s="239"/>
      <c r="AA48" s="239"/>
      <c r="AB48" s="239"/>
      <c r="AC48" s="239"/>
      <c r="AD48" s="239"/>
      <c r="AE48" s="217"/>
      <c r="AF48" s="53">
        <v>2.0</v>
      </c>
      <c r="AG48" s="207"/>
      <c r="AH48" s="211"/>
      <c r="AI48" s="211"/>
      <c r="AJ48" s="211"/>
      <c r="AK48" s="211"/>
      <c r="AL48" s="211"/>
      <c r="AM48" s="211"/>
      <c r="AN48" s="211"/>
      <c r="AO48" s="211"/>
      <c r="AP48" s="207"/>
      <c r="AQ48" s="211"/>
      <c r="AR48" s="211"/>
      <c r="AS48" s="211"/>
      <c r="AT48" s="53">
        <f t="shared" ref="AT48:AZ48" si="14">$AF48*AT15</f>
        <v>0.28</v>
      </c>
      <c r="AU48" s="53">
        <f t="shared" si="14"/>
        <v>0.66</v>
      </c>
      <c r="AV48" s="53">
        <f t="shared" si="14"/>
        <v>0.5</v>
      </c>
      <c r="AW48" s="53">
        <f t="shared" si="14"/>
        <v>0.3</v>
      </c>
      <c r="AX48" s="53">
        <f t="shared" si="14"/>
        <v>0.14</v>
      </c>
      <c r="AY48" s="53">
        <f t="shared" si="14"/>
        <v>0.08</v>
      </c>
      <c r="AZ48" s="53">
        <f t="shared" si="14"/>
        <v>0.04</v>
      </c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</row>
    <row r="49" ht="15.75" customHeight="1">
      <c r="A49" s="237"/>
      <c r="B49" s="240"/>
      <c r="C49" s="238"/>
      <c r="D49" s="237"/>
      <c r="E49" s="237"/>
      <c r="F49" s="237"/>
      <c r="G49" s="237"/>
      <c r="H49" s="237"/>
      <c r="I49" s="237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17"/>
      <c r="AF49" s="53">
        <v>2.0</v>
      </c>
      <c r="AG49" s="207"/>
      <c r="AH49" s="211"/>
      <c r="AI49" s="211"/>
      <c r="AJ49" s="211"/>
      <c r="AK49" s="211"/>
      <c r="AL49" s="211"/>
      <c r="AM49" s="211"/>
      <c r="AN49" s="211"/>
      <c r="AO49" s="211"/>
      <c r="AP49" s="207"/>
      <c r="AQ49" s="211"/>
      <c r="AR49" s="211"/>
      <c r="AS49" s="211"/>
      <c r="AT49" s="211"/>
      <c r="AU49" s="53">
        <f t="shared" ref="AU49:BA49" si="15">$AF49*AU16</f>
        <v>0.28</v>
      </c>
      <c r="AV49" s="53">
        <f t="shared" si="15"/>
        <v>0.66</v>
      </c>
      <c r="AW49" s="53">
        <f t="shared" si="15"/>
        <v>0.5</v>
      </c>
      <c r="AX49" s="53">
        <f t="shared" si="15"/>
        <v>0.3</v>
      </c>
      <c r="AY49" s="53">
        <f t="shared" si="15"/>
        <v>0.14</v>
      </c>
      <c r="AZ49" s="53">
        <f t="shared" si="15"/>
        <v>0.08</v>
      </c>
      <c r="BA49" s="53">
        <f t="shared" si="15"/>
        <v>0.04</v>
      </c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</row>
    <row r="50" ht="15.75" customHeight="1">
      <c r="A50" s="237"/>
      <c r="B50" s="240"/>
      <c r="C50" s="238"/>
      <c r="D50" s="237"/>
      <c r="E50" s="237"/>
      <c r="F50" s="237"/>
      <c r="G50" s="237"/>
      <c r="H50" s="237"/>
      <c r="I50" s="237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17"/>
      <c r="AF50" s="53">
        <v>0.0</v>
      </c>
      <c r="AG50" s="207"/>
      <c r="AH50" s="211"/>
      <c r="AI50" s="211"/>
      <c r="AJ50" s="211"/>
      <c r="AK50" s="211"/>
      <c r="AL50" s="211"/>
      <c r="AM50" s="211"/>
      <c r="AN50" s="211"/>
      <c r="AO50" s="211"/>
      <c r="AP50" s="207"/>
      <c r="AQ50" s="211"/>
      <c r="AR50" s="211"/>
      <c r="AS50" s="211"/>
      <c r="AT50" s="211"/>
      <c r="AU50" s="211"/>
      <c r="AV50" s="53">
        <f t="shared" ref="AV50:BB50" si="16">$AF50*AV17</f>
        <v>0</v>
      </c>
      <c r="AW50" s="53">
        <f t="shared" si="16"/>
        <v>0</v>
      </c>
      <c r="AX50" s="53">
        <f t="shared" si="16"/>
        <v>0</v>
      </c>
      <c r="AY50" s="53">
        <f t="shared" si="16"/>
        <v>0</v>
      </c>
      <c r="AZ50" s="53">
        <f t="shared" si="16"/>
        <v>0</v>
      </c>
      <c r="BA50" s="53">
        <f t="shared" si="16"/>
        <v>0</v>
      </c>
      <c r="BB50" s="53">
        <f t="shared" si="16"/>
        <v>0</v>
      </c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</row>
    <row r="51" ht="15.75" customHeight="1">
      <c r="A51" s="237"/>
      <c r="B51" s="240"/>
      <c r="C51" s="238"/>
      <c r="D51" s="237"/>
      <c r="E51" s="237"/>
      <c r="F51" s="237"/>
      <c r="G51" s="237"/>
      <c r="H51" s="237"/>
      <c r="I51" s="237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17"/>
      <c r="AF51" s="53">
        <v>1.0</v>
      </c>
      <c r="AG51" s="207"/>
      <c r="AH51" s="211"/>
      <c r="AI51" s="211"/>
      <c r="AJ51" s="211"/>
      <c r="AK51" s="211"/>
      <c r="AL51" s="211"/>
      <c r="AM51" s="211"/>
      <c r="AN51" s="211"/>
      <c r="AO51" s="211"/>
      <c r="AP51" s="207"/>
      <c r="AQ51" s="211"/>
      <c r="AR51" s="211"/>
      <c r="AS51" s="211"/>
      <c r="AT51" s="211"/>
      <c r="AU51" s="211"/>
      <c r="AV51" s="211"/>
      <c r="AW51" s="53">
        <f t="shared" ref="AW51:BC51" si="17">$AF51*AW18</f>
        <v>0.14</v>
      </c>
      <c r="AX51" s="53">
        <f t="shared" si="17"/>
        <v>0.33</v>
      </c>
      <c r="AY51" s="53">
        <f t="shared" si="17"/>
        <v>0.25</v>
      </c>
      <c r="AZ51" s="53">
        <f t="shared" si="17"/>
        <v>0.15</v>
      </c>
      <c r="BA51" s="53">
        <f t="shared" si="17"/>
        <v>0.07</v>
      </c>
      <c r="BB51" s="53">
        <f t="shared" si="17"/>
        <v>0.04</v>
      </c>
      <c r="BC51" s="53">
        <f t="shared" si="17"/>
        <v>0.02</v>
      </c>
      <c r="BD51" s="211"/>
      <c r="BE51" s="211"/>
      <c r="BF51" s="211"/>
      <c r="BG51" s="211"/>
      <c r="BH51" s="211"/>
      <c r="BI51" s="211"/>
      <c r="BJ51" s="211"/>
      <c r="BK51" s="211"/>
      <c r="BL51" s="211"/>
    </row>
    <row r="52" ht="15.75" customHeight="1">
      <c r="A52" s="237"/>
      <c r="B52" s="240"/>
      <c r="C52" s="238"/>
      <c r="D52" s="237"/>
      <c r="E52" s="237"/>
      <c r="F52" s="237"/>
      <c r="G52" s="237"/>
      <c r="H52" s="237"/>
      <c r="I52" s="237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17"/>
      <c r="AF52" s="53">
        <v>1.0</v>
      </c>
      <c r="AG52" s="211"/>
      <c r="AH52" s="211"/>
      <c r="AI52" s="211"/>
      <c r="AJ52" s="211"/>
      <c r="AK52" s="211"/>
      <c r="AL52" s="211"/>
      <c r="AM52" s="211"/>
      <c r="AN52" s="211"/>
      <c r="AO52" s="211"/>
      <c r="AP52" s="207"/>
      <c r="AQ52" s="211"/>
      <c r="AR52" s="211"/>
      <c r="AS52" s="211"/>
      <c r="AT52" s="211"/>
      <c r="AU52" s="211"/>
      <c r="AV52" s="211"/>
      <c r="AW52" s="211"/>
      <c r="AX52" s="53">
        <f t="shared" ref="AX52:BD52" si="18">$AF52*AX19</f>
        <v>0.14</v>
      </c>
      <c r="AY52" s="53">
        <f t="shared" si="18"/>
        <v>0.33</v>
      </c>
      <c r="AZ52" s="53">
        <f t="shared" si="18"/>
        <v>0.25</v>
      </c>
      <c r="BA52" s="53">
        <f t="shared" si="18"/>
        <v>0.15</v>
      </c>
      <c r="BB52" s="53">
        <f t="shared" si="18"/>
        <v>0.07</v>
      </c>
      <c r="BC52" s="53">
        <f t="shared" si="18"/>
        <v>0.04</v>
      </c>
      <c r="BD52" s="53">
        <f t="shared" si="18"/>
        <v>0.02</v>
      </c>
      <c r="BE52" s="211"/>
      <c r="BF52" s="211"/>
      <c r="BG52" s="211"/>
      <c r="BH52" s="211"/>
      <c r="BI52" s="211"/>
      <c r="BJ52" s="211"/>
      <c r="BK52" s="211"/>
      <c r="BL52" s="211"/>
    </row>
    <row r="53" ht="15.75" customHeight="1">
      <c r="A53" s="237"/>
      <c r="B53" s="240"/>
      <c r="C53" s="238"/>
      <c r="D53" s="237"/>
      <c r="E53" s="237"/>
      <c r="F53" s="237"/>
      <c r="G53" s="237"/>
      <c r="H53" s="237"/>
      <c r="I53" s="237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17"/>
      <c r="AF53" s="53">
        <v>2.1666666666666665</v>
      </c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53">
        <f t="shared" ref="AY53:BE53" si="19">$AF53*AY20</f>
        <v>0.3033333333</v>
      </c>
      <c r="AZ53" s="53">
        <f t="shared" si="19"/>
        <v>0.715</v>
      </c>
      <c r="BA53" s="53">
        <f t="shared" si="19"/>
        <v>0.5416666667</v>
      </c>
      <c r="BB53" s="53">
        <f t="shared" si="19"/>
        <v>0.325</v>
      </c>
      <c r="BC53" s="53">
        <f t="shared" si="19"/>
        <v>0.1516666667</v>
      </c>
      <c r="BD53" s="53">
        <f t="shared" si="19"/>
        <v>0.08666666667</v>
      </c>
      <c r="BE53" s="53">
        <f t="shared" si="19"/>
        <v>0.04333333333</v>
      </c>
      <c r="BF53" s="211"/>
      <c r="BG53" s="211"/>
      <c r="BH53" s="211"/>
      <c r="BI53" s="211"/>
      <c r="BJ53" s="211"/>
      <c r="BK53" s="211"/>
      <c r="BL53" s="211"/>
    </row>
    <row r="54" ht="15.75" customHeight="1">
      <c r="A54" s="241"/>
      <c r="B54" s="240"/>
      <c r="C54" s="238"/>
      <c r="D54" s="237"/>
      <c r="E54" s="237"/>
      <c r="F54" s="237"/>
      <c r="G54" s="237"/>
      <c r="H54" s="237"/>
      <c r="I54" s="237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17"/>
      <c r="AF54" s="53">
        <v>2.2316666666666665</v>
      </c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53">
        <f t="shared" ref="AZ54:BF54" si="20">$AF54*AZ21</f>
        <v>0.3124333333</v>
      </c>
      <c r="BA54" s="53">
        <f t="shared" si="20"/>
        <v>0.73645</v>
      </c>
      <c r="BB54" s="53">
        <f t="shared" si="20"/>
        <v>0.5579166667</v>
      </c>
      <c r="BC54" s="53">
        <f t="shared" si="20"/>
        <v>0.33475</v>
      </c>
      <c r="BD54" s="53">
        <f t="shared" si="20"/>
        <v>0.1562166667</v>
      </c>
      <c r="BE54" s="53">
        <f t="shared" si="20"/>
        <v>0.08926666667</v>
      </c>
      <c r="BF54" s="53">
        <f t="shared" si="20"/>
        <v>0.04463333333</v>
      </c>
      <c r="BG54" s="211"/>
      <c r="BH54" s="211"/>
      <c r="BI54" s="211"/>
      <c r="BJ54" s="211"/>
      <c r="BK54" s="211"/>
      <c r="BL54" s="211"/>
    </row>
    <row r="55" ht="15.75" customHeight="1">
      <c r="A55" s="237"/>
      <c r="B55" s="240"/>
      <c r="C55" s="238"/>
      <c r="D55" s="237"/>
      <c r="E55" s="237"/>
      <c r="F55" s="237"/>
      <c r="G55" s="237"/>
      <c r="H55" s="237"/>
      <c r="I55" s="237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17"/>
      <c r="AF55" s="53">
        <v>2.3878833333333334</v>
      </c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07"/>
      <c r="AZ55" s="211"/>
      <c r="BA55" s="53">
        <f t="shared" ref="BA55:BG55" si="21">$AF55*BA22</f>
        <v>0.3343036667</v>
      </c>
      <c r="BB55" s="53">
        <f t="shared" si="21"/>
        <v>0.7880015</v>
      </c>
      <c r="BC55" s="53">
        <f t="shared" si="21"/>
        <v>0.5969708333</v>
      </c>
      <c r="BD55" s="53">
        <f t="shared" si="21"/>
        <v>0.3581825</v>
      </c>
      <c r="BE55" s="53">
        <f t="shared" si="21"/>
        <v>0.1671518333</v>
      </c>
      <c r="BF55" s="53">
        <f t="shared" si="21"/>
        <v>0.09551533333</v>
      </c>
      <c r="BG55" s="53">
        <f t="shared" si="21"/>
        <v>0.04775766667</v>
      </c>
      <c r="BH55" s="211"/>
      <c r="BI55" s="211"/>
      <c r="BJ55" s="211"/>
      <c r="BK55" s="211"/>
      <c r="BL55" s="211"/>
    </row>
    <row r="56" ht="15.75" customHeight="1">
      <c r="A56" s="237"/>
      <c r="B56" s="240"/>
      <c r="C56" s="238"/>
      <c r="D56" s="237"/>
      <c r="E56" s="237"/>
      <c r="F56" s="237"/>
      <c r="G56" s="237"/>
      <c r="H56" s="237"/>
      <c r="I56" s="237"/>
      <c r="J56" s="239"/>
      <c r="K56" s="239"/>
      <c r="L56" s="239"/>
      <c r="M56" s="239"/>
      <c r="N56" s="239"/>
      <c r="O56" s="239"/>
      <c r="P56" s="239"/>
      <c r="Q56" s="239"/>
      <c r="R56" s="239"/>
      <c r="S56" s="237"/>
      <c r="T56" s="239"/>
      <c r="U56" s="239"/>
      <c r="V56" s="239"/>
      <c r="W56" s="239"/>
      <c r="X56" s="239"/>
      <c r="Y56" s="239"/>
      <c r="Z56" s="239"/>
      <c r="AA56" s="239"/>
      <c r="AB56" s="239"/>
      <c r="AC56" s="239"/>
      <c r="AD56" s="239"/>
      <c r="AE56" s="217"/>
      <c r="AF56" s="53">
        <v>2.555035166666667</v>
      </c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07"/>
      <c r="AZ56" s="211"/>
      <c r="BA56" s="211"/>
      <c r="BB56" s="53">
        <f t="shared" ref="BB56:BH56" si="22">$AF56*BB23</f>
        <v>0.3577049233</v>
      </c>
      <c r="BC56" s="53">
        <f t="shared" si="22"/>
        <v>0.843161605</v>
      </c>
      <c r="BD56" s="53">
        <f t="shared" si="22"/>
        <v>0.6387587917</v>
      </c>
      <c r="BE56" s="53">
        <f t="shared" si="22"/>
        <v>0.383255275</v>
      </c>
      <c r="BF56" s="53">
        <f t="shared" si="22"/>
        <v>0.1788524617</v>
      </c>
      <c r="BG56" s="53">
        <f t="shared" si="22"/>
        <v>0.1022014067</v>
      </c>
      <c r="BH56" s="53">
        <f t="shared" si="22"/>
        <v>0.05110070333</v>
      </c>
      <c r="BI56" s="211"/>
      <c r="BJ56" s="211"/>
      <c r="BK56" s="211"/>
      <c r="BL56" s="211"/>
    </row>
    <row r="57" ht="15.75" customHeight="1">
      <c r="A57" s="237"/>
      <c r="B57" s="240"/>
      <c r="C57" s="238"/>
      <c r="D57" s="237"/>
      <c r="E57" s="237"/>
      <c r="F57" s="237"/>
      <c r="G57" s="237"/>
      <c r="H57" s="237"/>
      <c r="I57" s="237"/>
      <c r="J57" s="239"/>
      <c r="K57" s="239"/>
      <c r="L57" s="239"/>
      <c r="M57" s="239"/>
      <c r="N57" s="239"/>
      <c r="O57" s="239"/>
      <c r="P57" s="239"/>
      <c r="Q57" s="239"/>
      <c r="R57" s="239"/>
      <c r="S57" s="237"/>
      <c r="T57" s="237"/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17"/>
      <c r="AF57" s="53">
        <v>2.7338876283333335</v>
      </c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07"/>
      <c r="AZ57" s="211"/>
      <c r="BA57" s="211"/>
      <c r="BB57" s="211"/>
      <c r="BC57" s="53">
        <f t="shared" ref="BC57:BI57" si="23">$AF57*BC24</f>
        <v>0.382744268</v>
      </c>
      <c r="BD57" s="53">
        <f t="shared" si="23"/>
        <v>0.9021829174</v>
      </c>
      <c r="BE57" s="53">
        <f t="shared" si="23"/>
        <v>0.6834719071</v>
      </c>
      <c r="BF57" s="53">
        <f t="shared" si="23"/>
        <v>0.4100831443</v>
      </c>
      <c r="BG57" s="53">
        <f t="shared" si="23"/>
        <v>0.191372134</v>
      </c>
      <c r="BH57" s="53">
        <f t="shared" si="23"/>
        <v>0.1093555051</v>
      </c>
      <c r="BI57" s="53">
        <f t="shared" si="23"/>
        <v>0.05467775257</v>
      </c>
      <c r="BJ57" s="211"/>
      <c r="BK57" s="211"/>
      <c r="BL57" s="211"/>
    </row>
    <row r="58" ht="15.75" customHeight="1">
      <c r="A58" s="237"/>
      <c r="B58" s="240"/>
      <c r="C58" s="238"/>
      <c r="D58" s="237"/>
      <c r="E58" s="237"/>
      <c r="F58" s="237"/>
      <c r="G58" s="237"/>
      <c r="H58" s="237"/>
      <c r="I58" s="237"/>
      <c r="J58" s="239"/>
      <c r="K58" s="239"/>
      <c r="L58" s="239"/>
      <c r="M58" s="239"/>
      <c r="N58" s="239"/>
      <c r="O58" s="239"/>
      <c r="P58" s="239"/>
      <c r="Q58" s="239"/>
      <c r="R58" s="239"/>
      <c r="S58" s="237"/>
      <c r="T58" s="237"/>
      <c r="U58" s="237"/>
      <c r="V58" s="239"/>
      <c r="W58" s="239"/>
      <c r="X58" s="239"/>
      <c r="Y58" s="239"/>
      <c r="Z58" s="239"/>
      <c r="AA58" s="239"/>
      <c r="AB58" s="239"/>
      <c r="AC58" s="239"/>
      <c r="AD58" s="239"/>
      <c r="AE58" s="217"/>
      <c r="AF58" s="53">
        <v>2.925259762316667</v>
      </c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07"/>
      <c r="AZ58" s="211"/>
      <c r="BA58" s="211"/>
      <c r="BB58" s="211"/>
      <c r="BC58" s="211"/>
      <c r="BD58" s="53">
        <f t="shared" ref="BD58:BJ58" si="24">$AF58*BD25</f>
        <v>0.4095363667</v>
      </c>
      <c r="BE58" s="53">
        <f t="shared" si="24"/>
        <v>0.9653357216</v>
      </c>
      <c r="BF58" s="53">
        <f t="shared" si="24"/>
        <v>0.7313149406</v>
      </c>
      <c r="BG58" s="53">
        <f t="shared" si="24"/>
        <v>0.4387889643</v>
      </c>
      <c r="BH58" s="53">
        <f t="shared" si="24"/>
        <v>0.2047681834</v>
      </c>
      <c r="BI58" s="53">
        <f t="shared" si="24"/>
        <v>0.1170103905</v>
      </c>
      <c r="BJ58" s="53">
        <f t="shared" si="24"/>
        <v>0.05850519525</v>
      </c>
      <c r="BK58" s="211"/>
      <c r="BL58" s="211"/>
    </row>
    <row r="59" ht="15.75" customHeight="1">
      <c r="A59" s="237"/>
      <c r="B59" s="240"/>
      <c r="C59" s="238"/>
      <c r="D59" s="237"/>
      <c r="E59" s="237"/>
      <c r="F59" s="237"/>
      <c r="G59" s="237"/>
      <c r="H59" s="237"/>
      <c r="I59" s="237"/>
      <c r="J59" s="239"/>
      <c r="K59" s="239"/>
      <c r="L59" s="239"/>
      <c r="M59" s="239"/>
      <c r="N59" s="239"/>
      <c r="O59" s="239"/>
      <c r="P59" s="239"/>
      <c r="Q59" s="239"/>
      <c r="R59" s="239"/>
      <c r="S59" s="237"/>
      <c r="T59" s="237"/>
      <c r="U59" s="237"/>
      <c r="V59" s="239"/>
      <c r="W59" s="239"/>
      <c r="X59" s="239"/>
      <c r="Y59" s="239"/>
      <c r="Z59" s="239"/>
      <c r="AA59" s="239"/>
      <c r="AB59" s="239"/>
      <c r="AC59" s="239"/>
      <c r="AD59" s="239"/>
      <c r="AE59" s="217"/>
      <c r="AF59" s="53">
        <v>3.130027945678834</v>
      </c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07"/>
      <c r="AZ59" s="211"/>
      <c r="BA59" s="211"/>
      <c r="BB59" s="211"/>
      <c r="BC59" s="211"/>
      <c r="BD59" s="211"/>
      <c r="BE59" s="53">
        <f t="shared" ref="BE59:BK59" si="25">$AF59*BE26</f>
        <v>0.4382039124</v>
      </c>
      <c r="BF59" s="53">
        <f t="shared" si="25"/>
        <v>1.032909222</v>
      </c>
      <c r="BG59" s="53">
        <f t="shared" si="25"/>
        <v>0.7825069864</v>
      </c>
      <c r="BH59" s="53">
        <f t="shared" si="25"/>
        <v>0.4695041919</v>
      </c>
      <c r="BI59" s="53">
        <f t="shared" si="25"/>
        <v>0.2191019562</v>
      </c>
      <c r="BJ59" s="53">
        <f t="shared" si="25"/>
        <v>0.1252011178</v>
      </c>
      <c r="BK59" s="53">
        <f t="shared" si="25"/>
        <v>0.06260055891</v>
      </c>
      <c r="BL59" s="211"/>
    </row>
    <row r="60" ht="15.75" customHeight="1">
      <c r="A60" s="237"/>
      <c r="B60" s="240"/>
      <c r="C60" s="238"/>
      <c r="D60" s="237"/>
      <c r="E60" s="237"/>
      <c r="F60" s="237"/>
      <c r="G60" s="237"/>
      <c r="H60" s="237"/>
      <c r="I60" s="237"/>
      <c r="J60" s="239"/>
      <c r="K60" s="239"/>
      <c r="L60" s="239"/>
      <c r="M60" s="239"/>
      <c r="N60" s="239"/>
      <c r="O60" s="239"/>
      <c r="P60" s="239"/>
      <c r="Q60" s="239"/>
      <c r="R60" s="239"/>
      <c r="S60" s="237"/>
      <c r="T60" s="237"/>
      <c r="U60" s="237"/>
      <c r="V60" s="239"/>
      <c r="W60" s="239"/>
      <c r="X60" s="239"/>
      <c r="Y60" s="239"/>
      <c r="Z60" s="239"/>
      <c r="AA60" s="239"/>
      <c r="AB60" s="239"/>
      <c r="AC60" s="239"/>
      <c r="AD60" s="239"/>
      <c r="AE60" s="217"/>
      <c r="AF60" s="53">
        <v>3.3491299018763527</v>
      </c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07"/>
      <c r="AZ60" s="211"/>
      <c r="BA60" s="211"/>
      <c r="BB60" s="211"/>
      <c r="BC60" s="211"/>
      <c r="BD60" s="211"/>
      <c r="BE60" s="211"/>
      <c r="BF60" s="53">
        <f t="shared" ref="BF60:BL60" si="26">$AF60*BF27</f>
        <v>0.4688781863</v>
      </c>
      <c r="BG60" s="53">
        <f t="shared" si="26"/>
        <v>1.105212868</v>
      </c>
      <c r="BH60" s="53">
        <f t="shared" si="26"/>
        <v>0.8372824755</v>
      </c>
      <c r="BI60" s="53">
        <f t="shared" si="26"/>
        <v>0.5023694853</v>
      </c>
      <c r="BJ60" s="53">
        <f t="shared" si="26"/>
        <v>0.2344390931</v>
      </c>
      <c r="BK60" s="53">
        <f t="shared" si="26"/>
        <v>0.1339651961</v>
      </c>
      <c r="BL60" s="53">
        <f t="shared" si="26"/>
        <v>0.06698259804</v>
      </c>
    </row>
    <row r="61" ht="15.75" customHeight="1">
      <c r="A61" s="237"/>
      <c r="B61" s="240"/>
      <c r="C61" s="238"/>
      <c r="D61" s="237"/>
      <c r="E61" s="237"/>
      <c r="F61" s="237"/>
      <c r="G61" s="237"/>
      <c r="H61" s="237"/>
      <c r="I61" s="237"/>
      <c r="J61" s="239"/>
      <c r="K61" s="239"/>
      <c r="L61" s="239"/>
      <c r="M61" s="239"/>
      <c r="N61" s="239"/>
      <c r="O61" s="239"/>
      <c r="P61" s="239"/>
      <c r="Q61" s="239"/>
      <c r="R61" s="239"/>
      <c r="S61" s="237"/>
      <c r="T61" s="237"/>
      <c r="U61" s="237"/>
      <c r="V61" s="239"/>
      <c r="W61" s="239"/>
      <c r="X61" s="239"/>
      <c r="Y61" s="239"/>
      <c r="Z61" s="239"/>
      <c r="AA61" s="239"/>
      <c r="AB61" s="239"/>
      <c r="AC61" s="239"/>
      <c r="AD61" s="239"/>
      <c r="AE61" s="217"/>
      <c r="AF61" s="53">
        <v>3.5835689950076977</v>
      </c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07"/>
      <c r="AZ61" s="211"/>
      <c r="BA61" s="211"/>
      <c r="BB61" s="211"/>
      <c r="BC61" s="211"/>
      <c r="BD61" s="211"/>
      <c r="BE61" s="211"/>
      <c r="BF61" s="211"/>
      <c r="BG61" s="53">
        <f t="shared" ref="BG61:BL61" si="27">$AF61*BG28</f>
        <v>0.5016996593</v>
      </c>
      <c r="BH61" s="53">
        <f t="shared" si="27"/>
        <v>1.182577768</v>
      </c>
      <c r="BI61" s="53">
        <f t="shared" si="27"/>
        <v>0.8958922488</v>
      </c>
      <c r="BJ61" s="53">
        <f t="shared" si="27"/>
        <v>0.5375353493</v>
      </c>
      <c r="BK61" s="53">
        <f t="shared" si="27"/>
        <v>0.2508498297</v>
      </c>
      <c r="BL61" s="53">
        <f t="shared" si="27"/>
        <v>0.1433427598</v>
      </c>
    </row>
    <row r="62" ht="15.75" customHeight="1">
      <c r="A62" s="237"/>
      <c r="B62" s="240"/>
      <c r="C62" s="238"/>
      <c r="D62" s="237"/>
      <c r="E62" s="237"/>
      <c r="F62" s="237"/>
      <c r="G62" s="237"/>
      <c r="H62" s="237"/>
      <c r="I62" s="237"/>
      <c r="J62" s="239"/>
      <c r="K62" s="239"/>
      <c r="L62" s="239"/>
      <c r="M62" s="239"/>
      <c r="N62" s="239"/>
      <c r="O62" s="239"/>
      <c r="P62" s="239"/>
      <c r="Q62" s="239"/>
      <c r="R62" s="239"/>
      <c r="S62" s="237"/>
      <c r="T62" s="237"/>
      <c r="U62" s="237"/>
      <c r="V62" s="239"/>
      <c r="W62" s="239"/>
      <c r="X62" s="239"/>
      <c r="Y62" s="239"/>
      <c r="Z62" s="239"/>
      <c r="AA62" s="239"/>
      <c r="AB62" s="239"/>
      <c r="AC62" s="239"/>
      <c r="AD62" s="239"/>
      <c r="AE62" s="217"/>
      <c r="AF62" s="53">
        <v>3.8344188246582367</v>
      </c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53">
        <f t="shared" ref="BH62:BL62" si="28">$AF62*BH29</f>
        <v>0.5368186355</v>
      </c>
      <c r="BI62" s="53">
        <f t="shared" si="28"/>
        <v>1.265358212</v>
      </c>
      <c r="BJ62" s="53">
        <f t="shared" si="28"/>
        <v>0.9586047062</v>
      </c>
      <c r="BK62" s="53">
        <f t="shared" si="28"/>
        <v>0.5751628237</v>
      </c>
      <c r="BL62" s="53">
        <f t="shared" si="28"/>
        <v>0.2684093177</v>
      </c>
    </row>
    <row r="63" ht="15.75" customHeight="1">
      <c r="A63" s="237"/>
      <c r="B63" s="240"/>
      <c r="C63" s="238"/>
      <c r="D63" s="237"/>
      <c r="E63" s="237"/>
      <c r="F63" s="237"/>
      <c r="G63" s="237"/>
      <c r="H63" s="237"/>
      <c r="I63" s="237"/>
      <c r="J63" s="239"/>
      <c r="K63" s="239"/>
      <c r="L63" s="239"/>
      <c r="M63" s="239"/>
      <c r="N63" s="239"/>
      <c r="O63" s="239"/>
      <c r="P63" s="239"/>
      <c r="Q63" s="239"/>
      <c r="R63" s="239"/>
      <c r="S63" s="237"/>
      <c r="T63" s="237"/>
      <c r="U63" s="237"/>
      <c r="V63" s="239"/>
      <c r="W63" s="239"/>
      <c r="X63" s="239"/>
      <c r="Y63" s="239"/>
      <c r="Z63" s="239"/>
      <c r="AA63" s="239"/>
      <c r="AB63" s="239"/>
      <c r="AC63" s="239"/>
      <c r="AD63" s="239"/>
      <c r="AE63" s="217"/>
      <c r="AF63" s="53">
        <v>4.102828142384314</v>
      </c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53">
        <f t="shared" ref="BI63:BL63" si="29">$AF63*BI30</f>
        <v>0.5743959399</v>
      </c>
      <c r="BJ63" s="53">
        <f t="shared" si="29"/>
        <v>1.353933287</v>
      </c>
      <c r="BK63" s="53">
        <f t="shared" si="29"/>
        <v>1.025707036</v>
      </c>
      <c r="BL63" s="53">
        <f t="shared" si="29"/>
        <v>0.6154242214</v>
      </c>
    </row>
    <row r="64" ht="15.75" customHeight="1">
      <c r="A64" s="237"/>
      <c r="B64" s="240"/>
      <c r="C64" s="238"/>
      <c r="D64" s="237"/>
      <c r="E64" s="237"/>
      <c r="F64" s="237"/>
      <c r="G64" s="237"/>
      <c r="H64" s="237"/>
      <c r="I64" s="237"/>
      <c r="J64" s="239"/>
      <c r="K64" s="239"/>
      <c r="L64" s="239"/>
      <c r="M64" s="239"/>
      <c r="N64" s="239"/>
      <c r="O64" s="239"/>
      <c r="P64" s="239"/>
      <c r="Q64" s="239"/>
      <c r="R64" s="239"/>
      <c r="S64" s="237"/>
      <c r="T64" s="237"/>
      <c r="U64" s="237"/>
      <c r="V64" s="239"/>
      <c r="W64" s="239"/>
      <c r="X64" s="239"/>
      <c r="Y64" s="239"/>
      <c r="Z64" s="239"/>
      <c r="AA64" s="239"/>
      <c r="AB64" s="239"/>
      <c r="AC64" s="239"/>
      <c r="AD64" s="239"/>
      <c r="AE64" s="217"/>
      <c r="AF64" s="53">
        <v>4.390026112351216</v>
      </c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53">
        <f t="shared" ref="BJ64:BL64" si="30">$AF64*BJ31</f>
        <v>0.6146036557</v>
      </c>
      <c r="BK64" s="53">
        <f t="shared" si="30"/>
        <v>1.448708617</v>
      </c>
      <c r="BL64" s="53">
        <f t="shared" si="30"/>
        <v>1.097506528</v>
      </c>
    </row>
    <row r="65" ht="15.75" customHeight="1">
      <c r="A65" s="237"/>
      <c r="B65" s="240"/>
      <c r="C65" s="238"/>
      <c r="D65" s="237"/>
      <c r="E65" s="237"/>
      <c r="F65" s="237"/>
      <c r="G65" s="237"/>
      <c r="H65" s="237"/>
      <c r="I65" s="237"/>
      <c r="J65" s="239"/>
      <c r="K65" s="239"/>
      <c r="L65" s="239"/>
      <c r="M65" s="239"/>
      <c r="N65" s="239"/>
      <c r="O65" s="239"/>
      <c r="P65" s="239"/>
      <c r="Q65" s="239"/>
      <c r="R65" s="239"/>
      <c r="S65" s="237"/>
      <c r="T65" s="237"/>
      <c r="U65" s="237"/>
      <c r="V65" s="239"/>
      <c r="W65" s="239"/>
      <c r="X65" s="239"/>
      <c r="Y65" s="239"/>
      <c r="Z65" s="239"/>
      <c r="AA65" s="239"/>
      <c r="AB65" s="239"/>
      <c r="AC65" s="239"/>
      <c r="AD65" s="239"/>
      <c r="AE65" s="217"/>
      <c r="AF65" s="53">
        <v>4.697327940215802</v>
      </c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53">
        <f t="shared" ref="BK65:BL65" si="31">$AF65*BK32</f>
        <v>0.6576259116</v>
      </c>
      <c r="BL65" s="53">
        <f t="shared" si="31"/>
        <v>1.55011822</v>
      </c>
    </row>
    <row r="66" ht="15.75" customHeight="1">
      <c r="A66" s="237"/>
      <c r="B66" s="240"/>
      <c r="C66" s="238"/>
      <c r="D66" s="242"/>
      <c r="E66" s="242"/>
      <c r="F66" s="242"/>
      <c r="G66" s="242"/>
      <c r="H66" s="242"/>
      <c r="I66" s="242"/>
      <c r="J66" s="243"/>
      <c r="K66" s="243"/>
      <c r="L66" s="243"/>
      <c r="M66" s="243"/>
      <c r="N66" s="243"/>
      <c r="O66" s="244"/>
      <c r="P66" s="244"/>
      <c r="Q66" s="244"/>
      <c r="R66" s="244"/>
      <c r="S66" s="237"/>
      <c r="T66" s="237"/>
      <c r="U66" s="237"/>
      <c r="V66" s="239"/>
      <c r="W66" s="239"/>
      <c r="X66" s="239"/>
      <c r="Y66" s="239"/>
      <c r="Z66" s="239"/>
      <c r="AA66" s="239"/>
      <c r="AB66" s="239"/>
      <c r="AC66" s="239"/>
      <c r="AD66" s="239"/>
      <c r="AE66" s="222"/>
      <c r="AF66" s="53">
        <v>5.026140896030908</v>
      </c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3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53">
        <f>$AF66*BL33</f>
        <v>0.7036597254</v>
      </c>
    </row>
    <row r="67" ht="15.75" customHeight="1">
      <c r="A67" s="224" t="s">
        <v>171</v>
      </c>
      <c r="B67" s="225"/>
      <c r="C67" s="225"/>
      <c r="D67" s="245">
        <v>12.0</v>
      </c>
      <c r="E67" s="245">
        <v>7.0</v>
      </c>
      <c r="F67" s="245">
        <v>6.0</v>
      </c>
      <c r="G67" s="245">
        <v>3.0</v>
      </c>
      <c r="H67" s="245">
        <v>3.0</v>
      </c>
      <c r="I67" s="245">
        <v>6.0</v>
      </c>
      <c r="J67" s="245">
        <v>6.0</v>
      </c>
      <c r="K67" s="245">
        <v>7.0</v>
      </c>
      <c r="L67" s="245">
        <v>2.0</v>
      </c>
      <c r="M67" s="245">
        <v>2.0</v>
      </c>
      <c r="N67" s="245">
        <v>0.0</v>
      </c>
      <c r="O67" s="245">
        <v>1.0</v>
      </c>
      <c r="P67" s="140">
        <v>1.0</v>
      </c>
      <c r="Q67" s="140">
        <f>average(K67:P67)</f>
        <v>2.166666667</v>
      </c>
      <c r="R67" s="140">
        <f>Q67*1.03</f>
        <v>2.231666667</v>
      </c>
      <c r="S67" s="140">
        <f t="shared" ref="S67:AD67" si="32">R67*1.07</f>
        <v>2.387883333</v>
      </c>
      <c r="T67" s="140">
        <f t="shared" si="32"/>
        <v>2.555035167</v>
      </c>
      <c r="U67" s="140">
        <f t="shared" si="32"/>
        <v>2.733887628</v>
      </c>
      <c r="V67" s="140">
        <f t="shared" si="32"/>
        <v>2.925259762</v>
      </c>
      <c r="W67" s="140">
        <f t="shared" si="32"/>
        <v>3.130027946</v>
      </c>
      <c r="X67" s="140">
        <f t="shared" si="32"/>
        <v>3.349129902</v>
      </c>
      <c r="Y67" s="140">
        <f t="shared" si="32"/>
        <v>3.583568995</v>
      </c>
      <c r="Z67" s="140">
        <f t="shared" si="32"/>
        <v>3.834418825</v>
      </c>
      <c r="AA67" s="140">
        <f t="shared" si="32"/>
        <v>4.102828142</v>
      </c>
      <c r="AB67" s="140">
        <f t="shared" si="32"/>
        <v>4.390026112</v>
      </c>
      <c r="AC67" s="140">
        <f t="shared" si="32"/>
        <v>4.69732794</v>
      </c>
      <c r="AD67" s="140">
        <f t="shared" si="32"/>
        <v>5.026140896</v>
      </c>
      <c r="AE67" s="226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7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9"/>
    </row>
    <row r="68" ht="15.75" customHeight="1">
      <c r="A68" s="230" t="s">
        <v>172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2"/>
      <c r="AF68" s="231"/>
      <c r="AG68" s="60">
        <f t="shared" ref="AG68:BL68" si="33">sum(AG35:AG66)</f>
        <v>0</v>
      </c>
      <c r="AH68" s="60">
        <f t="shared" si="33"/>
        <v>0</v>
      </c>
      <c r="AI68" s="60">
        <f t="shared" si="33"/>
        <v>0</v>
      </c>
      <c r="AJ68" s="60">
        <f t="shared" si="33"/>
        <v>0</v>
      </c>
      <c r="AK68" s="60">
        <f t="shared" si="33"/>
        <v>0</v>
      </c>
      <c r="AL68" s="60">
        <f t="shared" si="33"/>
        <v>1.68</v>
      </c>
      <c r="AM68" s="60">
        <f t="shared" si="33"/>
        <v>4.94</v>
      </c>
      <c r="AN68" s="60">
        <f t="shared" si="33"/>
        <v>6.15</v>
      </c>
      <c r="AO68" s="60">
        <f t="shared" si="33"/>
        <v>5.95</v>
      </c>
      <c r="AP68" s="60">
        <f t="shared" si="33"/>
        <v>4.8</v>
      </c>
      <c r="AQ68" s="60">
        <f t="shared" si="33"/>
        <v>4.45</v>
      </c>
      <c r="AR68" s="60">
        <f t="shared" si="33"/>
        <v>4.96</v>
      </c>
      <c r="AS68" s="60">
        <f t="shared" si="33"/>
        <v>5.5</v>
      </c>
      <c r="AT68" s="60">
        <f t="shared" si="33"/>
        <v>5.44</v>
      </c>
      <c r="AU68" s="60">
        <f t="shared" si="33"/>
        <v>4.19</v>
      </c>
      <c r="AV68" s="60">
        <f t="shared" si="33"/>
        <v>2.93</v>
      </c>
      <c r="AW68" s="60">
        <f t="shared" si="33"/>
        <v>1.79</v>
      </c>
      <c r="AX68" s="60">
        <f t="shared" si="33"/>
        <v>1.31</v>
      </c>
      <c r="AY68" s="60">
        <f t="shared" si="33"/>
        <v>1.243333333</v>
      </c>
      <c r="AZ68" s="60">
        <f t="shared" si="33"/>
        <v>1.547433333</v>
      </c>
      <c r="BA68" s="60">
        <f t="shared" si="33"/>
        <v>1.872420333</v>
      </c>
      <c r="BB68" s="60">
        <f t="shared" si="33"/>
        <v>2.13862309</v>
      </c>
      <c r="BC68" s="60">
        <f t="shared" si="33"/>
        <v>2.369293373</v>
      </c>
      <c r="BD68" s="60">
        <f t="shared" si="33"/>
        <v>2.571543909</v>
      </c>
      <c r="BE68" s="60">
        <f t="shared" si="33"/>
        <v>2.770018649</v>
      </c>
      <c r="BF68" s="60">
        <f t="shared" si="33"/>
        <v>2.962186621</v>
      </c>
      <c r="BG68" s="60">
        <f t="shared" si="33"/>
        <v>3.169539685</v>
      </c>
      <c r="BH68" s="60">
        <f t="shared" si="33"/>
        <v>3.391407463</v>
      </c>
      <c r="BI68" s="60">
        <f t="shared" si="33"/>
        <v>3.628805985</v>
      </c>
      <c r="BJ68" s="60">
        <f t="shared" si="33"/>
        <v>3.882822404</v>
      </c>
      <c r="BK68" s="60">
        <f t="shared" si="33"/>
        <v>4.154619973</v>
      </c>
      <c r="BL68" s="60">
        <f t="shared" si="33"/>
        <v>4.445443371</v>
      </c>
    </row>
    <row r="69" ht="15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233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234">
        <v>3.0</v>
      </c>
      <c r="AX69" s="234">
        <v>3.0</v>
      </c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</row>
    <row r="70" ht="15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233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</row>
    <row r="71" ht="15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233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</row>
    <row r="72" ht="15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23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233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</row>
    <row r="73" ht="15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23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233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</row>
    <row r="74" ht="15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23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233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233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233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</row>
    <row r="77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233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</row>
    <row r="78" ht="15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233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</row>
    <row r="79" ht="15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233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</row>
    <row r="80" ht="15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233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</row>
    <row r="81" ht="15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233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</row>
    <row r="82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233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</row>
    <row r="83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233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</row>
    <row r="84" ht="15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233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</row>
    <row r="85" ht="15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233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</row>
    <row r="86" ht="15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233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</row>
    <row r="87" ht="15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233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</row>
    <row r="88" ht="15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233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</row>
    <row r="89" ht="15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233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</row>
    <row r="90" ht="15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233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</row>
    <row r="91" ht="15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233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</row>
    <row r="92" ht="15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233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</row>
    <row r="93" ht="15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233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</row>
    <row r="94" ht="15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233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</row>
    <row r="95" ht="15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233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</row>
    <row r="96" ht="15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233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</row>
    <row r="97" ht="15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233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</row>
    <row r="98" ht="15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233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</row>
    <row r="99" ht="15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233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</row>
    <row r="100" ht="15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233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</row>
    <row r="101" ht="15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233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</row>
    <row r="102" ht="15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233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</row>
    <row r="103" ht="15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233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</row>
    <row r="104" ht="15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233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</row>
    <row r="105" ht="15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233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</row>
    <row r="106" ht="15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233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</row>
    <row r="107" ht="15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233"/>
      <c r="AF107" s="185"/>
      <c r="AG107" s="185"/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</row>
    <row r="108" ht="15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233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</row>
    <row r="109" ht="15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233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</row>
    <row r="110" ht="15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233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</row>
    <row r="111" ht="15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233"/>
      <c r="AF111" s="185"/>
      <c r="AG111" s="185"/>
      <c r="AH111" s="185"/>
      <c r="AI111" s="185"/>
      <c r="AJ111" s="185"/>
      <c r="AK111" s="185"/>
      <c r="AL111" s="185"/>
      <c r="AM111" s="185"/>
      <c r="AN111" s="185"/>
      <c r="AO111" s="185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</row>
    <row r="112" ht="15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233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</row>
    <row r="113" ht="15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233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</row>
    <row r="114" ht="15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233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</row>
    <row r="115" ht="15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233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185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</row>
    <row r="116" ht="15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233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</row>
    <row r="117" ht="15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233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185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</row>
    <row r="118" ht="15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233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185"/>
      <c r="BI118" s="185"/>
      <c r="BJ118" s="185"/>
      <c r="BK118" s="185"/>
      <c r="BL118" s="185"/>
    </row>
    <row r="119" ht="15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233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5"/>
      <c r="BL119" s="185"/>
    </row>
    <row r="120" ht="15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233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  <c r="BK120" s="185"/>
      <c r="BL120" s="185"/>
    </row>
    <row r="121" ht="15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233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</row>
    <row r="122" ht="15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233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  <c r="BH122" s="185"/>
      <c r="BI122" s="185"/>
      <c r="BJ122" s="185"/>
      <c r="BK122" s="185"/>
      <c r="BL122" s="185"/>
    </row>
    <row r="123" ht="15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233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</row>
    <row r="124" ht="15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233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  <c r="BH124" s="185"/>
      <c r="BI124" s="185"/>
      <c r="BJ124" s="185"/>
      <c r="BK124" s="185"/>
      <c r="BL124" s="185"/>
    </row>
    <row r="125" ht="15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233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</row>
    <row r="126" ht="15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233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</row>
    <row r="127" ht="15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233"/>
      <c r="AF127" s="185"/>
      <c r="AG127" s="185"/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5"/>
    </row>
    <row r="128" ht="15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233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  <c r="BD128" s="185"/>
      <c r="BE128" s="185"/>
      <c r="BF128" s="185"/>
      <c r="BG128" s="185"/>
      <c r="BH128" s="185"/>
      <c r="BI128" s="185"/>
      <c r="BJ128" s="185"/>
      <c r="BK128" s="185"/>
      <c r="BL128" s="185"/>
    </row>
    <row r="129" ht="15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233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5"/>
      <c r="BF129" s="185"/>
      <c r="BG129" s="185"/>
      <c r="BH129" s="185"/>
      <c r="BI129" s="185"/>
      <c r="BJ129" s="185"/>
      <c r="BK129" s="185"/>
      <c r="BL129" s="185"/>
    </row>
    <row r="130" ht="15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233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233"/>
      <c r="AF131" s="185"/>
      <c r="AG131" s="185"/>
      <c r="AH131" s="185"/>
      <c r="AI131" s="185"/>
      <c r="AJ131" s="185"/>
      <c r="AK131" s="185"/>
      <c r="AL131" s="185"/>
      <c r="AM131" s="185"/>
      <c r="AN131" s="185"/>
      <c r="AO131" s="185"/>
      <c r="AP131" s="185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  <c r="BA131" s="185"/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233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  <c r="AP132" s="185"/>
      <c r="AQ132" s="185"/>
      <c r="AR132" s="185"/>
      <c r="AS132" s="185"/>
      <c r="AT132" s="185"/>
      <c r="AU132" s="185"/>
      <c r="AV132" s="185"/>
      <c r="AW132" s="185"/>
      <c r="AX132" s="185"/>
      <c r="AY132" s="185"/>
      <c r="AZ132" s="185"/>
      <c r="BA132" s="185"/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233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233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233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233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5"/>
      <c r="AP136" s="185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233"/>
      <c r="AF137" s="185"/>
      <c r="AG137" s="185"/>
      <c r="AH137" s="185"/>
      <c r="AI137" s="185"/>
      <c r="AJ137" s="185"/>
      <c r="AK137" s="185"/>
      <c r="AL137" s="185"/>
      <c r="AM137" s="185"/>
      <c r="AN137" s="185"/>
      <c r="AO137" s="185"/>
      <c r="AP137" s="185"/>
      <c r="AQ137" s="185"/>
      <c r="AR137" s="185"/>
      <c r="AS137" s="185"/>
      <c r="AT137" s="185"/>
      <c r="AU137" s="185"/>
      <c r="AV137" s="185"/>
      <c r="AW137" s="185"/>
      <c r="AX137" s="185"/>
      <c r="AY137" s="185"/>
      <c r="AZ137" s="185"/>
      <c r="BA137" s="185"/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233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/>
      <c r="AT138" s="185"/>
      <c r="AU138" s="185"/>
      <c r="AV138" s="185"/>
      <c r="AW138" s="185"/>
      <c r="AX138" s="185"/>
      <c r="AY138" s="185"/>
      <c r="AZ138" s="185"/>
      <c r="BA138" s="185"/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233"/>
      <c r="AF139" s="185"/>
      <c r="AG139" s="185"/>
      <c r="AH139" s="185"/>
      <c r="AI139" s="185"/>
      <c r="AJ139" s="185"/>
      <c r="AK139" s="185"/>
      <c r="AL139" s="185"/>
      <c r="AM139" s="185"/>
      <c r="AN139" s="185"/>
      <c r="AO139" s="185"/>
      <c r="AP139" s="185"/>
      <c r="AQ139" s="185"/>
      <c r="AR139" s="185"/>
      <c r="AS139" s="185"/>
      <c r="AT139" s="185"/>
      <c r="AU139" s="185"/>
      <c r="AV139" s="185"/>
      <c r="AW139" s="185"/>
      <c r="AX139" s="185"/>
      <c r="AY139" s="185"/>
      <c r="AZ139" s="185"/>
      <c r="BA139" s="185"/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233"/>
      <c r="AF140" s="185"/>
      <c r="AG140" s="185"/>
      <c r="AH140" s="185"/>
      <c r="AI140" s="185"/>
      <c r="AJ140" s="185"/>
      <c r="AK140" s="185"/>
      <c r="AL140" s="185"/>
      <c r="AM140" s="185"/>
      <c r="AN140" s="185"/>
      <c r="AO140" s="185"/>
      <c r="AP140" s="185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233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233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233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  <c r="AP143" s="185"/>
      <c r="AQ143" s="185"/>
      <c r="AR143" s="185"/>
      <c r="AS143" s="185"/>
      <c r="AT143" s="185"/>
      <c r="AU143" s="185"/>
      <c r="AV143" s="185"/>
      <c r="AW143" s="185"/>
      <c r="AX143" s="185"/>
      <c r="AY143" s="185"/>
      <c r="AZ143" s="185"/>
      <c r="BA143" s="185"/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233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  <c r="AP144" s="185"/>
      <c r="AQ144" s="185"/>
      <c r="AR144" s="185"/>
      <c r="AS144" s="185"/>
      <c r="AT144" s="185"/>
      <c r="AU144" s="185"/>
      <c r="AV144" s="185"/>
      <c r="AW144" s="185"/>
      <c r="AX144" s="185"/>
      <c r="AY144" s="185"/>
      <c r="AZ144" s="185"/>
      <c r="BA144" s="185"/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233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/>
      <c r="AT145" s="185"/>
      <c r="AU145" s="185"/>
      <c r="AV145" s="185"/>
      <c r="AW145" s="185"/>
      <c r="AX145" s="185"/>
      <c r="AY145" s="185"/>
      <c r="AZ145" s="185"/>
      <c r="BA145" s="185"/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233"/>
      <c r="AF146" s="185"/>
      <c r="AG146" s="185"/>
      <c r="AH146" s="185"/>
      <c r="AI146" s="185"/>
      <c r="AJ146" s="185"/>
      <c r="AK146" s="185"/>
      <c r="AL146" s="185"/>
      <c r="AM146" s="185"/>
      <c r="AN146" s="185"/>
      <c r="AO146" s="185"/>
      <c r="AP146" s="185"/>
      <c r="AQ146" s="185"/>
      <c r="AR146" s="185"/>
      <c r="AS146" s="185"/>
      <c r="AT146" s="185"/>
      <c r="AU146" s="185"/>
      <c r="AV146" s="185"/>
      <c r="AW146" s="185"/>
      <c r="AX146" s="185"/>
      <c r="AY146" s="185"/>
      <c r="AZ146" s="185"/>
      <c r="BA146" s="185"/>
      <c r="BB146" s="185"/>
      <c r="BC146" s="185"/>
      <c r="BD146" s="185"/>
      <c r="BE146" s="185"/>
      <c r="BF146" s="185"/>
      <c r="BG146" s="185"/>
      <c r="BH146" s="185"/>
      <c r="BI146" s="185"/>
      <c r="BJ146" s="185"/>
      <c r="BK146" s="185"/>
      <c r="BL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233"/>
      <c r="AF147" s="185"/>
      <c r="AG147" s="185"/>
      <c r="AH147" s="185"/>
      <c r="AI147" s="185"/>
      <c r="AJ147" s="185"/>
      <c r="AK147" s="185"/>
      <c r="AL147" s="185"/>
      <c r="AM147" s="185"/>
      <c r="AN147" s="185"/>
      <c r="AO147" s="185"/>
      <c r="AP147" s="185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  <c r="BA147" s="185"/>
      <c r="BB147" s="185"/>
      <c r="BC147" s="185"/>
      <c r="BD147" s="185"/>
      <c r="BE147" s="185"/>
      <c r="BF147" s="185"/>
      <c r="BG147" s="185"/>
      <c r="BH147" s="185"/>
      <c r="BI147" s="185"/>
      <c r="BJ147" s="185"/>
      <c r="BK147" s="185"/>
      <c r="BL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233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  <c r="AP148" s="185"/>
      <c r="AQ148" s="185"/>
      <c r="AR148" s="185"/>
      <c r="AS148" s="185"/>
      <c r="AT148" s="185"/>
      <c r="AU148" s="185"/>
      <c r="AV148" s="185"/>
      <c r="AW148" s="185"/>
      <c r="AX148" s="185"/>
      <c r="AY148" s="185"/>
      <c r="AZ148" s="185"/>
      <c r="BA148" s="185"/>
      <c r="BB148" s="185"/>
      <c r="BC148" s="185"/>
      <c r="BD148" s="185"/>
      <c r="BE148" s="185"/>
      <c r="BF148" s="185"/>
      <c r="BG148" s="185"/>
      <c r="BH148" s="185"/>
      <c r="BI148" s="185"/>
      <c r="BJ148" s="185"/>
      <c r="BK148" s="185"/>
      <c r="BL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233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185"/>
      <c r="BD149" s="185"/>
      <c r="BE149" s="185"/>
      <c r="BF149" s="185"/>
      <c r="BG149" s="185"/>
      <c r="BH149" s="185"/>
      <c r="BI149" s="185"/>
      <c r="BJ149" s="185"/>
      <c r="BK149" s="185"/>
      <c r="BL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233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185"/>
      <c r="BE150" s="185"/>
      <c r="BF150" s="185"/>
      <c r="BG150" s="185"/>
      <c r="BH150" s="185"/>
      <c r="BI150" s="185"/>
      <c r="BJ150" s="185"/>
      <c r="BK150" s="185"/>
      <c r="BL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233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5"/>
      <c r="BF151" s="185"/>
      <c r="BG151" s="185"/>
      <c r="BH151" s="185"/>
      <c r="BI151" s="185"/>
      <c r="BJ151" s="185"/>
      <c r="BK151" s="185"/>
      <c r="BL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233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185"/>
      <c r="BE152" s="185"/>
      <c r="BF152" s="185"/>
      <c r="BG152" s="185"/>
      <c r="BH152" s="185"/>
      <c r="BI152" s="185"/>
      <c r="BJ152" s="185"/>
      <c r="BK152" s="185"/>
      <c r="BL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233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185"/>
      <c r="BE153" s="185"/>
      <c r="BF153" s="185"/>
      <c r="BG153" s="185"/>
      <c r="BH153" s="185"/>
      <c r="BI153" s="185"/>
      <c r="BJ153" s="185"/>
      <c r="BK153" s="185"/>
      <c r="BL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233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185"/>
      <c r="BE154" s="185"/>
      <c r="BF154" s="185"/>
      <c r="BG154" s="185"/>
      <c r="BH154" s="185"/>
      <c r="BI154" s="185"/>
      <c r="BJ154" s="185"/>
      <c r="BK154" s="185"/>
      <c r="BL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233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185"/>
      <c r="BE155" s="185"/>
      <c r="BF155" s="185"/>
      <c r="BG155" s="185"/>
      <c r="BH155" s="185"/>
      <c r="BI155" s="185"/>
      <c r="BJ155" s="185"/>
      <c r="BK155" s="185"/>
      <c r="BL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233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233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185"/>
      <c r="BE157" s="185"/>
      <c r="BF157" s="185"/>
      <c r="BG157" s="185"/>
      <c r="BH157" s="185"/>
      <c r="BI157" s="185"/>
      <c r="BJ157" s="185"/>
      <c r="BK157" s="185"/>
      <c r="BL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233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185"/>
      <c r="BE158" s="185"/>
      <c r="BF158" s="185"/>
      <c r="BG158" s="185"/>
      <c r="BH158" s="185"/>
      <c r="BI158" s="185"/>
      <c r="BJ158" s="185"/>
      <c r="BK158" s="185"/>
      <c r="BL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233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185"/>
      <c r="BE159" s="185"/>
      <c r="BF159" s="185"/>
      <c r="BG159" s="185"/>
      <c r="BH159" s="185"/>
      <c r="BI159" s="185"/>
      <c r="BJ159" s="185"/>
      <c r="BK159" s="185"/>
      <c r="BL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233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185"/>
      <c r="BE160" s="185"/>
      <c r="BF160" s="185"/>
      <c r="BG160" s="185"/>
      <c r="BH160" s="185"/>
      <c r="BI160" s="185"/>
      <c r="BJ160" s="185"/>
      <c r="BK160" s="185"/>
      <c r="BL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233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5"/>
      <c r="BF161" s="185"/>
      <c r="BG161" s="185"/>
      <c r="BH161" s="185"/>
      <c r="BI161" s="185"/>
      <c r="BJ161" s="185"/>
      <c r="BK161" s="185"/>
      <c r="BL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233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233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233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233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233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233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233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233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233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233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233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233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233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233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233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233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233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185"/>
      <c r="BE178" s="185"/>
      <c r="BF178" s="185"/>
      <c r="BG178" s="185"/>
      <c r="BH178" s="185"/>
      <c r="BI178" s="185"/>
      <c r="BJ178" s="185"/>
      <c r="BK178" s="185"/>
      <c r="BL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233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185"/>
      <c r="BI179" s="185"/>
      <c r="BJ179" s="185"/>
      <c r="BK179" s="185"/>
      <c r="BL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233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185"/>
      <c r="BI180" s="185"/>
      <c r="BJ180" s="185"/>
      <c r="BK180" s="185"/>
      <c r="BL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233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5"/>
      <c r="BF181" s="185"/>
      <c r="BG181" s="185"/>
      <c r="BH181" s="185"/>
      <c r="BI181" s="185"/>
      <c r="BJ181" s="185"/>
      <c r="BK181" s="185"/>
      <c r="BL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233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185"/>
      <c r="BI182" s="185"/>
      <c r="BJ182" s="185"/>
      <c r="BK182" s="185"/>
      <c r="BL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233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185"/>
      <c r="BI183" s="185"/>
      <c r="BJ183" s="185"/>
      <c r="BK183" s="185"/>
      <c r="BL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233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185"/>
      <c r="BI184" s="185"/>
      <c r="BJ184" s="185"/>
      <c r="BK184" s="185"/>
      <c r="BL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233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233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233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185"/>
      <c r="BE187" s="185"/>
      <c r="BF187" s="185"/>
      <c r="BG187" s="185"/>
      <c r="BH187" s="185"/>
      <c r="BI187" s="185"/>
      <c r="BJ187" s="185"/>
      <c r="BK187" s="185"/>
      <c r="BL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233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185"/>
      <c r="BE188" s="185"/>
      <c r="BF188" s="185"/>
      <c r="BG188" s="185"/>
      <c r="BH188" s="185"/>
      <c r="BI188" s="185"/>
      <c r="BJ188" s="185"/>
      <c r="BK188" s="185"/>
      <c r="BL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233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185"/>
      <c r="BE189" s="185"/>
      <c r="BF189" s="185"/>
      <c r="BG189" s="185"/>
      <c r="BH189" s="185"/>
      <c r="BI189" s="185"/>
      <c r="BJ189" s="185"/>
      <c r="BK189" s="185"/>
      <c r="BL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233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185"/>
      <c r="BE190" s="185"/>
      <c r="BF190" s="185"/>
      <c r="BG190" s="185"/>
      <c r="BH190" s="185"/>
      <c r="BI190" s="185"/>
      <c r="BJ190" s="185"/>
      <c r="BK190" s="185"/>
      <c r="BL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233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5"/>
      <c r="BF191" s="185"/>
      <c r="BG191" s="185"/>
      <c r="BH191" s="185"/>
      <c r="BI191" s="185"/>
      <c r="BJ191" s="185"/>
      <c r="BK191" s="185"/>
      <c r="BL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233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185"/>
      <c r="BE192" s="185"/>
      <c r="BF192" s="185"/>
      <c r="BG192" s="185"/>
      <c r="BH192" s="185"/>
      <c r="BI192" s="185"/>
      <c r="BJ192" s="185"/>
      <c r="BK192" s="185"/>
      <c r="BL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233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185"/>
      <c r="BE193" s="185"/>
      <c r="BF193" s="185"/>
      <c r="BG193" s="185"/>
      <c r="BH193" s="185"/>
      <c r="BI193" s="185"/>
      <c r="BJ193" s="185"/>
      <c r="BK193" s="185"/>
      <c r="BL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233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233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233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233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233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233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233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</row>
    <row r="201" ht="15.7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233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185"/>
      <c r="BE201" s="185"/>
      <c r="BF201" s="185"/>
      <c r="BG201" s="185"/>
      <c r="BH201" s="185"/>
      <c r="BI201" s="185"/>
      <c r="BJ201" s="185"/>
      <c r="BK201" s="185"/>
      <c r="BL201" s="185"/>
    </row>
    <row r="202" ht="15.7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233"/>
      <c r="AF202" s="185"/>
      <c r="AG202" s="185"/>
      <c r="AH202" s="185"/>
      <c r="AI202" s="185"/>
      <c r="AJ202" s="185"/>
      <c r="AK202" s="185"/>
      <c r="AL202" s="185"/>
      <c r="AM202" s="185"/>
      <c r="AN202" s="185"/>
      <c r="AO202" s="185"/>
      <c r="AP202" s="185"/>
      <c r="AQ202" s="185"/>
      <c r="AR202" s="185"/>
      <c r="AS202" s="185"/>
      <c r="AT202" s="185"/>
      <c r="AU202" s="185"/>
      <c r="AV202" s="185"/>
      <c r="AW202" s="185"/>
      <c r="AX202" s="185"/>
      <c r="AY202" s="185"/>
      <c r="AZ202" s="185"/>
      <c r="BA202" s="185"/>
      <c r="BB202" s="185"/>
      <c r="BC202" s="185"/>
      <c r="BD202" s="185"/>
      <c r="BE202" s="185"/>
      <c r="BF202" s="185"/>
      <c r="BG202" s="185"/>
      <c r="BH202" s="185"/>
      <c r="BI202" s="185"/>
      <c r="BJ202" s="185"/>
      <c r="BK202" s="185"/>
      <c r="BL202" s="185"/>
    </row>
    <row r="203" ht="15.7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233"/>
      <c r="AF203" s="185"/>
      <c r="AG203" s="185"/>
      <c r="AH203" s="185"/>
      <c r="AI203" s="185"/>
      <c r="AJ203" s="185"/>
      <c r="AK203" s="185"/>
      <c r="AL203" s="185"/>
      <c r="AM203" s="185"/>
      <c r="AN203" s="185"/>
      <c r="AO203" s="185"/>
      <c r="AP203" s="185"/>
      <c r="AQ203" s="185"/>
      <c r="AR203" s="185"/>
      <c r="AS203" s="185"/>
      <c r="AT203" s="185"/>
      <c r="AU203" s="185"/>
      <c r="AV203" s="185"/>
      <c r="AW203" s="185"/>
      <c r="AX203" s="185"/>
      <c r="AY203" s="185"/>
      <c r="AZ203" s="185"/>
      <c r="BA203" s="185"/>
      <c r="BB203" s="185"/>
      <c r="BC203" s="185"/>
      <c r="BD203" s="185"/>
      <c r="BE203" s="185"/>
      <c r="BF203" s="185"/>
      <c r="BG203" s="185"/>
      <c r="BH203" s="185"/>
      <c r="BI203" s="185"/>
      <c r="BJ203" s="185"/>
      <c r="BK203" s="185"/>
      <c r="BL203" s="185"/>
    </row>
    <row r="204" ht="15.7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233"/>
      <c r="AF204" s="185"/>
      <c r="AG204" s="185"/>
      <c r="AH204" s="185"/>
      <c r="AI204" s="185"/>
      <c r="AJ204" s="185"/>
      <c r="AK204" s="185"/>
      <c r="AL204" s="185"/>
      <c r="AM204" s="185"/>
      <c r="AN204" s="185"/>
      <c r="AO204" s="185"/>
      <c r="AP204" s="185"/>
      <c r="AQ204" s="185"/>
      <c r="AR204" s="185"/>
      <c r="AS204" s="185"/>
      <c r="AT204" s="185"/>
      <c r="AU204" s="185"/>
      <c r="AV204" s="185"/>
      <c r="AW204" s="185"/>
      <c r="AX204" s="185"/>
      <c r="AY204" s="185"/>
      <c r="AZ204" s="185"/>
      <c r="BA204" s="185"/>
      <c r="BB204" s="185"/>
      <c r="BC204" s="185"/>
      <c r="BD204" s="185"/>
      <c r="BE204" s="185"/>
      <c r="BF204" s="185"/>
      <c r="BG204" s="185"/>
      <c r="BH204" s="185"/>
      <c r="BI204" s="185"/>
      <c r="BJ204" s="185"/>
      <c r="BK204" s="185"/>
      <c r="BL204" s="185"/>
    </row>
    <row r="205" ht="15.7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233"/>
      <c r="AF205" s="185"/>
      <c r="AG205" s="185"/>
      <c r="AH205" s="185"/>
      <c r="AI205" s="185"/>
      <c r="AJ205" s="185"/>
      <c r="AK205" s="185"/>
      <c r="AL205" s="185"/>
      <c r="AM205" s="185"/>
      <c r="AN205" s="185"/>
      <c r="AO205" s="185"/>
      <c r="AP205" s="185"/>
      <c r="AQ205" s="185"/>
      <c r="AR205" s="185"/>
      <c r="AS205" s="185"/>
      <c r="AT205" s="185"/>
      <c r="AU205" s="185"/>
      <c r="AV205" s="185"/>
      <c r="AW205" s="185"/>
      <c r="AX205" s="185"/>
      <c r="AY205" s="185"/>
      <c r="AZ205" s="185"/>
      <c r="BA205" s="185"/>
      <c r="BB205" s="185"/>
      <c r="BC205" s="185"/>
      <c r="BD205" s="185"/>
      <c r="BE205" s="185"/>
      <c r="BF205" s="185"/>
      <c r="BG205" s="185"/>
      <c r="BH205" s="185"/>
      <c r="BI205" s="185"/>
      <c r="BJ205" s="185"/>
      <c r="BK205" s="185"/>
      <c r="BL205" s="185"/>
    </row>
    <row r="206" ht="15.7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233"/>
      <c r="AF206" s="185"/>
      <c r="AG206" s="185"/>
      <c r="AH206" s="185"/>
      <c r="AI206" s="185"/>
      <c r="AJ206" s="185"/>
      <c r="AK206" s="185"/>
      <c r="AL206" s="185"/>
      <c r="AM206" s="185"/>
      <c r="AN206" s="185"/>
      <c r="AO206" s="185"/>
      <c r="AP206" s="185"/>
      <c r="AQ206" s="185"/>
      <c r="AR206" s="185"/>
      <c r="AS206" s="185"/>
      <c r="AT206" s="185"/>
      <c r="AU206" s="185"/>
      <c r="AV206" s="185"/>
      <c r="AW206" s="185"/>
      <c r="AX206" s="185"/>
      <c r="AY206" s="185"/>
      <c r="AZ206" s="185"/>
      <c r="BA206" s="185"/>
      <c r="BB206" s="185"/>
      <c r="BC206" s="185"/>
      <c r="BD206" s="185"/>
      <c r="BE206" s="185"/>
      <c r="BF206" s="185"/>
      <c r="BG206" s="185"/>
      <c r="BH206" s="185"/>
      <c r="BI206" s="185"/>
      <c r="BJ206" s="185"/>
      <c r="BK206" s="185"/>
      <c r="BL206" s="185"/>
    </row>
    <row r="207" ht="15.7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233"/>
      <c r="AF207" s="185"/>
      <c r="AG207" s="185"/>
      <c r="AH207" s="185"/>
      <c r="AI207" s="185"/>
      <c r="AJ207" s="185"/>
      <c r="AK207" s="185"/>
      <c r="AL207" s="185"/>
      <c r="AM207" s="185"/>
      <c r="AN207" s="185"/>
      <c r="AO207" s="185"/>
      <c r="AP207" s="185"/>
      <c r="AQ207" s="185"/>
      <c r="AR207" s="185"/>
      <c r="AS207" s="185"/>
      <c r="AT207" s="185"/>
      <c r="AU207" s="185"/>
      <c r="AV207" s="185"/>
      <c r="AW207" s="185"/>
      <c r="AX207" s="185"/>
      <c r="AY207" s="185"/>
      <c r="AZ207" s="185"/>
      <c r="BA207" s="185"/>
      <c r="BB207" s="185"/>
      <c r="BC207" s="185"/>
      <c r="BD207" s="185"/>
      <c r="BE207" s="185"/>
      <c r="BF207" s="185"/>
      <c r="BG207" s="185"/>
      <c r="BH207" s="185"/>
      <c r="BI207" s="185"/>
      <c r="BJ207" s="185"/>
      <c r="BK207" s="185"/>
      <c r="BL207" s="185"/>
    </row>
    <row r="208" ht="15.7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233"/>
      <c r="AF208" s="185"/>
      <c r="AG208" s="185"/>
      <c r="AH208" s="185"/>
      <c r="AI208" s="185"/>
      <c r="AJ208" s="185"/>
      <c r="AK208" s="185"/>
      <c r="AL208" s="185"/>
      <c r="AM208" s="185"/>
      <c r="AN208" s="185"/>
      <c r="AO208" s="185"/>
      <c r="AP208" s="185"/>
      <c r="AQ208" s="185"/>
      <c r="AR208" s="185"/>
      <c r="AS208" s="185"/>
      <c r="AT208" s="185"/>
      <c r="AU208" s="185"/>
      <c r="AV208" s="185"/>
      <c r="AW208" s="185"/>
      <c r="AX208" s="185"/>
      <c r="AY208" s="185"/>
      <c r="AZ208" s="185"/>
      <c r="BA208" s="185"/>
      <c r="BB208" s="185"/>
      <c r="BC208" s="185"/>
      <c r="BD208" s="185"/>
      <c r="BE208" s="185"/>
      <c r="BF208" s="185"/>
      <c r="BG208" s="185"/>
      <c r="BH208" s="185"/>
      <c r="BI208" s="185"/>
      <c r="BJ208" s="185"/>
      <c r="BK208" s="185"/>
      <c r="BL208" s="185"/>
    </row>
    <row r="209" ht="15.7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233"/>
      <c r="AF209" s="185"/>
      <c r="AG209" s="185"/>
      <c r="AH209" s="185"/>
      <c r="AI209" s="185"/>
      <c r="AJ209" s="185"/>
      <c r="AK209" s="185"/>
      <c r="AL209" s="185"/>
      <c r="AM209" s="185"/>
      <c r="AN209" s="185"/>
      <c r="AO209" s="185"/>
      <c r="AP209" s="185"/>
      <c r="AQ209" s="185"/>
      <c r="AR209" s="185"/>
      <c r="AS209" s="185"/>
      <c r="AT209" s="185"/>
      <c r="AU209" s="185"/>
      <c r="AV209" s="185"/>
      <c r="AW209" s="185"/>
      <c r="AX209" s="185"/>
      <c r="AY209" s="185"/>
      <c r="AZ209" s="185"/>
      <c r="BA209" s="185"/>
      <c r="BB209" s="185"/>
      <c r="BC209" s="185"/>
      <c r="BD209" s="185"/>
      <c r="BE209" s="185"/>
      <c r="BF209" s="185"/>
      <c r="BG209" s="185"/>
      <c r="BH209" s="185"/>
      <c r="BI209" s="185"/>
      <c r="BJ209" s="185"/>
      <c r="BK209" s="185"/>
      <c r="BL209" s="185"/>
    </row>
    <row r="210" ht="15.7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233"/>
      <c r="AF210" s="185"/>
      <c r="AG210" s="185"/>
      <c r="AH210" s="185"/>
      <c r="AI210" s="185"/>
      <c r="AJ210" s="185"/>
      <c r="AK210" s="185"/>
      <c r="AL210" s="185"/>
      <c r="AM210" s="185"/>
      <c r="AN210" s="185"/>
      <c r="AO210" s="185"/>
      <c r="AP210" s="185"/>
      <c r="AQ210" s="185"/>
      <c r="AR210" s="185"/>
      <c r="AS210" s="185"/>
      <c r="AT210" s="185"/>
      <c r="AU210" s="185"/>
      <c r="AV210" s="185"/>
      <c r="AW210" s="185"/>
      <c r="AX210" s="185"/>
      <c r="AY210" s="185"/>
      <c r="AZ210" s="185"/>
      <c r="BA210" s="185"/>
      <c r="BB210" s="185"/>
      <c r="BC210" s="185"/>
      <c r="BD210" s="185"/>
      <c r="BE210" s="185"/>
      <c r="BF210" s="185"/>
      <c r="BG210" s="185"/>
      <c r="BH210" s="185"/>
      <c r="BI210" s="185"/>
      <c r="BJ210" s="185"/>
      <c r="BK210" s="185"/>
      <c r="BL210" s="185"/>
    </row>
    <row r="211" ht="15.7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233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  <c r="BA211" s="185"/>
      <c r="BB211" s="185"/>
      <c r="BC211" s="185"/>
      <c r="BD211" s="185"/>
      <c r="BE211" s="185"/>
      <c r="BF211" s="185"/>
      <c r="BG211" s="185"/>
      <c r="BH211" s="185"/>
      <c r="BI211" s="185"/>
      <c r="BJ211" s="185"/>
      <c r="BK211" s="185"/>
      <c r="BL211" s="185"/>
    </row>
    <row r="212" ht="15.7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233"/>
      <c r="AF212" s="185"/>
      <c r="AG212" s="185"/>
      <c r="AH212" s="185"/>
      <c r="AI212" s="185"/>
      <c r="AJ212" s="185"/>
      <c r="AK212" s="185"/>
      <c r="AL212" s="185"/>
      <c r="AM212" s="185"/>
      <c r="AN212" s="185"/>
      <c r="AO212" s="185"/>
      <c r="AP212" s="185"/>
      <c r="AQ212" s="185"/>
      <c r="AR212" s="185"/>
      <c r="AS212" s="185"/>
      <c r="AT212" s="185"/>
      <c r="AU212" s="185"/>
      <c r="AV212" s="185"/>
      <c r="AW212" s="185"/>
      <c r="AX212" s="185"/>
      <c r="AY212" s="185"/>
      <c r="AZ212" s="185"/>
      <c r="BA212" s="185"/>
      <c r="BB212" s="185"/>
      <c r="BC212" s="185"/>
      <c r="BD212" s="185"/>
      <c r="BE212" s="185"/>
      <c r="BF212" s="185"/>
      <c r="BG212" s="185"/>
      <c r="BH212" s="185"/>
      <c r="BI212" s="185"/>
      <c r="BJ212" s="185"/>
      <c r="BK212" s="185"/>
      <c r="BL212" s="185"/>
    </row>
    <row r="213" ht="15.7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233"/>
      <c r="AF213" s="185"/>
      <c r="AG213" s="185"/>
      <c r="AH213" s="185"/>
      <c r="AI213" s="185"/>
      <c r="AJ213" s="185"/>
      <c r="AK213" s="185"/>
      <c r="AL213" s="185"/>
      <c r="AM213" s="185"/>
      <c r="AN213" s="185"/>
      <c r="AO213" s="185"/>
      <c r="AP213" s="185"/>
      <c r="AQ213" s="185"/>
      <c r="AR213" s="185"/>
      <c r="AS213" s="185"/>
      <c r="AT213" s="185"/>
      <c r="AU213" s="185"/>
      <c r="AV213" s="185"/>
      <c r="AW213" s="185"/>
      <c r="AX213" s="185"/>
      <c r="AY213" s="185"/>
      <c r="AZ213" s="185"/>
      <c r="BA213" s="185"/>
      <c r="BB213" s="185"/>
      <c r="BC213" s="185"/>
      <c r="BD213" s="185"/>
      <c r="BE213" s="185"/>
      <c r="BF213" s="185"/>
      <c r="BG213" s="185"/>
      <c r="BH213" s="185"/>
      <c r="BI213" s="185"/>
      <c r="BJ213" s="185"/>
      <c r="BK213" s="185"/>
      <c r="BL213" s="185"/>
    </row>
    <row r="214" ht="15.7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233"/>
      <c r="AF214" s="185"/>
      <c r="AG214" s="185"/>
      <c r="AH214" s="185"/>
      <c r="AI214" s="185"/>
      <c r="AJ214" s="185"/>
      <c r="AK214" s="185"/>
      <c r="AL214" s="185"/>
      <c r="AM214" s="185"/>
      <c r="AN214" s="185"/>
      <c r="AO214" s="185"/>
      <c r="AP214" s="185"/>
      <c r="AQ214" s="185"/>
      <c r="AR214" s="185"/>
      <c r="AS214" s="185"/>
      <c r="AT214" s="185"/>
      <c r="AU214" s="185"/>
      <c r="AV214" s="185"/>
      <c r="AW214" s="185"/>
      <c r="AX214" s="185"/>
      <c r="AY214" s="185"/>
      <c r="AZ214" s="185"/>
      <c r="BA214" s="185"/>
      <c r="BB214" s="185"/>
      <c r="BC214" s="185"/>
      <c r="BD214" s="185"/>
      <c r="BE214" s="185"/>
      <c r="BF214" s="185"/>
      <c r="BG214" s="185"/>
      <c r="BH214" s="185"/>
      <c r="BI214" s="185"/>
      <c r="BJ214" s="185"/>
      <c r="BK214" s="185"/>
      <c r="BL214" s="185"/>
    </row>
    <row r="215" ht="15.7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233"/>
      <c r="AF215" s="185"/>
      <c r="AG215" s="185"/>
      <c r="AH215" s="185"/>
      <c r="AI215" s="185"/>
      <c r="AJ215" s="185"/>
      <c r="AK215" s="185"/>
      <c r="AL215" s="185"/>
      <c r="AM215" s="185"/>
      <c r="AN215" s="185"/>
      <c r="AO215" s="185"/>
      <c r="AP215" s="185"/>
      <c r="AQ215" s="185"/>
      <c r="AR215" s="185"/>
      <c r="AS215" s="185"/>
      <c r="AT215" s="185"/>
      <c r="AU215" s="185"/>
      <c r="AV215" s="185"/>
      <c r="AW215" s="185"/>
      <c r="AX215" s="185"/>
      <c r="AY215" s="185"/>
      <c r="AZ215" s="185"/>
      <c r="BA215" s="185"/>
      <c r="BB215" s="185"/>
      <c r="BC215" s="185"/>
      <c r="BD215" s="185"/>
      <c r="BE215" s="185"/>
      <c r="BF215" s="185"/>
      <c r="BG215" s="185"/>
      <c r="BH215" s="185"/>
      <c r="BI215" s="185"/>
      <c r="BJ215" s="185"/>
      <c r="BK215" s="185"/>
      <c r="BL215" s="185"/>
    </row>
    <row r="216" ht="15.7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233"/>
      <c r="AF216" s="185"/>
      <c r="AG216" s="185"/>
      <c r="AH216" s="185"/>
      <c r="AI216" s="185"/>
      <c r="AJ216" s="185"/>
      <c r="AK216" s="185"/>
      <c r="AL216" s="185"/>
      <c r="AM216" s="185"/>
      <c r="AN216" s="185"/>
      <c r="AO216" s="185"/>
      <c r="AP216" s="185"/>
      <c r="AQ216" s="185"/>
      <c r="AR216" s="185"/>
      <c r="AS216" s="185"/>
      <c r="AT216" s="185"/>
      <c r="AU216" s="185"/>
      <c r="AV216" s="185"/>
      <c r="AW216" s="185"/>
      <c r="AX216" s="185"/>
      <c r="AY216" s="185"/>
      <c r="AZ216" s="185"/>
      <c r="BA216" s="185"/>
      <c r="BB216" s="185"/>
      <c r="BC216" s="185"/>
      <c r="BD216" s="185"/>
      <c r="BE216" s="185"/>
      <c r="BF216" s="185"/>
      <c r="BG216" s="185"/>
      <c r="BH216" s="185"/>
      <c r="BI216" s="185"/>
      <c r="BJ216" s="185"/>
      <c r="BK216" s="185"/>
      <c r="BL216" s="185"/>
    </row>
    <row r="217" ht="15.7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233"/>
      <c r="AF217" s="185"/>
      <c r="AG217" s="185"/>
      <c r="AH217" s="185"/>
      <c r="AI217" s="185"/>
      <c r="AJ217" s="185"/>
      <c r="AK217" s="185"/>
      <c r="AL217" s="185"/>
      <c r="AM217" s="185"/>
      <c r="AN217" s="185"/>
      <c r="AO217" s="185"/>
      <c r="AP217" s="185"/>
      <c r="AQ217" s="185"/>
      <c r="AR217" s="185"/>
      <c r="AS217" s="185"/>
      <c r="AT217" s="185"/>
      <c r="AU217" s="185"/>
      <c r="AV217" s="185"/>
      <c r="AW217" s="185"/>
      <c r="AX217" s="185"/>
      <c r="AY217" s="185"/>
      <c r="AZ217" s="185"/>
      <c r="BA217" s="185"/>
      <c r="BB217" s="185"/>
      <c r="BC217" s="185"/>
      <c r="BD217" s="185"/>
      <c r="BE217" s="185"/>
      <c r="BF217" s="185"/>
      <c r="BG217" s="185"/>
      <c r="BH217" s="185"/>
      <c r="BI217" s="185"/>
      <c r="BJ217" s="185"/>
      <c r="BK217" s="185"/>
      <c r="BL217" s="185"/>
    </row>
    <row r="218" ht="15.7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233"/>
      <c r="AF218" s="185"/>
      <c r="AG218" s="185"/>
      <c r="AH218" s="185"/>
      <c r="AI218" s="185"/>
      <c r="AJ218" s="185"/>
      <c r="AK218" s="185"/>
      <c r="AL218" s="185"/>
      <c r="AM218" s="185"/>
      <c r="AN218" s="185"/>
      <c r="AO218" s="185"/>
      <c r="AP218" s="185"/>
      <c r="AQ218" s="185"/>
      <c r="AR218" s="185"/>
      <c r="AS218" s="185"/>
      <c r="AT218" s="185"/>
      <c r="AU218" s="185"/>
      <c r="AV218" s="185"/>
      <c r="AW218" s="185"/>
      <c r="AX218" s="185"/>
      <c r="AY218" s="185"/>
      <c r="AZ218" s="185"/>
      <c r="BA218" s="185"/>
      <c r="BB218" s="185"/>
      <c r="BC218" s="185"/>
      <c r="BD218" s="185"/>
      <c r="BE218" s="185"/>
      <c r="BF218" s="185"/>
      <c r="BG218" s="185"/>
      <c r="BH218" s="185"/>
      <c r="BI218" s="185"/>
      <c r="BJ218" s="185"/>
      <c r="BK218" s="185"/>
      <c r="BL218" s="185"/>
    </row>
    <row r="219" ht="15.7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233"/>
      <c r="AF219" s="185"/>
      <c r="AG219" s="185"/>
      <c r="AH219" s="185"/>
      <c r="AI219" s="185"/>
      <c r="AJ219" s="185"/>
      <c r="AK219" s="185"/>
      <c r="AL219" s="185"/>
      <c r="AM219" s="185"/>
      <c r="AN219" s="185"/>
      <c r="AO219" s="185"/>
      <c r="AP219" s="185"/>
      <c r="AQ219" s="185"/>
      <c r="AR219" s="185"/>
      <c r="AS219" s="185"/>
      <c r="AT219" s="185"/>
      <c r="AU219" s="185"/>
      <c r="AV219" s="185"/>
      <c r="AW219" s="185"/>
      <c r="AX219" s="185"/>
      <c r="AY219" s="185"/>
      <c r="AZ219" s="185"/>
      <c r="BA219" s="185"/>
      <c r="BB219" s="185"/>
      <c r="BC219" s="185"/>
      <c r="BD219" s="185"/>
      <c r="BE219" s="185"/>
      <c r="BF219" s="185"/>
      <c r="BG219" s="185"/>
      <c r="BH219" s="185"/>
      <c r="BI219" s="185"/>
      <c r="BJ219" s="185"/>
      <c r="BK219" s="185"/>
      <c r="BL219" s="185"/>
    </row>
    <row r="220" ht="15.7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233"/>
      <c r="AF220" s="185"/>
      <c r="AG220" s="185"/>
      <c r="AH220" s="185"/>
      <c r="AI220" s="185"/>
      <c r="AJ220" s="185"/>
      <c r="AK220" s="185"/>
      <c r="AL220" s="185"/>
      <c r="AM220" s="185"/>
      <c r="AN220" s="185"/>
      <c r="AO220" s="185"/>
      <c r="AP220" s="185"/>
      <c r="AQ220" s="185"/>
      <c r="AR220" s="185"/>
      <c r="AS220" s="185"/>
      <c r="AT220" s="185"/>
      <c r="AU220" s="185"/>
      <c r="AV220" s="185"/>
      <c r="AW220" s="185"/>
      <c r="AX220" s="185"/>
      <c r="AY220" s="185"/>
      <c r="AZ220" s="185"/>
      <c r="BA220" s="185"/>
      <c r="BB220" s="185"/>
      <c r="BC220" s="185"/>
      <c r="BD220" s="185"/>
      <c r="BE220" s="185"/>
      <c r="BF220" s="185"/>
      <c r="BG220" s="185"/>
      <c r="BH220" s="185"/>
      <c r="BI220" s="185"/>
      <c r="BJ220" s="185"/>
      <c r="BK220" s="185"/>
      <c r="BL220" s="185"/>
    </row>
    <row r="221" ht="15.7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233"/>
      <c r="AF221" s="185"/>
      <c r="AG221" s="185"/>
      <c r="AH221" s="185"/>
      <c r="AI221" s="185"/>
      <c r="AJ221" s="185"/>
      <c r="AK221" s="185"/>
      <c r="AL221" s="185"/>
      <c r="AM221" s="185"/>
      <c r="AN221" s="185"/>
      <c r="AO221" s="185"/>
      <c r="AP221" s="185"/>
      <c r="AQ221" s="185"/>
      <c r="AR221" s="185"/>
      <c r="AS221" s="185"/>
      <c r="AT221" s="185"/>
      <c r="AU221" s="185"/>
      <c r="AV221" s="185"/>
      <c r="AW221" s="185"/>
      <c r="AX221" s="185"/>
      <c r="AY221" s="185"/>
      <c r="AZ221" s="185"/>
      <c r="BA221" s="185"/>
      <c r="BB221" s="185"/>
      <c r="BC221" s="185"/>
      <c r="BD221" s="185"/>
      <c r="BE221" s="185"/>
      <c r="BF221" s="185"/>
      <c r="BG221" s="185"/>
      <c r="BH221" s="185"/>
      <c r="BI221" s="185"/>
      <c r="BJ221" s="185"/>
      <c r="BK221" s="185"/>
      <c r="BL221" s="185"/>
    </row>
    <row r="222" ht="15.7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233"/>
      <c r="AF222" s="185"/>
      <c r="AG222" s="185"/>
      <c r="AH222" s="185"/>
      <c r="AI222" s="185"/>
      <c r="AJ222" s="185"/>
      <c r="AK222" s="185"/>
      <c r="AL222" s="185"/>
      <c r="AM222" s="185"/>
      <c r="AN222" s="185"/>
      <c r="AO222" s="185"/>
      <c r="AP222" s="185"/>
      <c r="AQ222" s="185"/>
      <c r="AR222" s="185"/>
      <c r="AS222" s="185"/>
      <c r="AT222" s="185"/>
      <c r="AU222" s="185"/>
      <c r="AV222" s="185"/>
      <c r="AW222" s="185"/>
      <c r="AX222" s="185"/>
      <c r="AY222" s="185"/>
      <c r="AZ222" s="185"/>
      <c r="BA222" s="185"/>
      <c r="BB222" s="185"/>
      <c r="BC222" s="185"/>
      <c r="BD222" s="185"/>
      <c r="BE222" s="185"/>
      <c r="BF222" s="185"/>
      <c r="BG222" s="185"/>
      <c r="BH222" s="185"/>
      <c r="BI222" s="185"/>
      <c r="BJ222" s="185"/>
      <c r="BK222" s="185"/>
      <c r="BL222" s="185"/>
    </row>
    <row r="223" ht="15.7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233"/>
      <c r="AF223" s="185"/>
      <c r="AG223" s="185"/>
      <c r="AH223" s="185"/>
      <c r="AI223" s="185"/>
      <c r="AJ223" s="185"/>
      <c r="AK223" s="185"/>
      <c r="AL223" s="185"/>
      <c r="AM223" s="185"/>
      <c r="AN223" s="185"/>
      <c r="AO223" s="185"/>
      <c r="AP223" s="185"/>
      <c r="AQ223" s="185"/>
      <c r="AR223" s="185"/>
      <c r="AS223" s="185"/>
      <c r="AT223" s="185"/>
      <c r="AU223" s="185"/>
      <c r="AV223" s="185"/>
      <c r="AW223" s="185"/>
      <c r="AX223" s="185"/>
      <c r="AY223" s="185"/>
      <c r="AZ223" s="185"/>
      <c r="BA223" s="185"/>
      <c r="BB223" s="185"/>
      <c r="BC223" s="185"/>
      <c r="BD223" s="185"/>
      <c r="BE223" s="185"/>
      <c r="BF223" s="185"/>
      <c r="BG223" s="185"/>
      <c r="BH223" s="185"/>
      <c r="BI223" s="185"/>
      <c r="BJ223" s="185"/>
      <c r="BK223" s="185"/>
      <c r="BL223" s="185"/>
    </row>
    <row r="224" ht="15.7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233"/>
      <c r="AF224" s="185"/>
      <c r="AG224" s="185"/>
      <c r="AH224" s="185"/>
      <c r="AI224" s="185"/>
      <c r="AJ224" s="185"/>
      <c r="AK224" s="185"/>
      <c r="AL224" s="185"/>
      <c r="AM224" s="185"/>
      <c r="AN224" s="185"/>
      <c r="AO224" s="185"/>
      <c r="AP224" s="185"/>
      <c r="AQ224" s="185"/>
      <c r="AR224" s="185"/>
      <c r="AS224" s="185"/>
      <c r="AT224" s="185"/>
      <c r="AU224" s="185"/>
      <c r="AV224" s="185"/>
      <c r="AW224" s="185"/>
      <c r="AX224" s="185"/>
      <c r="AY224" s="185"/>
      <c r="AZ224" s="185"/>
      <c r="BA224" s="185"/>
      <c r="BB224" s="185"/>
      <c r="BC224" s="185"/>
      <c r="BD224" s="185"/>
      <c r="BE224" s="185"/>
      <c r="BF224" s="185"/>
      <c r="BG224" s="185"/>
      <c r="BH224" s="185"/>
      <c r="BI224" s="185"/>
      <c r="BJ224" s="185"/>
      <c r="BK224" s="185"/>
      <c r="BL224" s="185"/>
    </row>
    <row r="225" ht="15.7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233"/>
      <c r="AF225" s="185"/>
      <c r="AG225" s="185"/>
      <c r="AH225" s="185"/>
      <c r="AI225" s="185"/>
      <c r="AJ225" s="185"/>
      <c r="AK225" s="185"/>
      <c r="AL225" s="185"/>
      <c r="AM225" s="185"/>
      <c r="AN225" s="185"/>
      <c r="AO225" s="185"/>
      <c r="AP225" s="185"/>
      <c r="AQ225" s="185"/>
      <c r="AR225" s="185"/>
      <c r="AS225" s="185"/>
      <c r="AT225" s="185"/>
      <c r="AU225" s="185"/>
      <c r="AV225" s="185"/>
      <c r="AW225" s="185"/>
      <c r="AX225" s="185"/>
      <c r="AY225" s="185"/>
      <c r="AZ225" s="185"/>
      <c r="BA225" s="185"/>
      <c r="BB225" s="185"/>
      <c r="BC225" s="185"/>
      <c r="BD225" s="185"/>
      <c r="BE225" s="185"/>
      <c r="BF225" s="185"/>
      <c r="BG225" s="185"/>
      <c r="BH225" s="185"/>
      <c r="BI225" s="185"/>
      <c r="BJ225" s="185"/>
      <c r="BK225" s="185"/>
      <c r="BL225" s="185"/>
    </row>
    <row r="226" ht="15.7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233"/>
      <c r="AF226" s="185"/>
      <c r="AG226" s="185"/>
      <c r="AH226" s="185"/>
      <c r="AI226" s="185"/>
      <c r="AJ226" s="185"/>
      <c r="AK226" s="185"/>
      <c r="AL226" s="185"/>
      <c r="AM226" s="185"/>
      <c r="AN226" s="185"/>
      <c r="AO226" s="185"/>
      <c r="AP226" s="185"/>
      <c r="AQ226" s="185"/>
      <c r="AR226" s="185"/>
      <c r="AS226" s="185"/>
      <c r="AT226" s="185"/>
      <c r="AU226" s="185"/>
      <c r="AV226" s="185"/>
      <c r="AW226" s="185"/>
      <c r="AX226" s="185"/>
      <c r="AY226" s="185"/>
      <c r="AZ226" s="185"/>
      <c r="BA226" s="185"/>
      <c r="BB226" s="185"/>
      <c r="BC226" s="185"/>
      <c r="BD226" s="185"/>
      <c r="BE226" s="185"/>
      <c r="BF226" s="185"/>
      <c r="BG226" s="185"/>
      <c r="BH226" s="185"/>
      <c r="BI226" s="185"/>
      <c r="BJ226" s="185"/>
      <c r="BK226" s="185"/>
      <c r="BL226" s="185"/>
    </row>
    <row r="227" ht="15.7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233"/>
      <c r="AF227" s="185"/>
      <c r="AG227" s="185"/>
      <c r="AH227" s="185"/>
      <c r="AI227" s="185"/>
      <c r="AJ227" s="185"/>
      <c r="AK227" s="185"/>
      <c r="AL227" s="185"/>
      <c r="AM227" s="185"/>
      <c r="AN227" s="185"/>
      <c r="AO227" s="185"/>
      <c r="AP227" s="185"/>
      <c r="AQ227" s="185"/>
      <c r="AR227" s="185"/>
      <c r="AS227" s="185"/>
      <c r="AT227" s="185"/>
      <c r="AU227" s="185"/>
      <c r="AV227" s="185"/>
      <c r="AW227" s="185"/>
      <c r="AX227" s="185"/>
      <c r="AY227" s="185"/>
      <c r="AZ227" s="185"/>
      <c r="BA227" s="185"/>
      <c r="BB227" s="185"/>
      <c r="BC227" s="185"/>
      <c r="BD227" s="185"/>
      <c r="BE227" s="185"/>
      <c r="BF227" s="185"/>
      <c r="BG227" s="185"/>
      <c r="BH227" s="185"/>
      <c r="BI227" s="185"/>
      <c r="BJ227" s="185"/>
      <c r="BK227" s="185"/>
      <c r="BL227" s="185"/>
    </row>
    <row r="228" ht="15.7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233"/>
      <c r="AF228" s="185"/>
      <c r="AG228" s="185"/>
      <c r="AH228" s="185"/>
      <c r="AI228" s="185"/>
      <c r="AJ228" s="185"/>
      <c r="AK228" s="185"/>
      <c r="AL228" s="185"/>
      <c r="AM228" s="185"/>
      <c r="AN228" s="185"/>
      <c r="AO228" s="185"/>
      <c r="AP228" s="185"/>
      <c r="AQ228" s="185"/>
      <c r="AR228" s="185"/>
      <c r="AS228" s="185"/>
      <c r="AT228" s="185"/>
      <c r="AU228" s="185"/>
      <c r="AV228" s="185"/>
      <c r="AW228" s="185"/>
      <c r="AX228" s="185"/>
      <c r="AY228" s="185"/>
      <c r="AZ228" s="185"/>
      <c r="BA228" s="185"/>
      <c r="BB228" s="185"/>
      <c r="BC228" s="185"/>
      <c r="BD228" s="185"/>
      <c r="BE228" s="185"/>
      <c r="BF228" s="185"/>
      <c r="BG228" s="185"/>
      <c r="BH228" s="185"/>
      <c r="BI228" s="185"/>
      <c r="BJ228" s="185"/>
      <c r="BK228" s="185"/>
      <c r="BL228" s="185"/>
    </row>
    <row r="229" ht="15.7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233"/>
      <c r="AF229" s="185"/>
      <c r="AG229" s="185"/>
      <c r="AH229" s="185"/>
      <c r="AI229" s="185"/>
      <c r="AJ229" s="185"/>
      <c r="AK229" s="185"/>
      <c r="AL229" s="185"/>
      <c r="AM229" s="185"/>
      <c r="AN229" s="185"/>
      <c r="AO229" s="185"/>
      <c r="AP229" s="185"/>
      <c r="AQ229" s="185"/>
      <c r="AR229" s="185"/>
      <c r="AS229" s="185"/>
      <c r="AT229" s="185"/>
      <c r="AU229" s="185"/>
      <c r="AV229" s="185"/>
      <c r="AW229" s="185"/>
      <c r="AX229" s="185"/>
      <c r="AY229" s="185"/>
      <c r="AZ229" s="185"/>
      <c r="BA229" s="185"/>
      <c r="BB229" s="185"/>
      <c r="BC229" s="185"/>
      <c r="BD229" s="185"/>
      <c r="BE229" s="185"/>
      <c r="BF229" s="185"/>
      <c r="BG229" s="185"/>
      <c r="BH229" s="185"/>
      <c r="BI229" s="185"/>
      <c r="BJ229" s="185"/>
      <c r="BK229" s="185"/>
      <c r="BL229" s="185"/>
    </row>
    <row r="230" ht="15.7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233"/>
      <c r="AF230" s="185"/>
      <c r="AG230" s="185"/>
      <c r="AH230" s="185"/>
      <c r="AI230" s="185"/>
      <c r="AJ230" s="185"/>
      <c r="AK230" s="185"/>
      <c r="AL230" s="185"/>
      <c r="AM230" s="185"/>
      <c r="AN230" s="185"/>
      <c r="AO230" s="185"/>
      <c r="AP230" s="185"/>
      <c r="AQ230" s="185"/>
      <c r="AR230" s="185"/>
      <c r="AS230" s="185"/>
      <c r="AT230" s="185"/>
      <c r="AU230" s="185"/>
      <c r="AV230" s="185"/>
      <c r="AW230" s="185"/>
      <c r="AX230" s="185"/>
      <c r="AY230" s="185"/>
      <c r="AZ230" s="185"/>
      <c r="BA230" s="185"/>
      <c r="BB230" s="185"/>
      <c r="BC230" s="185"/>
      <c r="BD230" s="185"/>
      <c r="BE230" s="185"/>
      <c r="BF230" s="185"/>
      <c r="BG230" s="185"/>
      <c r="BH230" s="185"/>
      <c r="BI230" s="185"/>
      <c r="BJ230" s="185"/>
      <c r="BK230" s="185"/>
      <c r="BL230" s="185"/>
    </row>
    <row r="231" ht="15.7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233"/>
      <c r="AF231" s="185"/>
      <c r="AG231" s="185"/>
      <c r="AH231" s="185"/>
      <c r="AI231" s="185"/>
      <c r="AJ231" s="185"/>
      <c r="AK231" s="185"/>
      <c r="AL231" s="185"/>
      <c r="AM231" s="185"/>
      <c r="AN231" s="185"/>
      <c r="AO231" s="185"/>
      <c r="AP231" s="185"/>
      <c r="AQ231" s="185"/>
      <c r="AR231" s="185"/>
      <c r="AS231" s="185"/>
      <c r="AT231" s="185"/>
      <c r="AU231" s="185"/>
      <c r="AV231" s="185"/>
      <c r="AW231" s="185"/>
      <c r="AX231" s="185"/>
      <c r="AY231" s="185"/>
      <c r="AZ231" s="185"/>
      <c r="BA231" s="185"/>
      <c r="BB231" s="185"/>
      <c r="BC231" s="185"/>
      <c r="BD231" s="185"/>
      <c r="BE231" s="185"/>
      <c r="BF231" s="185"/>
      <c r="BG231" s="185"/>
      <c r="BH231" s="185"/>
      <c r="BI231" s="185"/>
      <c r="BJ231" s="185"/>
      <c r="BK231" s="185"/>
      <c r="BL231" s="185"/>
    </row>
    <row r="232" ht="15.7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233"/>
      <c r="AF232" s="185"/>
      <c r="AG232" s="185"/>
      <c r="AH232" s="185"/>
      <c r="AI232" s="185"/>
      <c r="AJ232" s="185"/>
      <c r="AK232" s="185"/>
      <c r="AL232" s="185"/>
      <c r="AM232" s="185"/>
      <c r="AN232" s="185"/>
      <c r="AO232" s="185"/>
      <c r="AP232" s="185"/>
      <c r="AQ232" s="185"/>
      <c r="AR232" s="185"/>
      <c r="AS232" s="185"/>
      <c r="AT232" s="185"/>
      <c r="AU232" s="185"/>
      <c r="AV232" s="185"/>
      <c r="AW232" s="185"/>
      <c r="AX232" s="185"/>
      <c r="AY232" s="185"/>
      <c r="AZ232" s="185"/>
      <c r="BA232" s="185"/>
      <c r="BB232" s="185"/>
      <c r="BC232" s="185"/>
      <c r="BD232" s="185"/>
      <c r="BE232" s="185"/>
      <c r="BF232" s="185"/>
      <c r="BG232" s="185"/>
      <c r="BH232" s="185"/>
      <c r="BI232" s="185"/>
      <c r="BJ232" s="185"/>
      <c r="BK232" s="185"/>
      <c r="BL232" s="185"/>
    </row>
    <row r="233" ht="15.7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233"/>
      <c r="AF233" s="185"/>
      <c r="AG233" s="185"/>
      <c r="AH233" s="185"/>
      <c r="AI233" s="185"/>
      <c r="AJ233" s="185"/>
      <c r="AK233" s="185"/>
      <c r="AL233" s="185"/>
      <c r="AM233" s="185"/>
      <c r="AN233" s="185"/>
      <c r="AO233" s="185"/>
      <c r="AP233" s="185"/>
      <c r="AQ233" s="185"/>
      <c r="AR233" s="185"/>
      <c r="AS233" s="185"/>
      <c r="AT233" s="185"/>
      <c r="AU233" s="185"/>
      <c r="AV233" s="185"/>
      <c r="AW233" s="185"/>
      <c r="AX233" s="185"/>
      <c r="AY233" s="185"/>
      <c r="AZ233" s="185"/>
      <c r="BA233" s="185"/>
      <c r="BB233" s="185"/>
      <c r="BC233" s="185"/>
      <c r="BD233" s="185"/>
      <c r="BE233" s="185"/>
      <c r="BF233" s="185"/>
      <c r="BG233" s="185"/>
      <c r="BH233" s="185"/>
      <c r="BI233" s="185"/>
      <c r="BJ233" s="185"/>
      <c r="BK233" s="185"/>
      <c r="BL233" s="185"/>
    </row>
    <row r="234" ht="15.7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233"/>
      <c r="AF234" s="185"/>
      <c r="AG234" s="185"/>
      <c r="AH234" s="185"/>
      <c r="AI234" s="185"/>
      <c r="AJ234" s="185"/>
      <c r="AK234" s="185"/>
      <c r="AL234" s="185"/>
      <c r="AM234" s="185"/>
      <c r="AN234" s="185"/>
      <c r="AO234" s="185"/>
      <c r="AP234" s="185"/>
      <c r="AQ234" s="185"/>
      <c r="AR234" s="185"/>
      <c r="AS234" s="185"/>
      <c r="AT234" s="185"/>
      <c r="AU234" s="185"/>
      <c r="AV234" s="185"/>
      <c r="AW234" s="185"/>
      <c r="AX234" s="185"/>
      <c r="AY234" s="185"/>
      <c r="AZ234" s="185"/>
      <c r="BA234" s="185"/>
      <c r="BB234" s="185"/>
      <c r="BC234" s="185"/>
      <c r="BD234" s="185"/>
      <c r="BE234" s="185"/>
      <c r="BF234" s="185"/>
      <c r="BG234" s="185"/>
      <c r="BH234" s="185"/>
      <c r="BI234" s="185"/>
      <c r="BJ234" s="185"/>
      <c r="BK234" s="185"/>
      <c r="BL234" s="185"/>
    </row>
    <row r="235" ht="15.7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233"/>
      <c r="AF235" s="185"/>
      <c r="AG235" s="185"/>
      <c r="AH235" s="185"/>
      <c r="AI235" s="185"/>
      <c r="AJ235" s="185"/>
      <c r="AK235" s="185"/>
      <c r="AL235" s="185"/>
      <c r="AM235" s="185"/>
      <c r="AN235" s="185"/>
      <c r="AO235" s="185"/>
      <c r="AP235" s="185"/>
      <c r="AQ235" s="185"/>
      <c r="AR235" s="185"/>
      <c r="AS235" s="185"/>
      <c r="AT235" s="185"/>
      <c r="AU235" s="185"/>
      <c r="AV235" s="185"/>
      <c r="AW235" s="185"/>
      <c r="AX235" s="185"/>
      <c r="AY235" s="185"/>
      <c r="AZ235" s="185"/>
      <c r="BA235" s="185"/>
      <c r="BB235" s="185"/>
      <c r="BC235" s="185"/>
      <c r="BD235" s="185"/>
      <c r="BE235" s="185"/>
      <c r="BF235" s="185"/>
      <c r="BG235" s="185"/>
      <c r="BH235" s="185"/>
      <c r="BI235" s="185"/>
      <c r="BJ235" s="185"/>
      <c r="BK235" s="185"/>
      <c r="BL235" s="185"/>
    </row>
    <row r="236" ht="15.7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233"/>
      <c r="AF236" s="185"/>
      <c r="AG236" s="185"/>
      <c r="AH236" s="185"/>
      <c r="AI236" s="185"/>
      <c r="AJ236" s="185"/>
      <c r="AK236" s="185"/>
      <c r="AL236" s="185"/>
      <c r="AM236" s="185"/>
      <c r="AN236" s="185"/>
      <c r="AO236" s="185"/>
      <c r="AP236" s="185"/>
      <c r="AQ236" s="185"/>
      <c r="AR236" s="185"/>
      <c r="AS236" s="185"/>
      <c r="AT236" s="185"/>
      <c r="AU236" s="185"/>
      <c r="AV236" s="185"/>
      <c r="AW236" s="185"/>
      <c r="AX236" s="185"/>
      <c r="AY236" s="185"/>
      <c r="AZ236" s="185"/>
      <c r="BA236" s="185"/>
      <c r="BB236" s="185"/>
      <c r="BC236" s="185"/>
      <c r="BD236" s="185"/>
      <c r="BE236" s="185"/>
      <c r="BF236" s="185"/>
      <c r="BG236" s="185"/>
      <c r="BH236" s="185"/>
      <c r="BI236" s="185"/>
      <c r="BJ236" s="185"/>
      <c r="BK236" s="185"/>
      <c r="BL236" s="185"/>
    </row>
    <row r="237" ht="15.7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233"/>
      <c r="AF237" s="185"/>
      <c r="AG237" s="185"/>
      <c r="AH237" s="185"/>
      <c r="AI237" s="185"/>
      <c r="AJ237" s="185"/>
      <c r="AK237" s="185"/>
      <c r="AL237" s="185"/>
      <c r="AM237" s="185"/>
      <c r="AN237" s="185"/>
      <c r="AO237" s="185"/>
      <c r="AP237" s="185"/>
      <c r="AQ237" s="185"/>
      <c r="AR237" s="185"/>
      <c r="AS237" s="185"/>
      <c r="AT237" s="185"/>
      <c r="AU237" s="185"/>
      <c r="AV237" s="185"/>
      <c r="AW237" s="185"/>
      <c r="AX237" s="185"/>
      <c r="AY237" s="185"/>
      <c r="AZ237" s="185"/>
      <c r="BA237" s="185"/>
      <c r="BB237" s="185"/>
      <c r="BC237" s="185"/>
      <c r="BD237" s="185"/>
      <c r="BE237" s="185"/>
      <c r="BF237" s="185"/>
      <c r="BG237" s="185"/>
      <c r="BH237" s="185"/>
      <c r="BI237" s="185"/>
      <c r="BJ237" s="185"/>
      <c r="BK237" s="185"/>
      <c r="BL237" s="185"/>
    </row>
    <row r="238" ht="15.7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233"/>
      <c r="AF238" s="185"/>
      <c r="AG238" s="185"/>
      <c r="AH238" s="185"/>
      <c r="AI238" s="185"/>
      <c r="AJ238" s="185"/>
      <c r="AK238" s="185"/>
      <c r="AL238" s="185"/>
      <c r="AM238" s="185"/>
      <c r="AN238" s="185"/>
      <c r="AO238" s="185"/>
      <c r="AP238" s="185"/>
      <c r="AQ238" s="185"/>
      <c r="AR238" s="185"/>
      <c r="AS238" s="185"/>
      <c r="AT238" s="185"/>
      <c r="AU238" s="185"/>
      <c r="AV238" s="185"/>
      <c r="AW238" s="185"/>
      <c r="AX238" s="185"/>
      <c r="AY238" s="185"/>
      <c r="AZ238" s="185"/>
      <c r="BA238" s="185"/>
      <c r="BB238" s="185"/>
      <c r="BC238" s="185"/>
      <c r="BD238" s="185"/>
      <c r="BE238" s="185"/>
      <c r="BF238" s="185"/>
      <c r="BG238" s="185"/>
      <c r="BH238" s="185"/>
      <c r="BI238" s="185"/>
      <c r="BJ238" s="185"/>
      <c r="BK238" s="185"/>
      <c r="BL238" s="185"/>
    </row>
    <row r="239" ht="15.7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233"/>
      <c r="AF239" s="185"/>
      <c r="AG239" s="185"/>
      <c r="AH239" s="185"/>
      <c r="AI239" s="185"/>
      <c r="AJ239" s="185"/>
      <c r="AK239" s="185"/>
      <c r="AL239" s="185"/>
      <c r="AM239" s="185"/>
      <c r="AN239" s="185"/>
      <c r="AO239" s="185"/>
      <c r="AP239" s="185"/>
      <c r="AQ239" s="185"/>
      <c r="AR239" s="185"/>
      <c r="AS239" s="185"/>
      <c r="AT239" s="185"/>
      <c r="AU239" s="185"/>
      <c r="AV239" s="185"/>
      <c r="AW239" s="185"/>
      <c r="AX239" s="185"/>
      <c r="AY239" s="185"/>
      <c r="AZ239" s="185"/>
      <c r="BA239" s="185"/>
      <c r="BB239" s="185"/>
      <c r="BC239" s="185"/>
      <c r="BD239" s="185"/>
      <c r="BE239" s="185"/>
      <c r="BF239" s="185"/>
      <c r="BG239" s="185"/>
      <c r="BH239" s="185"/>
      <c r="BI239" s="185"/>
      <c r="BJ239" s="185"/>
      <c r="BK239" s="185"/>
      <c r="BL239" s="185"/>
    </row>
    <row r="240" ht="15.7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233"/>
      <c r="AF240" s="185"/>
      <c r="AG240" s="185"/>
      <c r="AH240" s="185"/>
      <c r="AI240" s="185"/>
      <c r="AJ240" s="185"/>
      <c r="AK240" s="185"/>
      <c r="AL240" s="185"/>
      <c r="AM240" s="185"/>
      <c r="AN240" s="185"/>
      <c r="AO240" s="185"/>
      <c r="AP240" s="185"/>
      <c r="AQ240" s="185"/>
      <c r="AR240" s="185"/>
      <c r="AS240" s="185"/>
      <c r="AT240" s="185"/>
      <c r="AU240" s="185"/>
      <c r="AV240" s="185"/>
      <c r="AW240" s="185"/>
      <c r="AX240" s="185"/>
      <c r="AY240" s="185"/>
      <c r="AZ240" s="185"/>
      <c r="BA240" s="185"/>
      <c r="BB240" s="185"/>
      <c r="BC240" s="185"/>
      <c r="BD240" s="185"/>
      <c r="BE240" s="185"/>
      <c r="BF240" s="185"/>
      <c r="BG240" s="185"/>
      <c r="BH240" s="185"/>
      <c r="BI240" s="185"/>
      <c r="BJ240" s="185"/>
      <c r="BK240" s="185"/>
      <c r="BL240" s="185"/>
    </row>
    <row r="241" ht="15.7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233"/>
      <c r="AF241" s="185"/>
      <c r="AG241" s="185"/>
      <c r="AH241" s="185"/>
      <c r="AI241" s="185"/>
      <c r="AJ241" s="185"/>
      <c r="AK241" s="185"/>
      <c r="AL241" s="185"/>
      <c r="AM241" s="185"/>
      <c r="AN241" s="185"/>
      <c r="AO241" s="185"/>
      <c r="AP241" s="185"/>
      <c r="AQ241" s="185"/>
      <c r="AR241" s="185"/>
      <c r="AS241" s="185"/>
      <c r="AT241" s="185"/>
      <c r="AU241" s="185"/>
      <c r="AV241" s="185"/>
      <c r="AW241" s="185"/>
      <c r="AX241" s="185"/>
      <c r="AY241" s="185"/>
      <c r="AZ241" s="185"/>
      <c r="BA241" s="185"/>
      <c r="BB241" s="185"/>
      <c r="BC241" s="185"/>
      <c r="BD241" s="185"/>
      <c r="BE241" s="185"/>
      <c r="BF241" s="185"/>
      <c r="BG241" s="185"/>
      <c r="BH241" s="185"/>
      <c r="BI241" s="185"/>
      <c r="BJ241" s="185"/>
      <c r="BK241" s="185"/>
      <c r="BL241" s="185"/>
    </row>
    <row r="242" ht="15.7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233"/>
      <c r="AF242" s="185"/>
      <c r="AG242" s="185"/>
      <c r="AH242" s="185"/>
      <c r="AI242" s="185"/>
      <c r="AJ242" s="185"/>
      <c r="AK242" s="185"/>
      <c r="AL242" s="185"/>
      <c r="AM242" s="185"/>
      <c r="AN242" s="185"/>
      <c r="AO242" s="185"/>
      <c r="AP242" s="185"/>
      <c r="AQ242" s="185"/>
      <c r="AR242" s="185"/>
      <c r="AS242" s="185"/>
      <c r="AT242" s="185"/>
      <c r="AU242" s="185"/>
      <c r="AV242" s="185"/>
      <c r="AW242" s="185"/>
      <c r="AX242" s="185"/>
      <c r="AY242" s="185"/>
      <c r="AZ242" s="185"/>
      <c r="BA242" s="185"/>
      <c r="BB242" s="185"/>
      <c r="BC242" s="185"/>
      <c r="BD242" s="185"/>
      <c r="BE242" s="185"/>
      <c r="BF242" s="185"/>
      <c r="BG242" s="185"/>
      <c r="BH242" s="185"/>
      <c r="BI242" s="185"/>
      <c r="BJ242" s="185"/>
      <c r="BK242" s="185"/>
      <c r="BL242" s="185"/>
    </row>
    <row r="243" ht="15.7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233"/>
      <c r="AF243" s="185"/>
      <c r="AG243" s="185"/>
      <c r="AH243" s="185"/>
      <c r="AI243" s="185"/>
      <c r="AJ243" s="185"/>
      <c r="AK243" s="185"/>
      <c r="AL243" s="185"/>
      <c r="AM243" s="185"/>
      <c r="AN243" s="185"/>
      <c r="AO243" s="185"/>
      <c r="AP243" s="185"/>
      <c r="AQ243" s="185"/>
      <c r="AR243" s="185"/>
      <c r="AS243" s="185"/>
      <c r="AT243" s="185"/>
      <c r="AU243" s="185"/>
      <c r="AV243" s="185"/>
      <c r="AW243" s="185"/>
      <c r="AX243" s="185"/>
      <c r="AY243" s="185"/>
      <c r="AZ243" s="185"/>
      <c r="BA243" s="185"/>
      <c r="BB243" s="185"/>
      <c r="BC243" s="185"/>
      <c r="BD243" s="185"/>
      <c r="BE243" s="185"/>
      <c r="BF243" s="185"/>
      <c r="BG243" s="185"/>
      <c r="BH243" s="185"/>
      <c r="BI243" s="185"/>
      <c r="BJ243" s="185"/>
      <c r="BK243" s="185"/>
      <c r="BL243" s="185"/>
    </row>
    <row r="244" ht="15.7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233"/>
      <c r="AF244" s="185"/>
      <c r="AG244" s="185"/>
      <c r="AH244" s="185"/>
      <c r="AI244" s="185"/>
      <c r="AJ244" s="185"/>
      <c r="AK244" s="185"/>
      <c r="AL244" s="185"/>
      <c r="AM244" s="185"/>
      <c r="AN244" s="185"/>
      <c r="AO244" s="185"/>
      <c r="AP244" s="185"/>
      <c r="AQ244" s="185"/>
      <c r="AR244" s="185"/>
      <c r="AS244" s="185"/>
      <c r="AT244" s="185"/>
      <c r="AU244" s="185"/>
      <c r="AV244" s="185"/>
      <c r="AW244" s="185"/>
      <c r="AX244" s="185"/>
      <c r="AY244" s="185"/>
      <c r="AZ244" s="185"/>
      <c r="BA244" s="185"/>
      <c r="BB244" s="185"/>
      <c r="BC244" s="185"/>
      <c r="BD244" s="185"/>
      <c r="BE244" s="185"/>
      <c r="BF244" s="185"/>
      <c r="BG244" s="185"/>
      <c r="BH244" s="185"/>
      <c r="BI244" s="185"/>
      <c r="BJ244" s="185"/>
      <c r="BK244" s="185"/>
      <c r="BL244" s="185"/>
    </row>
    <row r="245" ht="15.7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233"/>
      <c r="AF245" s="185"/>
      <c r="AG245" s="185"/>
      <c r="AH245" s="185"/>
      <c r="AI245" s="185"/>
      <c r="AJ245" s="185"/>
      <c r="AK245" s="185"/>
      <c r="AL245" s="185"/>
      <c r="AM245" s="185"/>
      <c r="AN245" s="185"/>
      <c r="AO245" s="185"/>
      <c r="AP245" s="185"/>
      <c r="AQ245" s="185"/>
      <c r="AR245" s="185"/>
      <c r="AS245" s="185"/>
      <c r="AT245" s="185"/>
      <c r="AU245" s="185"/>
      <c r="AV245" s="185"/>
      <c r="AW245" s="185"/>
      <c r="AX245" s="185"/>
      <c r="AY245" s="185"/>
      <c r="AZ245" s="185"/>
      <c r="BA245" s="185"/>
      <c r="BB245" s="185"/>
      <c r="BC245" s="185"/>
      <c r="BD245" s="185"/>
      <c r="BE245" s="185"/>
      <c r="BF245" s="185"/>
      <c r="BG245" s="185"/>
      <c r="BH245" s="185"/>
      <c r="BI245" s="185"/>
      <c r="BJ245" s="185"/>
      <c r="BK245" s="185"/>
      <c r="BL245" s="185"/>
    </row>
    <row r="246" ht="15.7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233"/>
      <c r="AF246" s="185"/>
      <c r="AG246" s="185"/>
      <c r="AH246" s="185"/>
      <c r="AI246" s="185"/>
      <c r="AJ246" s="185"/>
      <c r="AK246" s="185"/>
      <c r="AL246" s="185"/>
      <c r="AM246" s="185"/>
      <c r="AN246" s="185"/>
      <c r="AO246" s="185"/>
      <c r="AP246" s="185"/>
      <c r="AQ246" s="185"/>
      <c r="AR246" s="185"/>
      <c r="AS246" s="185"/>
      <c r="AT246" s="185"/>
      <c r="AU246" s="185"/>
      <c r="AV246" s="185"/>
      <c r="AW246" s="185"/>
      <c r="AX246" s="185"/>
      <c r="AY246" s="185"/>
      <c r="AZ246" s="185"/>
      <c r="BA246" s="185"/>
      <c r="BB246" s="185"/>
      <c r="BC246" s="185"/>
      <c r="BD246" s="185"/>
      <c r="BE246" s="185"/>
      <c r="BF246" s="185"/>
      <c r="BG246" s="185"/>
      <c r="BH246" s="185"/>
      <c r="BI246" s="185"/>
      <c r="BJ246" s="185"/>
      <c r="BK246" s="185"/>
      <c r="BL246" s="185"/>
    </row>
    <row r="247" ht="15.7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233"/>
      <c r="AF247" s="185"/>
      <c r="AG247" s="185"/>
      <c r="AH247" s="185"/>
      <c r="AI247" s="185"/>
      <c r="AJ247" s="185"/>
      <c r="AK247" s="185"/>
      <c r="AL247" s="185"/>
      <c r="AM247" s="185"/>
      <c r="AN247" s="185"/>
      <c r="AO247" s="185"/>
      <c r="AP247" s="185"/>
      <c r="AQ247" s="185"/>
      <c r="AR247" s="185"/>
      <c r="AS247" s="185"/>
      <c r="AT247" s="185"/>
      <c r="AU247" s="185"/>
      <c r="AV247" s="185"/>
      <c r="AW247" s="185"/>
      <c r="AX247" s="185"/>
      <c r="AY247" s="185"/>
      <c r="AZ247" s="185"/>
      <c r="BA247" s="185"/>
      <c r="BB247" s="185"/>
      <c r="BC247" s="185"/>
      <c r="BD247" s="185"/>
      <c r="BE247" s="185"/>
      <c r="BF247" s="185"/>
      <c r="BG247" s="185"/>
      <c r="BH247" s="185"/>
      <c r="BI247" s="185"/>
      <c r="BJ247" s="185"/>
      <c r="BK247" s="185"/>
      <c r="BL247" s="185"/>
    </row>
    <row r="248" ht="15.7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233"/>
      <c r="AF248" s="185"/>
      <c r="AG248" s="185"/>
      <c r="AH248" s="185"/>
      <c r="AI248" s="185"/>
      <c r="AJ248" s="185"/>
      <c r="AK248" s="185"/>
      <c r="AL248" s="185"/>
      <c r="AM248" s="185"/>
      <c r="AN248" s="185"/>
      <c r="AO248" s="185"/>
      <c r="AP248" s="185"/>
      <c r="AQ248" s="185"/>
      <c r="AR248" s="185"/>
      <c r="AS248" s="185"/>
      <c r="AT248" s="185"/>
      <c r="AU248" s="185"/>
      <c r="AV248" s="185"/>
      <c r="AW248" s="185"/>
      <c r="AX248" s="185"/>
      <c r="AY248" s="185"/>
      <c r="AZ248" s="185"/>
      <c r="BA248" s="185"/>
      <c r="BB248" s="185"/>
      <c r="BC248" s="185"/>
      <c r="BD248" s="185"/>
      <c r="BE248" s="185"/>
      <c r="BF248" s="185"/>
      <c r="BG248" s="185"/>
      <c r="BH248" s="185"/>
      <c r="BI248" s="185"/>
      <c r="BJ248" s="185"/>
      <c r="BK248" s="185"/>
      <c r="BL248" s="185"/>
    </row>
    <row r="249" ht="15.7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233"/>
      <c r="AF249" s="185"/>
      <c r="AG249" s="185"/>
      <c r="AH249" s="185"/>
      <c r="AI249" s="185"/>
      <c r="AJ249" s="185"/>
      <c r="AK249" s="185"/>
      <c r="AL249" s="185"/>
      <c r="AM249" s="185"/>
      <c r="AN249" s="185"/>
      <c r="AO249" s="185"/>
      <c r="AP249" s="185"/>
      <c r="AQ249" s="185"/>
      <c r="AR249" s="185"/>
      <c r="AS249" s="185"/>
      <c r="AT249" s="185"/>
      <c r="AU249" s="185"/>
      <c r="AV249" s="185"/>
      <c r="AW249" s="185"/>
      <c r="AX249" s="185"/>
      <c r="AY249" s="185"/>
      <c r="AZ249" s="185"/>
      <c r="BA249" s="185"/>
      <c r="BB249" s="185"/>
      <c r="BC249" s="185"/>
      <c r="BD249" s="185"/>
      <c r="BE249" s="185"/>
      <c r="BF249" s="185"/>
      <c r="BG249" s="185"/>
      <c r="BH249" s="185"/>
      <c r="BI249" s="185"/>
      <c r="BJ249" s="185"/>
      <c r="BK249" s="185"/>
      <c r="BL249" s="185"/>
    </row>
    <row r="250" ht="15.7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233"/>
      <c r="AF250" s="185"/>
      <c r="AG250" s="185"/>
      <c r="AH250" s="185"/>
      <c r="AI250" s="185"/>
      <c r="AJ250" s="185"/>
      <c r="AK250" s="185"/>
      <c r="AL250" s="185"/>
      <c r="AM250" s="185"/>
      <c r="AN250" s="185"/>
      <c r="AO250" s="185"/>
      <c r="AP250" s="185"/>
      <c r="AQ250" s="185"/>
      <c r="AR250" s="185"/>
      <c r="AS250" s="185"/>
      <c r="AT250" s="185"/>
      <c r="AU250" s="185"/>
      <c r="AV250" s="185"/>
      <c r="AW250" s="185"/>
      <c r="AX250" s="185"/>
      <c r="AY250" s="185"/>
      <c r="AZ250" s="185"/>
      <c r="BA250" s="185"/>
      <c r="BB250" s="185"/>
      <c r="BC250" s="185"/>
      <c r="BD250" s="185"/>
      <c r="BE250" s="185"/>
      <c r="BF250" s="185"/>
      <c r="BG250" s="185"/>
      <c r="BH250" s="185"/>
      <c r="BI250" s="185"/>
      <c r="BJ250" s="185"/>
      <c r="BK250" s="185"/>
      <c r="BL250" s="185"/>
    </row>
    <row r="251" ht="15.7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233"/>
      <c r="AF251" s="185"/>
      <c r="AG251" s="185"/>
      <c r="AH251" s="185"/>
      <c r="AI251" s="185"/>
      <c r="AJ251" s="185"/>
      <c r="AK251" s="185"/>
      <c r="AL251" s="185"/>
      <c r="AM251" s="185"/>
      <c r="AN251" s="185"/>
      <c r="AO251" s="185"/>
      <c r="AP251" s="185"/>
      <c r="AQ251" s="185"/>
      <c r="AR251" s="185"/>
      <c r="AS251" s="185"/>
      <c r="AT251" s="185"/>
      <c r="AU251" s="185"/>
      <c r="AV251" s="185"/>
      <c r="AW251" s="185"/>
      <c r="AX251" s="185"/>
      <c r="AY251" s="185"/>
      <c r="AZ251" s="185"/>
      <c r="BA251" s="185"/>
      <c r="BB251" s="185"/>
      <c r="BC251" s="185"/>
      <c r="BD251" s="185"/>
      <c r="BE251" s="185"/>
      <c r="BF251" s="185"/>
      <c r="BG251" s="185"/>
      <c r="BH251" s="185"/>
      <c r="BI251" s="185"/>
      <c r="BJ251" s="185"/>
      <c r="BK251" s="185"/>
      <c r="BL251" s="185"/>
    </row>
    <row r="252" ht="15.7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233"/>
      <c r="AF252" s="185"/>
      <c r="AG252" s="185"/>
      <c r="AH252" s="185"/>
      <c r="AI252" s="185"/>
      <c r="AJ252" s="185"/>
      <c r="AK252" s="185"/>
      <c r="AL252" s="185"/>
      <c r="AM252" s="185"/>
      <c r="AN252" s="185"/>
      <c r="AO252" s="185"/>
      <c r="AP252" s="185"/>
      <c r="AQ252" s="185"/>
      <c r="AR252" s="185"/>
      <c r="AS252" s="185"/>
      <c r="AT252" s="185"/>
      <c r="AU252" s="185"/>
      <c r="AV252" s="185"/>
      <c r="AW252" s="185"/>
      <c r="AX252" s="185"/>
      <c r="AY252" s="185"/>
      <c r="AZ252" s="185"/>
      <c r="BA252" s="185"/>
      <c r="BB252" s="185"/>
      <c r="BC252" s="185"/>
      <c r="BD252" s="185"/>
      <c r="BE252" s="185"/>
      <c r="BF252" s="185"/>
      <c r="BG252" s="185"/>
      <c r="BH252" s="185"/>
      <c r="BI252" s="185"/>
      <c r="BJ252" s="185"/>
      <c r="BK252" s="185"/>
      <c r="BL252" s="185"/>
    </row>
    <row r="253" ht="15.7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233"/>
      <c r="AF253" s="185"/>
      <c r="AG253" s="185"/>
      <c r="AH253" s="185"/>
      <c r="AI253" s="185"/>
      <c r="AJ253" s="185"/>
      <c r="AK253" s="185"/>
      <c r="AL253" s="185"/>
      <c r="AM253" s="185"/>
      <c r="AN253" s="185"/>
      <c r="AO253" s="185"/>
      <c r="AP253" s="185"/>
      <c r="AQ253" s="185"/>
      <c r="AR253" s="185"/>
      <c r="AS253" s="185"/>
      <c r="AT253" s="185"/>
      <c r="AU253" s="185"/>
      <c r="AV253" s="185"/>
      <c r="AW253" s="185"/>
      <c r="AX253" s="185"/>
      <c r="AY253" s="185"/>
      <c r="AZ253" s="185"/>
      <c r="BA253" s="185"/>
      <c r="BB253" s="185"/>
      <c r="BC253" s="185"/>
      <c r="BD253" s="185"/>
      <c r="BE253" s="185"/>
      <c r="BF253" s="185"/>
      <c r="BG253" s="185"/>
      <c r="BH253" s="185"/>
      <c r="BI253" s="185"/>
      <c r="BJ253" s="185"/>
      <c r="BK253" s="185"/>
      <c r="BL253" s="185"/>
    </row>
    <row r="254" ht="15.7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233"/>
      <c r="AF254" s="185"/>
      <c r="AG254" s="185"/>
      <c r="AH254" s="185"/>
      <c r="AI254" s="185"/>
      <c r="AJ254" s="185"/>
      <c r="AK254" s="185"/>
      <c r="AL254" s="185"/>
      <c r="AM254" s="185"/>
      <c r="AN254" s="185"/>
      <c r="AO254" s="185"/>
      <c r="AP254" s="185"/>
      <c r="AQ254" s="185"/>
      <c r="AR254" s="185"/>
      <c r="AS254" s="185"/>
      <c r="AT254" s="185"/>
      <c r="AU254" s="185"/>
      <c r="AV254" s="185"/>
      <c r="AW254" s="185"/>
      <c r="AX254" s="185"/>
      <c r="AY254" s="185"/>
      <c r="AZ254" s="185"/>
      <c r="BA254" s="185"/>
      <c r="BB254" s="185"/>
      <c r="BC254" s="185"/>
      <c r="BD254" s="185"/>
      <c r="BE254" s="185"/>
      <c r="BF254" s="185"/>
      <c r="BG254" s="185"/>
      <c r="BH254" s="185"/>
      <c r="BI254" s="185"/>
      <c r="BJ254" s="185"/>
      <c r="BK254" s="185"/>
      <c r="BL254" s="185"/>
    </row>
    <row r="255" ht="15.7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233"/>
      <c r="AF255" s="185"/>
      <c r="AG255" s="185"/>
      <c r="AH255" s="185"/>
      <c r="AI255" s="185"/>
      <c r="AJ255" s="185"/>
      <c r="AK255" s="185"/>
      <c r="AL255" s="185"/>
      <c r="AM255" s="185"/>
      <c r="AN255" s="185"/>
      <c r="AO255" s="185"/>
      <c r="AP255" s="185"/>
      <c r="AQ255" s="185"/>
      <c r="AR255" s="185"/>
      <c r="AS255" s="185"/>
      <c r="AT255" s="185"/>
      <c r="AU255" s="185"/>
      <c r="AV255" s="185"/>
      <c r="AW255" s="185"/>
      <c r="AX255" s="185"/>
      <c r="AY255" s="185"/>
      <c r="AZ255" s="185"/>
      <c r="BA255" s="185"/>
      <c r="BB255" s="185"/>
      <c r="BC255" s="185"/>
      <c r="BD255" s="185"/>
      <c r="BE255" s="185"/>
      <c r="BF255" s="185"/>
      <c r="BG255" s="185"/>
      <c r="BH255" s="185"/>
      <c r="BI255" s="185"/>
      <c r="BJ255" s="185"/>
      <c r="BK255" s="185"/>
      <c r="BL255" s="185"/>
    </row>
    <row r="256" ht="15.7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233"/>
      <c r="AF256" s="185"/>
      <c r="AG256" s="185"/>
      <c r="AH256" s="185"/>
      <c r="AI256" s="185"/>
      <c r="AJ256" s="185"/>
      <c r="AK256" s="185"/>
      <c r="AL256" s="185"/>
      <c r="AM256" s="185"/>
      <c r="AN256" s="185"/>
      <c r="AO256" s="185"/>
      <c r="AP256" s="185"/>
      <c r="AQ256" s="185"/>
      <c r="AR256" s="185"/>
      <c r="AS256" s="185"/>
      <c r="AT256" s="185"/>
      <c r="AU256" s="185"/>
      <c r="AV256" s="185"/>
      <c r="AW256" s="185"/>
      <c r="AX256" s="185"/>
      <c r="AY256" s="185"/>
      <c r="AZ256" s="185"/>
      <c r="BA256" s="185"/>
      <c r="BB256" s="185"/>
      <c r="BC256" s="185"/>
      <c r="BD256" s="185"/>
      <c r="BE256" s="185"/>
      <c r="BF256" s="185"/>
      <c r="BG256" s="185"/>
      <c r="BH256" s="185"/>
      <c r="BI256" s="185"/>
      <c r="BJ256" s="185"/>
      <c r="BK256" s="185"/>
      <c r="BL256" s="185"/>
    </row>
    <row r="257" ht="15.7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233"/>
      <c r="AF257" s="185"/>
      <c r="AG257" s="185"/>
      <c r="AH257" s="185"/>
      <c r="AI257" s="185"/>
      <c r="AJ257" s="185"/>
      <c r="AK257" s="185"/>
      <c r="AL257" s="185"/>
      <c r="AM257" s="185"/>
      <c r="AN257" s="185"/>
      <c r="AO257" s="185"/>
      <c r="AP257" s="185"/>
      <c r="AQ257" s="185"/>
      <c r="AR257" s="185"/>
      <c r="AS257" s="185"/>
      <c r="AT257" s="185"/>
      <c r="AU257" s="185"/>
      <c r="AV257" s="185"/>
      <c r="AW257" s="185"/>
      <c r="AX257" s="185"/>
      <c r="AY257" s="185"/>
      <c r="AZ257" s="185"/>
      <c r="BA257" s="185"/>
      <c r="BB257" s="185"/>
      <c r="BC257" s="185"/>
      <c r="BD257" s="185"/>
      <c r="BE257" s="185"/>
      <c r="BF257" s="185"/>
      <c r="BG257" s="185"/>
      <c r="BH257" s="185"/>
      <c r="BI257" s="185"/>
      <c r="BJ257" s="185"/>
      <c r="BK257" s="185"/>
      <c r="BL257" s="185"/>
    </row>
    <row r="258" ht="15.7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233"/>
      <c r="AF258" s="185"/>
      <c r="AG258" s="185"/>
      <c r="AH258" s="185"/>
      <c r="AI258" s="185"/>
      <c r="AJ258" s="185"/>
      <c r="AK258" s="185"/>
      <c r="AL258" s="185"/>
      <c r="AM258" s="185"/>
      <c r="AN258" s="185"/>
      <c r="AO258" s="185"/>
      <c r="AP258" s="185"/>
      <c r="AQ258" s="185"/>
      <c r="AR258" s="185"/>
      <c r="AS258" s="185"/>
      <c r="AT258" s="185"/>
      <c r="AU258" s="185"/>
      <c r="AV258" s="185"/>
      <c r="AW258" s="185"/>
      <c r="AX258" s="185"/>
      <c r="AY258" s="185"/>
      <c r="AZ258" s="185"/>
      <c r="BA258" s="185"/>
      <c r="BB258" s="185"/>
      <c r="BC258" s="185"/>
      <c r="BD258" s="185"/>
      <c r="BE258" s="185"/>
      <c r="BF258" s="185"/>
      <c r="BG258" s="185"/>
      <c r="BH258" s="185"/>
      <c r="BI258" s="185"/>
      <c r="BJ258" s="185"/>
      <c r="BK258" s="185"/>
      <c r="BL258" s="185"/>
    </row>
    <row r="259" ht="15.7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233"/>
      <c r="AF259" s="185"/>
      <c r="AG259" s="185"/>
      <c r="AH259" s="185"/>
      <c r="AI259" s="185"/>
      <c r="AJ259" s="185"/>
      <c r="AK259" s="185"/>
      <c r="AL259" s="185"/>
      <c r="AM259" s="185"/>
      <c r="AN259" s="185"/>
      <c r="AO259" s="185"/>
      <c r="AP259" s="185"/>
      <c r="AQ259" s="185"/>
      <c r="AR259" s="185"/>
      <c r="AS259" s="185"/>
      <c r="AT259" s="185"/>
      <c r="AU259" s="185"/>
      <c r="AV259" s="185"/>
      <c r="AW259" s="185"/>
      <c r="AX259" s="185"/>
      <c r="AY259" s="185"/>
      <c r="AZ259" s="185"/>
      <c r="BA259" s="185"/>
      <c r="BB259" s="185"/>
      <c r="BC259" s="185"/>
      <c r="BD259" s="185"/>
      <c r="BE259" s="185"/>
      <c r="BF259" s="185"/>
      <c r="BG259" s="185"/>
      <c r="BH259" s="185"/>
      <c r="BI259" s="185"/>
      <c r="BJ259" s="185"/>
      <c r="BK259" s="185"/>
      <c r="BL259" s="185"/>
    </row>
    <row r="260" ht="15.7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233"/>
      <c r="AF260" s="185"/>
      <c r="AG260" s="185"/>
      <c r="AH260" s="185"/>
      <c r="AI260" s="185"/>
      <c r="AJ260" s="185"/>
      <c r="AK260" s="185"/>
      <c r="AL260" s="185"/>
      <c r="AM260" s="185"/>
      <c r="AN260" s="185"/>
      <c r="AO260" s="185"/>
      <c r="AP260" s="185"/>
      <c r="AQ260" s="185"/>
      <c r="AR260" s="185"/>
      <c r="AS260" s="185"/>
      <c r="AT260" s="185"/>
      <c r="AU260" s="185"/>
      <c r="AV260" s="185"/>
      <c r="AW260" s="185"/>
      <c r="AX260" s="185"/>
      <c r="AY260" s="185"/>
      <c r="AZ260" s="185"/>
      <c r="BA260" s="185"/>
      <c r="BB260" s="185"/>
      <c r="BC260" s="185"/>
      <c r="BD260" s="185"/>
      <c r="BE260" s="185"/>
      <c r="BF260" s="185"/>
      <c r="BG260" s="185"/>
      <c r="BH260" s="185"/>
      <c r="BI260" s="185"/>
      <c r="BJ260" s="185"/>
      <c r="BK260" s="185"/>
      <c r="BL260" s="185"/>
    </row>
    <row r="261" ht="15.7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233"/>
      <c r="AF261" s="185"/>
      <c r="AG261" s="185"/>
      <c r="AH261" s="185"/>
      <c r="AI261" s="185"/>
      <c r="AJ261" s="185"/>
      <c r="AK261" s="185"/>
      <c r="AL261" s="185"/>
      <c r="AM261" s="185"/>
      <c r="AN261" s="185"/>
      <c r="AO261" s="185"/>
      <c r="AP261" s="185"/>
      <c r="AQ261" s="185"/>
      <c r="AR261" s="185"/>
      <c r="AS261" s="185"/>
      <c r="AT261" s="185"/>
      <c r="AU261" s="185"/>
      <c r="AV261" s="185"/>
      <c r="AW261" s="185"/>
      <c r="AX261" s="185"/>
      <c r="AY261" s="185"/>
      <c r="AZ261" s="185"/>
      <c r="BA261" s="185"/>
      <c r="BB261" s="185"/>
      <c r="BC261" s="185"/>
      <c r="BD261" s="185"/>
      <c r="BE261" s="185"/>
      <c r="BF261" s="185"/>
      <c r="BG261" s="185"/>
      <c r="BH261" s="185"/>
      <c r="BI261" s="185"/>
      <c r="BJ261" s="185"/>
      <c r="BK261" s="185"/>
      <c r="BL261" s="185"/>
    </row>
    <row r="262" ht="15.7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233"/>
      <c r="AF262" s="185"/>
      <c r="AG262" s="185"/>
      <c r="AH262" s="185"/>
      <c r="AI262" s="185"/>
      <c r="AJ262" s="185"/>
      <c r="AK262" s="185"/>
      <c r="AL262" s="185"/>
      <c r="AM262" s="185"/>
      <c r="AN262" s="185"/>
      <c r="AO262" s="185"/>
      <c r="AP262" s="185"/>
      <c r="AQ262" s="185"/>
      <c r="AR262" s="185"/>
      <c r="AS262" s="185"/>
      <c r="AT262" s="185"/>
      <c r="AU262" s="185"/>
      <c r="AV262" s="185"/>
      <c r="AW262" s="185"/>
      <c r="AX262" s="185"/>
      <c r="AY262" s="185"/>
      <c r="AZ262" s="185"/>
      <c r="BA262" s="185"/>
      <c r="BB262" s="185"/>
      <c r="BC262" s="185"/>
      <c r="BD262" s="185"/>
      <c r="BE262" s="185"/>
      <c r="BF262" s="185"/>
      <c r="BG262" s="185"/>
      <c r="BH262" s="185"/>
      <c r="BI262" s="185"/>
      <c r="BJ262" s="185"/>
      <c r="BK262" s="185"/>
      <c r="BL262" s="185"/>
    </row>
    <row r="263" ht="15.7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233"/>
      <c r="AF263" s="185"/>
      <c r="AG263" s="185"/>
      <c r="AH263" s="185"/>
      <c r="AI263" s="185"/>
      <c r="AJ263" s="185"/>
      <c r="AK263" s="185"/>
      <c r="AL263" s="185"/>
      <c r="AM263" s="185"/>
      <c r="AN263" s="185"/>
      <c r="AO263" s="185"/>
      <c r="AP263" s="185"/>
      <c r="AQ263" s="185"/>
      <c r="AR263" s="185"/>
      <c r="AS263" s="185"/>
      <c r="AT263" s="185"/>
      <c r="AU263" s="185"/>
      <c r="AV263" s="185"/>
      <c r="AW263" s="185"/>
      <c r="AX263" s="185"/>
      <c r="AY263" s="185"/>
      <c r="AZ263" s="185"/>
      <c r="BA263" s="185"/>
      <c r="BB263" s="185"/>
      <c r="BC263" s="185"/>
      <c r="BD263" s="185"/>
      <c r="BE263" s="185"/>
      <c r="BF263" s="185"/>
      <c r="BG263" s="185"/>
      <c r="BH263" s="185"/>
      <c r="BI263" s="185"/>
      <c r="BJ263" s="185"/>
      <c r="BK263" s="185"/>
      <c r="BL263" s="185"/>
    </row>
    <row r="264" ht="15.7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233"/>
      <c r="AF264" s="185"/>
      <c r="AG264" s="185"/>
      <c r="AH264" s="185"/>
      <c r="AI264" s="185"/>
      <c r="AJ264" s="185"/>
      <c r="AK264" s="185"/>
      <c r="AL264" s="185"/>
      <c r="AM264" s="185"/>
      <c r="AN264" s="185"/>
      <c r="AO264" s="185"/>
      <c r="AP264" s="185"/>
      <c r="AQ264" s="185"/>
      <c r="AR264" s="185"/>
      <c r="AS264" s="185"/>
      <c r="AT264" s="185"/>
      <c r="AU264" s="185"/>
      <c r="AV264" s="185"/>
      <c r="AW264" s="185"/>
      <c r="AX264" s="185"/>
      <c r="AY264" s="185"/>
      <c r="AZ264" s="185"/>
      <c r="BA264" s="185"/>
      <c r="BB264" s="185"/>
      <c r="BC264" s="185"/>
      <c r="BD264" s="185"/>
      <c r="BE264" s="185"/>
      <c r="BF264" s="185"/>
      <c r="BG264" s="185"/>
      <c r="BH264" s="185"/>
      <c r="BI264" s="185"/>
      <c r="BJ264" s="185"/>
      <c r="BK264" s="185"/>
      <c r="BL264" s="185"/>
    </row>
    <row r="265" ht="15.7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233"/>
      <c r="AF265" s="185"/>
      <c r="AG265" s="185"/>
      <c r="AH265" s="185"/>
      <c r="AI265" s="185"/>
      <c r="AJ265" s="185"/>
      <c r="AK265" s="185"/>
      <c r="AL265" s="185"/>
      <c r="AM265" s="185"/>
      <c r="AN265" s="185"/>
      <c r="AO265" s="185"/>
      <c r="AP265" s="185"/>
      <c r="AQ265" s="185"/>
      <c r="AR265" s="185"/>
      <c r="AS265" s="185"/>
      <c r="AT265" s="185"/>
      <c r="AU265" s="185"/>
      <c r="AV265" s="185"/>
      <c r="AW265" s="185"/>
      <c r="AX265" s="185"/>
      <c r="AY265" s="185"/>
      <c r="AZ265" s="185"/>
      <c r="BA265" s="185"/>
      <c r="BB265" s="185"/>
      <c r="BC265" s="185"/>
      <c r="BD265" s="185"/>
      <c r="BE265" s="185"/>
      <c r="BF265" s="185"/>
      <c r="BG265" s="185"/>
      <c r="BH265" s="185"/>
      <c r="BI265" s="185"/>
      <c r="BJ265" s="185"/>
      <c r="BK265" s="185"/>
      <c r="BL265" s="185"/>
    </row>
    <row r="266" ht="15.7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233"/>
      <c r="AF266" s="185"/>
      <c r="AG266" s="185"/>
      <c r="AH266" s="185"/>
      <c r="AI266" s="185"/>
      <c r="AJ266" s="185"/>
      <c r="AK266" s="185"/>
      <c r="AL266" s="185"/>
      <c r="AM266" s="185"/>
      <c r="AN266" s="185"/>
      <c r="AO266" s="185"/>
      <c r="AP266" s="185"/>
      <c r="AQ266" s="185"/>
      <c r="AR266" s="185"/>
      <c r="AS266" s="185"/>
      <c r="AT266" s="185"/>
      <c r="AU266" s="185"/>
      <c r="AV266" s="185"/>
      <c r="AW266" s="185"/>
      <c r="AX266" s="185"/>
      <c r="AY266" s="185"/>
      <c r="AZ266" s="185"/>
      <c r="BA266" s="185"/>
      <c r="BB266" s="185"/>
      <c r="BC266" s="185"/>
      <c r="BD266" s="185"/>
      <c r="BE266" s="185"/>
      <c r="BF266" s="185"/>
      <c r="BG266" s="185"/>
      <c r="BH266" s="185"/>
      <c r="BI266" s="185"/>
      <c r="BJ266" s="185"/>
      <c r="BK266" s="185"/>
      <c r="BL266" s="185"/>
    </row>
    <row r="267" ht="15.7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233"/>
      <c r="AF267" s="185"/>
      <c r="AG267" s="185"/>
      <c r="AH267" s="185"/>
      <c r="AI267" s="185"/>
      <c r="AJ267" s="185"/>
      <c r="AK267" s="185"/>
      <c r="AL267" s="185"/>
      <c r="AM267" s="185"/>
      <c r="AN267" s="185"/>
      <c r="AO267" s="185"/>
      <c r="AP267" s="185"/>
      <c r="AQ267" s="185"/>
      <c r="AR267" s="185"/>
      <c r="AS267" s="185"/>
      <c r="AT267" s="185"/>
      <c r="AU267" s="185"/>
      <c r="AV267" s="185"/>
      <c r="AW267" s="185"/>
      <c r="AX267" s="185"/>
      <c r="AY267" s="185"/>
      <c r="AZ267" s="185"/>
      <c r="BA267" s="185"/>
      <c r="BB267" s="185"/>
      <c r="BC267" s="185"/>
      <c r="BD267" s="185"/>
      <c r="BE267" s="185"/>
      <c r="BF267" s="185"/>
      <c r="BG267" s="185"/>
      <c r="BH267" s="185"/>
      <c r="BI267" s="185"/>
      <c r="BJ267" s="185"/>
      <c r="BK267" s="185"/>
      <c r="BL267" s="185"/>
    </row>
    <row r="268" ht="15.7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233"/>
      <c r="AF268" s="185"/>
      <c r="AG268" s="185"/>
      <c r="AH268" s="185"/>
      <c r="AI268" s="185"/>
      <c r="AJ268" s="185"/>
      <c r="AK268" s="185"/>
      <c r="AL268" s="185"/>
      <c r="AM268" s="185"/>
      <c r="AN268" s="185"/>
      <c r="AO268" s="185"/>
      <c r="AP268" s="185"/>
      <c r="AQ268" s="185"/>
      <c r="AR268" s="185"/>
      <c r="AS268" s="185"/>
      <c r="AT268" s="185"/>
      <c r="AU268" s="185"/>
      <c r="AV268" s="185"/>
      <c r="AW268" s="185"/>
      <c r="AX268" s="185"/>
      <c r="AY268" s="185"/>
      <c r="AZ268" s="185"/>
      <c r="BA268" s="185"/>
      <c r="BB268" s="185"/>
      <c r="BC268" s="185"/>
      <c r="BD268" s="185"/>
      <c r="BE268" s="185"/>
      <c r="BF268" s="185"/>
      <c r="BG268" s="185"/>
      <c r="BH268" s="185"/>
      <c r="BI268" s="185"/>
      <c r="BJ268" s="185"/>
      <c r="BK268" s="185"/>
      <c r="BL268" s="185"/>
    </row>
    <row r="269" ht="15.7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233"/>
      <c r="AF269" s="185"/>
      <c r="AG269" s="185"/>
      <c r="AH269" s="185"/>
      <c r="AI269" s="185"/>
      <c r="AJ269" s="185"/>
      <c r="AK269" s="185"/>
      <c r="AL269" s="185"/>
      <c r="AM269" s="185"/>
      <c r="AN269" s="185"/>
      <c r="AO269" s="185"/>
      <c r="AP269" s="185"/>
      <c r="AQ269" s="185"/>
      <c r="AR269" s="185"/>
      <c r="AS269" s="185"/>
      <c r="AT269" s="185"/>
      <c r="AU269" s="185"/>
      <c r="AV269" s="185"/>
      <c r="AW269" s="185"/>
      <c r="AX269" s="185"/>
      <c r="AY269" s="185"/>
      <c r="AZ269" s="185"/>
      <c r="BA269" s="185"/>
      <c r="BB269" s="185"/>
      <c r="BC269" s="185"/>
      <c r="BD269" s="185"/>
      <c r="BE269" s="185"/>
      <c r="BF269" s="185"/>
      <c r="BG269" s="185"/>
      <c r="BH269" s="185"/>
      <c r="BI269" s="185"/>
      <c r="BJ269" s="185"/>
      <c r="BK269" s="185"/>
      <c r="BL269" s="18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 ht="15.75" customHeight="1">
      <c r="A1" s="43" t="s">
        <v>0</v>
      </c>
      <c r="B1" s="203"/>
      <c r="C1" s="203"/>
      <c r="D1" s="43" t="s">
        <v>7</v>
      </c>
      <c r="E1" s="43" t="s">
        <v>8</v>
      </c>
      <c r="F1" s="43" t="s">
        <v>9</v>
      </c>
      <c r="G1" s="43" t="s">
        <v>10</v>
      </c>
      <c r="H1" s="43" t="s">
        <v>11</v>
      </c>
      <c r="I1" s="43" t="s">
        <v>12</v>
      </c>
      <c r="J1" s="43" t="s">
        <v>13</v>
      </c>
      <c r="K1" s="43" t="s">
        <v>63</v>
      </c>
      <c r="L1" s="43" t="s">
        <v>64</v>
      </c>
      <c r="M1" s="43" t="s">
        <v>65</v>
      </c>
      <c r="N1" s="43" t="s">
        <v>66</v>
      </c>
      <c r="O1" s="43" t="s">
        <v>67</v>
      </c>
      <c r="P1" s="43" t="s">
        <v>68</v>
      </c>
      <c r="Q1" s="43" t="s">
        <v>69</v>
      </c>
      <c r="R1" s="43" t="s">
        <v>70</v>
      </c>
      <c r="S1" s="203" t="str">
        <f t="array" ref="S1:AD1">transpose(A22:A33)</f>
        <v/>
      </c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4"/>
      <c r="AF1" s="43" t="s">
        <v>14</v>
      </c>
      <c r="AG1" s="43" t="s">
        <v>2</v>
      </c>
      <c r="AH1" s="43" t="s">
        <v>3</v>
      </c>
      <c r="AI1" s="43" t="s">
        <v>4</v>
      </c>
      <c r="AJ1" s="43" t="s">
        <v>5</v>
      </c>
      <c r="AK1" s="43" t="s">
        <v>6</v>
      </c>
      <c r="AL1" s="43" t="s">
        <v>7</v>
      </c>
      <c r="AM1" s="43" t="s">
        <v>8</v>
      </c>
      <c r="AN1" s="43" t="s">
        <v>9</v>
      </c>
      <c r="AO1" s="43" t="s">
        <v>10</v>
      </c>
      <c r="AP1" s="43" t="s">
        <v>11</v>
      </c>
      <c r="AQ1" s="43" t="s">
        <v>12</v>
      </c>
      <c r="AR1" s="43" t="s">
        <v>13</v>
      </c>
      <c r="AS1" s="43" t="s">
        <v>63</v>
      </c>
      <c r="AT1" s="43" t="s">
        <v>64</v>
      </c>
      <c r="AU1" s="43" t="s">
        <v>65</v>
      </c>
      <c r="AV1" s="43" t="s">
        <v>66</v>
      </c>
      <c r="AW1" s="43" t="s">
        <v>67</v>
      </c>
      <c r="AX1" s="43" t="s">
        <v>68</v>
      </c>
      <c r="AY1" s="43" t="s">
        <v>69</v>
      </c>
      <c r="AZ1" s="43" t="s">
        <v>70</v>
      </c>
      <c r="BA1" s="203" t="str">
        <f t="array" ref="BA1:BL1">transpose(A22:A33)</f>
        <v/>
      </c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</row>
    <row r="2" ht="15.75" customHeight="1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04"/>
      <c r="AF2" s="205"/>
      <c r="AG2" s="206">
        <v>0.14</v>
      </c>
      <c r="AH2" s="206">
        <v>0.33</v>
      </c>
      <c r="AI2" s="206">
        <v>0.25</v>
      </c>
      <c r="AJ2" s="206">
        <v>0.15</v>
      </c>
      <c r="AK2" s="206">
        <v>0.07</v>
      </c>
      <c r="AL2" s="206">
        <v>0.04</v>
      </c>
      <c r="AM2" s="206">
        <v>0.02</v>
      </c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</row>
    <row r="3" ht="15.75" customHeight="1">
      <c r="A3" s="237"/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04"/>
      <c r="AF3" s="205"/>
      <c r="AG3" s="205"/>
      <c r="AH3" s="206">
        <v>0.14</v>
      </c>
      <c r="AI3" s="206">
        <v>0.33</v>
      </c>
      <c r="AJ3" s="206">
        <v>0.25</v>
      </c>
      <c r="AK3" s="206">
        <v>0.15</v>
      </c>
      <c r="AL3" s="206">
        <v>0.07</v>
      </c>
      <c r="AM3" s="206">
        <v>0.04</v>
      </c>
      <c r="AN3" s="206">
        <v>0.02</v>
      </c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</row>
    <row r="4" ht="15.75" customHeight="1">
      <c r="A4" s="237"/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04"/>
      <c r="AF4" s="205"/>
      <c r="AG4" s="205"/>
      <c r="AH4" s="205"/>
      <c r="AI4" s="206">
        <v>0.14</v>
      </c>
      <c r="AJ4" s="206">
        <v>0.33</v>
      </c>
      <c r="AK4" s="206">
        <v>0.25</v>
      </c>
      <c r="AL4" s="206">
        <v>0.15</v>
      </c>
      <c r="AM4" s="206">
        <v>0.07</v>
      </c>
      <c r="AN4" s="206">
        <v>0.04</v>
      </c>
      <c r="AO4" s="206">
        <v>0.02</v>
      </c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</row>
    <row r="5" ht="15.75" customHeight="1">
      <c r="A5" s="237"/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04"/>
      <c r="AF5" s="205"/>
      <c r="AG5" s="205"/>
      <c r="AH5" s="205"/>
      <c r="AI5" s="205"/>
      <c r="AJ5" s="206">
        <v>0.14</v>
      </c>
      <c r="AK5" s="206">
        <v>0.33</v>
      </c>
      <c r="AL5" s="206">
        <v>0.25</v>
      </c>
      <c r="AM5" s="206">
        <v>0.15</v>
      </c>
      <c r="AN5" s="206">
        <v>0.07</v>
      </c>
      <c r="AO5" s="206">
        <v>0.04</v>
      </c>
      <c r="AP5" s="206">
        <v>0.02</v>
      </c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</row>
    <row r="6" ht="15.75" customHeight="1">
      <c r="A6" s="237"/>
      <c r="B6" s="237"/>
      <c r="C6" s="237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08"/>
      <c r="AF6" s="207"/>
      <c r="AG6" s="207"/>
      <c r="AH6" s="207"/>
      <c r="AI6" s="207"/>
      <c r="AJ6" s="207"/>
      <c r="AK6" s="206">
        <v>0.14</v>
      </c>
      <c r="AL6" s="206">
        <v>0.33</v>
      </c>
      <c r="AM6" s="206">
        <v>0.25</v>
      </c>
      <c r="AN6" s="206">
        <v>0.15</v>
      </c>
      <c r="AO6" s="206">
        <v>0.07</v>
      </c>
      <c r="AP6" s="206">
        <v>0.04</v>
      </c>
      <c r="AQ6" s="206">
        <v>0.02</v>
      </c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</row>
    <row r="7" ht="15.75" customHeight="1">
      <c r="A7" s="237"/>
      <c r="B7" s="237"/>
      <c r="C7" s="237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/>
      <c r="AE7" s="208"/>
      <c r="AF7" s="207"/>
      <c r="AG7" s="207"/>
      <c r="AH7" s="207"/>
      <c r="AI7" s="207"/>
      <c r="AJ7" s="207"/>
      <c r="AK7" s="207"/>
      <c r="AL7" s="206">
        <v>0.14</v>
      </c>
      <c r="AM7" s="206">
        <v>0.33</v>
      </c>
      <c r="AN7" s="206">
        <v>0.25</v>
      </c>
      <c r="AO7" s="206">
        <v>0.15</v>
      </c>
      <c r="AP7" s="206">
        <v>0.07</v>
      </c>
      <c r="AQ7" s="206">
        <v>0.04</v>
      </c>
      <c r="AR7" s="206">
        <v>0.02</v>
      </c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</row>
    <row r="8" ht="15.75" customHeight="1">
      <c r="A8" s="237"/>
      <c r="B8" s="237"/>
      <c r="C8" s="237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W8" s="238"/>
      <c r="X8" s="238"/>
      <c r="Y8" s="238"/>
      <c r="Z8" s="238"/>
      <c r="AA8" s="238"/>
      <c r="AB8" s="238"/>
      <c r="AC8" s="238"/>
      <c r="AD8" s="238"/>
      <c r="AE8" s="208"/>
      <c r="AF8" s="207"/>
      <c r="AG8" s="207"/>
      <c r="AH8" s="207"/>
      <c r="AI8" s="207"/>
      <c r="AJ8" s="207"/>
      <c r="AK8" s="207"/>
      <c r="AL8" s="207"/>
      <c r="AM8" s="206">
        <v>0.14</v>
      </c>
      <c r="AN8" s="206">
        <v>0.33</v>
      </c>
      <c r="AO8" s="206">
        <v>0.25</v>
      </c>
      <c r="AP8" s="206">
        <v>0.15</v>
      </c>
      <c r="AQ8" s="206">
        <v>0.07</v>
      </c>
      <c r="AR8" s="206">
        <v>0.04</v>
      </c>
      <c r="AS8" s="206">
        <v>0.02</v>
      </c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</row>
    <row r="9" ht="15.75" customHeight="1">
      <c r="A9" s="237"/>
      <c r="B9" s="237"/>
      <c r="C9" s="237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08"/>
      <c r="AF9" s="207"/>
      <c r="AG9" s="207"/>
      <c r="AH9" s="207"/>
      <c r="AI9" s="207"/>
      <c r="AJ9" s="207"/>
      <c r="AK9" s="207"/>
      <c r="AL9" s="207"/>
      <c r="AM9" s="207"/>
      <c r="AN9" s="206">
        <v>0.14</v>
      </c>
      <c r="AO9" s="206">
        <v>0.33</v>
      </c>
      <c r="AP9" s="206">
        <v>0.25</v>
      </c>
      <c r="AQ9" s="206">
        <v>0.15</v>
      </c>
      <c r="AR9" s="206">
        <v>0.07</v>
      </c>
      <c r="AS9" s="206">
        <v>0.04</v>
      </c>
      <c r="AT9" s="206">
        <v>0.02</v>
      </c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</row>
    <row r="10" ht="15.75" customHeight="1">
      <c r="A10" s="237"/>
      <c r="B10" s="237"/>
      <c r="C10" s="237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08"/>
      <c r="AF10" s="207"/>
      <c r="AG10" s="207"/>
      <c r="AH10" s="207"/>
      <c r="AI10" s="207"/>
      <c r="AJ10" s="207"/>
      <c r="AK10" s="207"/>
      <c r="AL10" s="207"/>
      <c r="AM10" s="207"/>
      <c r="AN10" s="207"/>
      <c r="AO10" s="206">
        <v>0.14</v>
      </c>
      <c r="AP10" s="206">
        <v>0.33</v>
      </c>
      <c r="AQ10" s="206">
        <v>0.25</v>
      </c>
      <c r="AR10" s="206">
        <v>0.15</v>
      </c>
      <c r="AS10" s="206">
        <v>0.07</v>
      </c>
      <c r="AT10" s="206">
        <v>0.04</v>
      </c>
      <c r="AU10" s="206">
        <v>0.02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</row>
    <row r="11" ht="15.75" customHeight="1">
      <c r="A11" s="237"/>
      <c r="B11" s="237"/>
      <c r="C11" s="237"/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08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6">
        <v>0.14</v>
      </c>
      <c r="AQ11" s="206">
        <v>0.33</v>
      </c>
      <c r="AR11" s="206">
        <v>0.25</v>
      </c>
      <c r="AS11" s="206">
        <v>0.15</v>
      </c>
      <c r="AT11" s="206">
        <v>0.07</v>
      </c>
      <c r="AU11" s="206">
        <v>0.04</v>
      </c>
      <c r="AV11" s="206">
        <v>0.02</v>
      </c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</row>
    <row r="12" ht="15.75" customHeight="1">
      <c r="A12" s="237"/>
      <c r="B12" s="237"/>
      <c r="C12" s="237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08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>
        <v>0.14</v>
      </c>
      <c r="AR12" s="206">
        <v>0.33</v>
      </c>
      <c r="AS12" s="206">
        <v>0.25</v>
      </c>
      <c r="AT12" s="206">
        <v>0.15</v>
      </c>
      <c r="AU12" s="206">
        <v>0.07</v>
      </c>
      <c r="AV12" s="206">
        <v>0.04</v>
      </c>
      <c r="AW12" s="206">
        <v>0.02</v>
      </c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</row>
    <row r="13" ht="15.75" customHeight="1">
      <c r="A13" s="237"/>
      <c r="B13" s="237"/>
      <c r="C13" s="237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08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6">
        <v>0.14</v>
      </c>
      <c r="AS13" s="206">
        <v>0.33</v>
      </c>
      <c r="AT13" s="206">
        <v>0.25</v>
      </c>
      <c r="AU13" s="206">
        <v>0.15</v>
      </c>
      <c r="AV13" s="206">
        <v>0.07</v>
      </c>
      <c r="AW13" s="206">
        <v>0.04</v>
      </c>
      <c r="AX13" s="206">
        <v>0.02</v>
      </c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</row>
    <row r="14" ht="15.75" customHeight="1">
      <c r="A14" s="237"/>
      <c r="B14" s="237"/>
      <c r="C14" s="237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08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6">
        <v>0.14</v>
      </c>
      <c r="AT14" s="206">
        <v>0.33</v>
      </c>
      <c r="AU14" s="206">
        <v>0.25</v>
      </c>
      <c r="AV14" s="206">
        <v>0.15</v>
      </c>
      <c r="AW14" s="206">
        <v>0.07</v>
      </c>
      <c r="AX14" s="206">
        <v>0.04</v>
      </c>
      <c r="AY14" s="206">
        <v>0.02</v>
      </c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</row>
    <row r="15" ht="15.75" customHeight="1">
      <c r="A15" s="237"/>
      <c r="B15" s="237"/>
      <c r="C15" s="237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08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6">
        <v>0.14</v>
      </c>
      <c r="AU15" s="206">
        <v>0.33</v>
      </c>
      <c r="AV15" s="206">
        <v>0.25</v>
      </c>
      <c r="AW15" s="206">
        <v>0.15</v>
      </c>
      <c r="AX15" s="206">
        <v>0.07</v>
      </c>
      <c r="AY15" s="206">
        <v>0.04</v>
      </c>
      <c r="AZ15" s="206">
        <v>0.02</v>
      </c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</row>
    <row r="16" ht="15.75" customHeight="1">
      <c r="A16" s="237"/>
      <c r="B16" s="237"/>
      <c r="C16" s="237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08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6">
        <v>0.14</v>
      </c>
      <c r="AV16" s="206">
        <v>0.33</v>
      </c>
      <c r="AW16" s="206">
        <v>0.25</v>
      </c>
      <c r="AX16" s="206">
        <v>0.15</v>
      </c>
      <c r="AY16" s="206">
        <v>0.07</v>
      </c>
      <c r="AZ16" s="206">
        <v>0.04</v>
      </c>
      <c r="BA16" s="206">
        <v>0.02</v>
      </c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</row>
    <row r="17" ht="15.75" customHeight="1">
      <c r="A17" s="237"/>
      <c r="B17" s="237"/>
      <c r="C17" s="237"/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08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6">
        <v>0.14</v>
      </c>
      <c r="AW17" s="206">
        <v>0.33</v>
      </c>
      <c r="AX17" s="206">
        <v>0.25</v>
      </c>
      <c r="AY17" s="206">
        <v>0.15</v>
      </c>
      <c r="AZ17" s="206">
        <v>0.07</v>
      </c>
      <c r="BA17" s="206">
        <v>0.04</v>
      </c>
      <c r="BB17" s="206">
        <v>0.02</v>
      </c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</row>
    <row r="18" ht="15.75" customHeight="1">
      <c r="A18" s="237"/>
      <c r="B18" s="237"/>
      <c r="C18" s="237"/>
      <c r="D18" s="238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8"/>
      <c r="S18" s="238"/>
      <c r="T18" s="238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08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6">
        <v>0.14</v>
      </c>
      <c r="AX18" s="206">
        <v>0.33</v>
      </c>
      <c r="AY18" s="206">
        <v>0.25</v>
      </c>
      <c r="AZ18" s="206">
        <v>0.15</v>
      </c>
      <c r="BA18" s="206">
        <v>0.07</v>
      </c>
      <c r="BB18" s="206">
        <v>0.04</v>
      </c>
      <c r="BC18" s="206">
        <v>0.02</v>
      </c>
      <c r="BD18" s="207"/>
      <c r="BE18" s="207"/>
      <c r="BF18" s="207"/>
      <c r="BG18" s="207"/>
      <c r="BH18" s="207"/>
      <c r="BI18" s="207"/>
      <c r="BJ18" s="207"/>
      <c r="BK18" s="207"/>
      <c r="BL18" s="207"/>
    </row>
    <row r="19" ht="15.75" customHeight="1">
      <c r="A19" s="237"/>
      <c r="B19" s="237"/>
      <c r="C19" s="237"/>
      <c r="D19" s="238"/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08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6">
        <v>0.14</v>
      </c>
      <c r="AY19" s="206">
        <v>0.33</v>
      </c>
      <c r="AZ19" s="206">
        <v>0.25</v>
      </c>
      <c r="BA19" s="206">
        <v>0.15</v>
      </c>
      <c r="BB19" s="206">
        <v>0.07</v>
      </c>
      <c r="BC19" s="206">
        <v>0.04</v>
      </c>
      <c r="BD19" s="206">
        <v>0.02</v>
      </c>
      <c r="BE19" s="207"/>
      <c r="BF19" s="207"/>
      <c r="BG19" s="207"/>
      <c r="BH19" s="207"/>
      <c r="BI19" s="207"/>
      <c r="BJ19" s="207"/>
      <c r="BK19" s="207"/>
      <c r="BL19" s="207"/>
    </row>
    <row r="20" ht="15.75" customHeight="1">
      <c r="A20" s="237"/>
      <c r="B20" s="237"/>
      <c r="C20" s="237"/>
      <c r="D20" s="238"/>
      <c r="E20" s="238"/>
      <c r="F20" s="238"/>
      <c r="G20" s="238"/>
      <c r="H20" s="238"/>
      <c r="I20" s="238"/>
      <c r="J20" s="238"/>
      <c r="K20" s="238"/>
      <c r="L20" s="238"/>
      <c r="M20" s="238"/>
      <c r="N20" s="238"/>
      <c r="O20" s="238"/>
      <c r="P20" s="238"/>
      <c r="Q20" s="238"/>
      <c r="R20" s="238"/>
      <c r="S20" s="238"/>
      <c r="T20" s="238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08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6">
        <v>0.14</v>
      </c>
      <c r="AZ20" s="206">
        <v>0.33</v>
      </c>
      <c r="BA20" s="206">
        <v>0.25</v>
      </c>
      <c r="BB20" s="206">
        <v>0.15</v>
      </c>
      <c r="BC20" s="206">
        <v>0.07</v>
      </c>
      <c r="BD20" s="206">
        <v>0.04</v>
      </c>
      <c r="BE20" s="206">
        <v>0.02</v>
      </c>
      <c r="BF20" s="207"/>
      <c r="BG20" s="207"/>
      <c r="BH20" s="207"/>
      <c r="BI20" s="207"/>
      <c r="BJ20" s="207"/>
      <c r="BK20" s="207"/>
      <c r="BL20" s="207"/>
    </row>
    <row r="21" ht="15.75" customHeight="1">
      <c r="A21" s="237"/>
      <c r="B21" s="237"/>
      <c r="C21" s="237"/>
      <c r="D21" s="238"/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08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6">
        <v>0.14</v>
      </c>
      <c r="BA21" s="206">
        <v>0.33</v>
      </c>
      <c r="BB21" s="206">
        <v>0.25</v>
      </c>
      <c r="BC21" s="206">
        <v>0.15</v>
      </c>
      <c r="BD21" s="206">
        <v>0.07</v>
      </c>
      <c r="BE21" s="206">
        <v>0.04</v>
      </c>
      <c r="BF21" s="206">
        <v>0.02</v>
      </c>
      <c r="BG21" s="207"/>
      <c r="BH21" s="207"/>
      <c r="BI21" s="207"/>
      <c r="BJ21" s="207"/>
      <c r="BK21" s="207"/>
      <c r="BL21" s="207"/>
    </row>
    <row r="22" ht="15.75" customHeight="1">
      <c r="A22" s="237"/>
      <c r="B22" s="237"/>
      <c r="C22" s="237"/>
      <c r="D22" s="238"/>
      <c r="E22" s="238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08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6">
        <v>0.14</v>
      </c>
      <c r="BB22" s="206">
        <v>0.33</v>
      </c>
      <c r="BC22" s="206">
        <v>0.25</v>
      </c>
      <c r="BD22" s="206">
        <v>0.15</v>
      </c>
      <c r="BE22" s="206">
        <v>0.07</v>
      </c>
      <c r="BF22" s="206">
        <v>0.04</v>
      </c>
      <c r="BG22" s="206">
        <v>0.02</v>
      </c>
      <c r="BH22" s="207"/>
      <c r="BI22" s="207"/>
      <c r="BJ22" s="207"/>
      <c r="BK22" s="207"/>
      <c r="BL22" s="207"/>
    </row>
    <row r="23" ht="15.75" customHeight="1">
      <c r="A23" s="237"/>
      <c r="B23" s="237"/>
      <c r="C23" s="237"/>
      <c r="D23" s="238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08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6">
        <v>0.14</v>
      </c>
      <c r="BC23" s="206">
        <v>0.33</v>
      </c>
      <c r="BD23" s="206">
        <v>0.25</v>
      </c>
      <c r="BE23" s="206">
        <v>0.15</v>
      </c>
      <c r="BF23" s="206">
        <v>0.07</v>
      </c>
      <c r="BG23" s="206">
        <v>0.04</v>
      </c>
      <c r="BH23" s="206">
        <v>0.02</v>
      </c>
      <c r="BI23" s="207"/>
      <c r="BJ23" s="207"/>
      <c r="BK23" s="207"/>
      <c r="BL23" s="207"/>
    </row>
    <row r="24" ht="15.75" customHeight="1">
      <c r="A24" s="237"/>
      <c r="B24" s="237"/>
      <c r="C24" s="237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08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6">
        <v>0.14</v>
      </c>
      <c r="BD24" s="206">
        <v>0.33</v>
      </c>
      <c r="BE24" s="206">
        <v>0.25</v>
      </c>
      <c r="BF24" s="206">
        <v>0.15</v>
      </c>
      <c r="BG24" s="206">
        <v>0.07</v>
      </c>
      <c r="BH24" s="206">
        <v>0.04</v>
      </c>
      <c r="BI24" s="206">
        <v>0.02</v>
      </c>
      <c r="BJ24" s="207"/>
      <c r="BK24" s="207"/>
      <c r="BL24" s="207"/>
    </row>
    <row r="25" ht="15.75" customHeight="1">
      <c r="A25" s="237"/>
      <c r="B25" s="237"/>
      <c r="C25" s="237"/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08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6">
        <v>0.14</v>
      </c>
      <c r="BE25" s="206">
        <v>0.33</v>
      </c>
      <c r="BF25" s="206">
        <v>0.25</v>
      </c>
      <c r="BG25" s="206">
        <v>0.15</v>
      </c>
      <c r="BH25" s="206">
        <v>0.07</v>
      </c>
      <c r="BI25" s="206">
        <v>0.04</v>
      </c>
      <c r="BJ25" s="206">
        <v>0.02</v>
      </c>
      <c r="BK25" s="207"/>
      <c r="BL25" s="207"/>
    </row>
    <row r="26" ht="15.75" customHeight="1">
      <c r="A26" s="237"/>
      <c r="B26" s="237"/>
      <c r="C26" s="237"/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08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6">
        <v>0.14</v>
      </c>
      <c r="BF26" s="206">
        <v>0.33</v>
      </c>
      <c r="BG26" s="206">
        <v>0.25</v>
      </c>
      <c r="BH26" s="206">
        <v>0.15</v>
      </c>
      <c r="BI26" s="206">
        <v>0.07</v>
      </c>
      <c r="BJ26" s="206">
        <v>0.04</v>
      </c>
      <c r="BK26" s="206">
        <v>0.02</v>
      </c>
      <c r="BL26" s="207"/>
    </row>
    <row r="27" ht="15.75" customHeight="1">
      <c r="A27" s="237"/>
      <c r="B27" s="237"/>
      <c r="C27" s="237"/>
      <c r="D27" s="238"/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08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6">
        <v>0.14</v>
      </c>
      <c r="BG27" s="206">
        <v>0.33</v>
      </c>
      <c r="BH27" s="206">
        <v>0.25</v>
      </c>
      <c r="BI27" s="206">
        <v>0.15</v>
      </c>
      <c r="BJ27" s="206">
        <v>0.07</v>
      </c>
      <c r="BK27" s="206">
        <v>0.04</v>
      </c>
      <c r="BL27" s="206">
        <v>0.02</v>
      </c>
    </row>
    <row r="28" ht="15.75" customHeight="1">
      <c r="A28" s="237"/>
      <c r="B28" s="237"/>
      <c r="C28" s="237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08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6">
        <v>0.14</v>
      </c>
      <c r="BH28" s="206">
        <v>0.33</v>
      </c>
      <c r="BI28" s="206">
        <v>0.25</v>
      </c>
      <c r="BJ28" s="206">
        <v>0.15</v>
      </c>
      <c r="BK28" s="206">
        <v>0.07</v>
      </c>
      <c r="BL28" s="206">
        <v>0.04</v>
      </c>
    </row>
    <row r="29" ht="15.75" customHeight="1">
      <c r="A29" s="237"/>
      <c r="B29" s="237"/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08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6">
        <v>0.14</v>
      </c>
      <c r="BI29" s="206">
        <v>0.33</v>
      </c>
      <c r="BJ29" s="206">
        <v>0.25</v>
      </c>
      <c r="BK29" s="206">
        <v>0.15</v>
      </c>
      <c r="BL29" s="206">
        <v>0.07</v>
      </c>
    </row>
    <row r="30" ht="15.75" customHeight="1">
      <c r="A30" s="237"/>
      <c r="B30" s="237"/>
      <c r="C30" s="237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08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6">
        <v>0.14</v>
      </c>
      <c r="BJ30" s="206">
        <v>0.33</v>
      </c>
      <c r="BK30" s="206">
        <v>0.25</v>
      </c>
      <c r="BL30" s="206">
        <v>0.15</v>
      </c>
    </row>
    <row r="31" ht="15.75" customHeight="1">
      <c r="A31" s="237"/>
      <c r="B31" s="237"/>
      <c r="C31" s="237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08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6">
        <v>0.14</v>
      </c>
      <c r="BK31" s="206">
        <v>0.33</v>
      </c>
      <c r="BL31" s="206">
        <v>0.25</v>
      </c>
    </row>
    <row r="32" ht="15.75" customHeight="1">
      <c r="A32" s="237"/>
      <c r="B32" s="237"/>
      <c r="C32" s="237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08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6">
        <v>0.14</v>
      </c>
      <c r="BL32" s="206">
        <v>0.33</v>
      </c>
    </row>
    <row r="33" ht="15.75" customHeight="1">
      <c r="A33" s="237"/>
      <c r="B33" s="237"/>
      <c r="C33" s="237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08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6">
        <v>0.14</v>
      </c>
    </row>
    <row r="34" ht="15.75" customHeight="1">
      <c r="A34" s="237"/>
      <c r="B34" s="237"/>
      <c r="C34" s="237"/>
      <c r="D34" s="237"/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  <c r="AA34" s="237"/>
      <c r="AB34" s="237"/>
      <c r="AC34" s="237"/>
      <c r="AD34" s="237"/>
      <c r="AE34" s="204"/>
      <c r="AF34" s="209" t="s">
        <v>14</v>
      </c>
      <c r="AG34" s="209" t="s">
        <v>2</v>
      </c>
      <c r="AH34" s="209" t="s">
        <v>3</v>
      </c>
      <c r="AI34" s="209" t="s">
        <v>4</v>
      </c>
      <c r="AJ34" s="209" t="s">
        <v>5</v>
      </c>
      <c r="AK34" s="209" t="s">
        <v>6</v>
      </c>
      <c r="AL34" s="209" t="s">
        <v>7</v>
      </c>
      <c r="AM34" s="209" t="s">
        <v>8</v>
      </c>
      <c r="AN34" s="209" t="s">
        <v>9</v>
      </c>
      <c r="AO34" s="209" t="s">
        <v>10</v>
      </c>
      <c r="AP34" s="209" t="s">
        <v>11</v>
      </c>
      <c r="AQ34" s="209" t="s">
        <v>12</v>
      </c>
      <c r="AR34" s="209" t="s">
        <v>13</v>
      </c>
      <c r="AS34" s="209" t="s">
        <v>63</v>
      </c>
      <c r="AT34" s="209" t="s">
        <v>64</v>
      </c>
      <c r="AU34" s="209" t="s">
        <v>65</v>
      </c>
      <c r="AV34" s="209" t="s">
        <v>66</v>
      </c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</row>
    <row r="35" ht="15.75" customHeight="1">
      <c r="A35" s="237"/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04"/>
      <c r="AF35" s="212">
        <v>0.0</v>
      </c>
      <c r="AG35" s="53">
        <f t="shared" ref="AG35:AM35" si="1">$AF35*AG2</f>
        <v>0</v>
      </c>
      <c r="AH35" s="53">
        <f t="shared" si="1"/>
        <v>0</v>
      </c>
      <c r="AI35" s="53">
        <f t="shared" si="1"/>
        <v>0</v>
      </c>
      <c r="AJ35" s="53">
        <f t="shared" si="1"/>
        <v>0</v>
      </c>
      <c r="AK35" s="53">
        <f t="shared" si="1"/>
        <v>0</v>
      </c>
      <c r="AL35" s="53">
        <f t="shared" si="1"/>
        <v>0</v>
      </c>
      <c r="AM35" s="53">
        <f t="shared" si="1"/>
        <v>0</v>
      </c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</row>
    <row r="36" ht="15.75" customHeight="1">
      <c r="A36" s="237"/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  <c r="AA36" s="239"/>
      <c r="AB36" s="239"/>
      <c r="AC36" s="239"/>
      <c r="AD36" s="239"/>
      <c r="AE36" s="204"/>
      <c r="AF36" s="212">
        <v>0.0</v>
      </c>
      <c r="AG36" s="211"/>
      <c r="AH36" s="53">
        <f t="shared" ref="AH36:AN36" si="2">$AF36*AH3</f>
        <v>0</v>
      </c>
      <c r="AI36" s="53">
        <f t="shared" si="2"/>
        <v>0</v>
      </c>
      <c r="AJ36" s="53">
        <f t="shared" si="2"/>
        <v>0</v>
      </c>
      <c r="AK36" s="53">
        <f t="shared" si="2"/>
        <v>0</v>
      </c>
      <c r="AL36" s="53">
        <f t="shared" si="2"/>
        <v>0</v>
      </c>
      <c r="AM36" s="53">
        <f t="shared" si="2"/>
        <v>0</v>
      </c>
      <c r="AN36" s="53">
        <f t="shared" si="2"/>
        <v>0</v>
      </c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</row>
    <row r="37" ht="15.75" customHeight="1">
      <c r="A37" s="237"/>
      <c r="B37" s="239"/>
      <c r="C37" s="239"/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04"/>
      <c r="AF37" s="212">
        <v>0.0</v>
      </c>
      <c r="AG37" s="207"/>
      <c r="AH37" s="211"/>
      <c r="AI37" s="53">
        <f t="shared" ref="AI37:AO37" si="3">$AF37*AI4</f>
        <v>0</v>
      </c>
      <c r="AJ37" s="53">
        <f t="shared" si="3"/>
        <v>0</v>
      </c>
      <c r="AK37" s="53">
        <f t="shared" si="3"/>
        <v>0</v>
      </c>
      <c r="AL37" s="53">
        <f t="shared" si="3"/>
        <v>0</v>
      </c>
      <c r="AM37" s="53">
        <f t="shared" si="3"/>
        <v>0</v>
      </c>
      <c r="AN37" s="53">
        <f t="shared" si="3"/>
        <v>0</v>
      </c>
      <c r="AO37" s="53">
        <f t="shared" si="3"/>
        <v>0</v>
      </c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</row>
    <row r="38" ht="15.75" customHeight="1">
      <c r="A38" s="237"/>
      <c r="B38" s="239"/>
      <c r="C38" s="239"/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  <c r="AA38" s="239"/>
      <c r="AB38" s="239"/>
      <c r="AC38" s="239"/>
      <c r="AD38" s="239"/>
      <c r="AE38" s="204"/>
      <c r="AF38" s="212">
        <v>0.0</v>
      </c>
      <c r="AG38" s="207"/>
      <c r="AH38" s="211"/>
      <c r="AI38" s="211"/>
      <c r="AJ38" s="53">
        <f t="shared" ref="AJ38:AP38" si="4">$AF38*AJ5</f>
        <v>0</v>
      </c>
      <c r="AK38" s="53">
        <f t="shared" si="4"/>
        <v>0</v>
      </c>
      <c r="AL38" s="53">
        <f t="shared" si="4"/>
        <v>0</v>
      </c>
      <c r="AM38" s="53">
        <f t="shared" si="4"/>
        <v>0</v>
      </c>
      <c r="AN38" s="53">
        <f t="shared" si="4"/>
        <v>0</v>
      </c>
      <c r="AO38" s="53">
        <f t="shared" si="4"/>
        <v>0</v>
      </c>
      <c r="AP38" s="53">
        <f t="shared" si="4"/>
        <v>0</v>
      </c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</row>
    <row r="39" ht="15.75" customHeight="1">
      <c r="A39" s="237"/>
      <c r="B39" s="237"/>
      <c r="C39" s="237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  <c r="AA39" s="239"/>
      <c r="AB39" s="239"/>
      <c r="AC39" s="239"/>
      <c r="AD39" s="239"/>
      <c r="AE39" s="204"/>
      <c r="AF39" s="212">
        <v>0.0</v>
      </c>
      <c r="AG39" s="207"/>
      <c r="AH39" s="211"/>
      <c r="AI39" s="211"/>
      <c r="AJ39" s="211"/>
      <c r="AK39" s="53">
        <f t="shared" ref="AK39:AQ39" si="5">$AF39*AK6</f>
        <v>0</v>
      </c>
      <c r="AL39" s="53">
        <f t="shared" si="5"/>
        <v>0</v>
      </c>
      <c r="AM39" s="53">
        <f t="shared" si="5"/>
        <v>0</v>
      </c>
      <c r="AN39" s="53">
        <f t="shared" si="5"/>
        <v>0</v>
      </c>
      <c r="AO39" s="53">
        <f t="shared" si="5"/>
        <v>0</v>
      </c>
      <c r="AP39" s="53">
        <f t="shared" si="5"/>
        <v>0</v>
      </c>
      <c r="AQ39" s="53">
        <f t="shared" si="5"/>
        <v>0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</row>
    <row r="40" ht="15.75" customHeight="1">
      <c r="A40" s="237"/>
      <c r="B40" s="237"/>
      <c r="C40" s="238"/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  <c r="AA40" s="239"/>
      <c r="AB40" s="239"/>
      <c r="AC40" s="239"/>
      <c r="AD40" s="239"/>
      <c r="AE40" s="215"/>
      <c r="AF40" s="216">
        <f t="array" ref="AF40:AF66">transpose(D67:AD67)</f>
        <v>12</v>
      </c>
      <c r="AG40" s="207"/>
      <c r="AH40" s="211"/>
      <c r="AI40" s="211"/>
      <c r="AJ40" s="211"/>
      <c r="AK40" s="211"/>
      <c r="AL40" s="53">
        <f t="shared" ref="AL40:AR40" si="6">$AF40*AL7</f>
        <v>1.68</v>
      </c>
      <c r="AM40" s="53">
        <f t="shared" si="6"/>
        <v>3.96</v>
      </c>
      <c r="AN40" s="53">
        <f t="shared" si="6"/>
        <v>3</v>
      </c>
      <c r="AO40" s="53">
        <f t="shared" si="6"/>
        <v>1.8</v>
      </c>
      <c r="AP40" s="53">
        <f t="shared" si="6"/>
        <v>0.84</v>
      </c>
      <c r="AQ40" s="53">
        <f t="shared" si="6"/>
        <v>0.48</v>
      </c>
      <c r="AR40" s="53">
        <f t="shared" si="6"/>
        <v>0.24</v>
      </c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</row>
    <row r="41" ht="15.75" customHeight="1">
      <c r="A41" s="237"/>
      <c r="B41" s="237"/>
      <c r="C41" s="238"/>
      <c r="D41" s="239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  <c r="AA41" s="239"/>
      <c r="AB41" s="239"/>
      <c r="AC41" s="239"/>
      <c r="AD41" s="239"/>
      <c r="AE41" s="217"/>
      <c r="AF41" s="53">
        <v>7.0</v>
      </c>
      <c r="AG41" s="207"/>
      <c r="AH41" s="211"/>
      <c r="AI41" s="211"/>
      <c r="AJ41" s="211"/>
      <c r="AK41" s="211"/>
      <c r="AL41" s="211"/>
      <c r="AM41" s="53">
        <f t="shared" ref="AM41:AS41" si="7">$AF41*AM8</f>
        <v>0.98</v>
      </c>
      <c r="AN41" s="53">
        <f t="shared" si="7"/>
        <v>2.31</v>
      </c>
      <c r="AO41" s="53">
        <f t="shared" si="7"/>
        <v>1.75</v>
      </c>
      <c r="AP41" s="53">
        <f t="shared" si="7"/>
        <v>1.05</v>
      </c>
      <c r="AQ41" s="53">
        <f t="shared" si="7"/>
        <v>0.49</v>
      </c>
      <c r="AR41" s="53">
        <f t="shared" si="7"/>
        <v>0.28</v>
      </c>
      <c r="AS41" s="53">
        <f t="shared" si="7"/>
        <v>0.14</v>
      </c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</row>
    <row r="42" ht="15.75" customHeight="1">
      <c r="A42" s="237"/>
      <c r="B42" s="237"/>
      <c r="C42" s="238"/>
      <c r="D42" s="237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  <c r="AA42" s="239"/>
      <c r="AB42" s="239"/>
      <c r="AC42" s="239"/>
      <c r="AD42" s="239"/>
      <c r="AE42" s="217"/>
      <c r="AF42" s="53">
        <v>6.0</v>
      </c>
      <c r="AG42" s="207"/>
      <c r="AH42" s="211"/>
      <c r="AI42" s="211"/>
      <c r="AJ42" s="211"/>
      <c r="AK42" s="211"/>
      <c r="AL42" s="211"/>
      <c r="AM42" s="211"/>
      <c r="AN42" s="53">
        <f t="shared" ref="AN42:AT42" si="8">$AF42*AN9</f>
        <v>0.84</v>
      </c>
      <c r="AO42" s="53">
        <f t="shared" si="8"/>
        <v>1.98</v>
      </c>
      <c r="AP42" s="53">
        <f t="shared" si="8"/>
        <v>1.5</v>
      </c>
      <c r="AQ42" s="53">
        <f t="shared" si="8"/>
        <v>0.9</v>
      </c>
      <c r="AR42" s="53">
        <f t="shared" si="8"/>
        <v>0.42</v>
      </c>
      <c r="AS42" s="53">
        <f t="shared" si="8"/>
        <v>0.24</v>
      </c>
      <c r="AT42" s="53">
        <f t="shared" si="8"/>
        <v>0.12</v>
      </c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</row>
    <row r="43" ht="15.75" customHeight="1">
      <c r="A43" s="237"/>
      <c r="B43" s="237"/>
      <c r="C43" s="238"/>
      <c r="D43" s="237"/>
      <c r="E43" s="237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17"/>
      <c r="AF43" s="53">
        <v>3.0</v>
      </c>
      <c r="AG43" s="207"/>
      <c r="AH43" s="211"/>
      <c r="AI43" s="211"/>
      <c r="AJ43" s="211"/>
      <c r="AK43" s="211"/>
      <c r="AL43" s="211"/>
      <c r="AM43" s="211"/>
      <c r="AN43" s="211"/>
      <c r="AO43" s="53">
        <f t="shared" ref="AO43:AU43" si="9">$AF43*AO10</f>
        <v>0.42</v>
      </c>
      <c r="AP43" s="53">
        <f t="shared" si="9"/>
        <v>0.99</v>
      </c>
      <c r="AQ43" s="53">
        <f t="shared" si="9"/>
        <v>0.75</v>
      </c>
      <c r="AR43" s="53">
        <f t="shared" si="9"/>
        <v>0.45</v>
      </c>
      <c r="AS43" s="53">
        <f t="shared" si="9"/>
        <v>0.21</v>
      </c>
      <c r="AT43" s="53">
        <f t="shared" si="9"/>
        <v>0.12</v>
      </c>
      <c r="AU43" s="53">
        <f t="shared" si="9"/>
        <v>0.06</v>
      </c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</row>
    <row r="44" ht="15.75" customHeight="1">
      <c r="A44" s="237"/>
      <c r="B44" s="237"/>
      <c r="C44" s="238"/>
      <c r="D44" s="237"/>
      <c r="E44" s="237"/>
      <c r="F44" s="237"/>
      <c r="G44" s="237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  <c r="AE44" s="217"/>
      <c r="AF44" s="53">
        <v>3.0</v>
      </c>
      <c r="AG44" s="207"/>
      <c r="AH44" s="211"/>
      <c r="AI44" s="211"/>
      <c r="AJ44" s="211"/>
      <c r="AK44" s="211"/>
      <c r="AL44" s="211"/>
      <c r="AM44" s="211"/>
      <c r="AN44" s="211"/>
      <c r="AO44" s="211"/>
      <c r="AP44" s="53">
        <f t="shared" ref="AP44:AV44" si="10">$AF44*AP11</f>
        <v>0.42</v>
      </c>
      <c r="AQ44" s="53">
        <f t="shared" si="10"/>
        <v>0.99</v>
      </c>
      <c r="AR44" s="53">
        <f t="shared" si="10"/>
        <v>0.75</v>
      </c>
      <c r="AS44" s="53">
        <f t="shared" si="10"/>
        <v>0.45</v>
      </c>
      <c r="AT44" s="53">
        <f t="shared" si="10"/>
        <v>0.21</v>
      </c>
      <c r="AU44" s="53">
        <f t="shared" si="10"/>
        <v>0.12</v>
      </c>
      <c r="AV44" s="53">
        <f t="shared" si="10"/>
        <v>0.06</v>
      </c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</row>
    <row r="45" ht="15.75" customHeight="1">
      <c r="A45" s="237"/>
      <c r="B45" s="237"/>
      <c r="C45" s="238"/>
      <c r="D45" s="237"/>
      <c r="E45" s="237"/>
      <c r="F45" s="237"/>
      <c r="G45" s="237"/>
      <c r="H45" s="237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17"/>
      <c r="AF45" s="53">
        <v>6.0</v>
      </c>
      <c r="AG45" s="207"/>
      <c r="AH45" s="211"/>
      <c r="AI45" s="211"/>
      <c r="AJ45" s="211"/>
      <c r="AK45" s="211"/>
      <c r="AL45" s="211"/>
      <c r="AM45" s="211"/>
      <c r="AN45" s="211"/>
      <c r="AO45" s="211"/>
      <c r="AP45" s="211"/>
      <c r="AQ45" s="53">
        <f t="shared" ref="AQ45:AW45" si="11">$AF45*AQ12</f>
        <v>0.84</v>
      </c>
      <c r="AR45" s="53">
        <f t="shared" si="11"/>
        <v>1.98</v>
      </c>
      <c r="AS45" s="53">
        <f t="shared" si="11"/>
        <v>1.5</v>
      </c>
      <c r="AT45" s="53">
        <f t="shared" si="11"/>
        <v>0.9</v>
      </c>
      <c r="AU45" s="53">
        <f t="shared" si="11"/>
        <v>0.42</v>
      </c>
      <c r="AV45" s="53">
        <f t="shared" si="11"/>
        <v>0.24</v>
      </c>
      <c r="AW45" s="53">
        <f t="shared" si="11"/>
        <v>0.12</v>
      </c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</row>
    <row r="46" ht="15.75" customHeight="1">
      <c r="A46" s="237"/>
      <c r="B46" s="240"/>
      <c r="C46" s="238"/>
      <c r="D46" s="237"/>
      <c r="E46" s="237"/>
      <c r="F46" s="237"/>
      <c r="G46" s="237"/>
      <c r="H46" s="237"/>
      <c r="I46" s="237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  <c r="AA46" s="239"/>
      <c r="AB46" s="239"/>
      <c r="AC46" s="239"/>
      <c r="AD46" s="239"/>
      <c r="AE46" s="217"/>
      <c r="AF46" s="53">
        <v>6.0</v>
      </c>
      <c r="AG46" s="207"/>
      <c r="AH46" s="211"/>
      <c r="AI46" s="211"/>
      <c r="AJ46" s="211"/>
      <c r="AK46" s="211"/>
      <c r="AL46" s="211"/>
      <c r="AM46" s="211"/>
      <c r="AN46" s="211"/>
      <c r="AO46" s="211"/>
      <c r="AP46" s="207"/>
      <c r="AQ46" s="211"/>
      <c r="AR46" s="53">
        <f t="shared" ref="AR46:AX46" si="12">$AF46*AR13</f>
        <v>0.84</v>
      </c>
      <c r="AS46" s="53">
        <f t="shared" si="12"/>
        <v>1.98</v>
      </c>
      <c r="AT46" s="53">
        <f t="shared" si="12"/>
        <v>1.5</v>
      </c>
      <c r="AU46" s="53">
        <f t="shared" si="12"/>
        <v>0.9</v>
      </c>
      <c r="AV46" s="53">
        <f t="shared" si="12"/>
        <v>0.42</v>
      </c>
      <c r="AW46" s="53">
        <f t="shared" si="12"/>
        <v>0.24</v>
      </c>
      <c r="AX46" s="53">
        <f t="shared" si="12"/>
        <v>0.12</v>
      </c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</row>
    <row r="47" ht="15.75" customHeight="1">
      <c r="A47" s="237"/>
      <c r="B47" s="240"/>
      <c r="C47" s="238"/>
      <c r="D47" s="237"/>
      <c r="E47" s="237"/>
      <c r="F47" s="237"/>
      <c r="G47" s="237"/>
      <c r="H47" s="237"/>
      <c r="I47" s="237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17"/>
      <c r="AF47" s="53">
        <v>13.0</v>
      </c>
      <c r="AG47" s="207"/>
      <c r="AH47" s="211"/>
      <c r="AI47" s="211"/>
      <c r="AJ47" s="211"/>
      <c r="AK47" s="211"/>
      <c r="AL47" s="211"/>
      <c r="AM47" s="211"/>
      <c r="AN47" s="211"/>
      <c r="AO47" s="211"/>
      <c r="AP47" s="207"/>
      <c r="AQ47" s="211"/>
      <c r="AR47" s="211"/>
      <c r="AS47" s="53">
        <f t="shared" ref="AS47:AY47" si="13">$AF47*AS14</f>
        <v>1.82</v>
      </c>
      <c r="AT47" s="53">
        <f t="shared" si="13"/>
        <v>4.29</v>
      </c>
      <c r="AU47" s="53">
        <f t="shared" si="13"/>
        <v>3.25</v>
      </c>
      <c r="AV47" s="53">
        <f t="shared" si="13"/>
        <v>1.95</v>
      </c>
      <c r="AW47" s="53">
        <f t="shared" si="13"/>
        <v>0.91</v>
      </c>
      <c r="AX47" s="53">
        <f t="shared" si="13"/>
        <v>0.52</v>
      </c>
      <c r="AY47" s="53">
        <f t="shared" si="13"/>
        <v>0.26</v>
      </c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</row>
    <row r="48" ht="15.75" customHeight="1">
      <c r="A48" s="237"/>
      <c r="B48" s="240"/>
      <c r="C48" s="238"/>
      <c r="D48" s="237"/>
      <c r="E48" s="237"/>
      <c r="F48" s="237"/>
      <c r="G48" s="237"/>
      <c r="H48" s="237"/>
      <c r="I48" s="237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  <c r="V48" s="239"/>
      <c r="W48" s="239"/>
      <c r="X48" s="239"/>
      <c r="Y48" s="239"/>
      <c r="Z48" s="239"/>
      <c r="AA48" s="239"/>
      <c r="AB48" s="239"/>
      <c r="AC48" s="239"/>
      <c r="AD48" s="239"/>
      <c r="AE48" s="217"/>
      <c r="AF48" s="53">
        <v>14.0</v>
      </c>
      <c r="AG48" s="207"/>
      <c r="AH48" s="211"/>
      <c r="AI48" s="211"/>
      <c r="AJ48" s="211"/>
      <c r="AK48" s="211"/>
      <c r="AL48" s="211"/>
      <c r="AM48" s="211"/>
      <c r="AN48" s="211"/>
      <c r="AO48" s="211"/>
      <c r="AP48" s="207"/>
      <c r="AQ48" s="211"/>
      <c r="AR48" s="211"/>
      <c r="AS48" s="211"/>
      <c r="AT48" s="53">
        <f t="shared" ref="AT48:AZ48" si="14">$AF48*AT15</f>
        <v>1.96</v>
      </c>
      <c r="AU48" s="53">
        <f t="shared" si="14"/>
        <v>4.62</v>
      </c>
      <c r="AV48" s="53">
        <f t="shared" si="14"/>
        <v>3.5</v>
      </c>
      <c r="AW48" s="53">
        <f t="shared" si="14"/>
        <v>2.1</v>
      </c>
      <c r="AX48" s="53">
        <f t="shared" si="14"/>
        <v>0.98</v>
      </c>
      <c r="AY48" s="53">
        <f t="shared" si="14"/>
        <v>0.56</v>
      </c>
      <c r="AZ48" s="53">
        <f t="shared" si="14"/>
        <v>0.28</v>
      </c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</row>
    <row r="49" ht="15.75" customHeight="1">
      <c r="A49" s="237"/>
      <c r="B49" s="240"/>
      <c r="C49" s="238"/>
      <c r="D49" s="237"/>
      <c r="E49" s="237"/>
      <c r="F49" s="237"/>
      <c r="G49" s="237"/>
      <c r="H49" s="237"/>
      <c r="I49" s="237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17"/>
      <c r="AF49" s="53">
        <v>12.0</v>
      </c>
      <c r="AG49" s="207"/>
      <c r="AH49" s="211"/>
      <c r="AI49" s="211"/>
      <c r="AJ49" s="211"/>
      <c r="AK49" s="211"/>
      <c r="AL49" s="211"/>
      <c r="AM49" s="211"/>
      <c r="AN49" s="211"/>
      <c r="AO49" s="211"/>
      <c r="AP49" s="207"/>
      <c r="AQ49" s="211"/>
      <c r="AR49" s="211"/>
      <c r="AS49" s="211"/>
      <c r="AT49" s="211"/>
      <c r="AU49" s="53">
        <f t="shared" ref="AU49:BA49" si="15">$AF49*AU16</f>
        <v>1.68</v>
      </c>
      <c r="AV49" s="53">
        <f t="shared" si="15"/>
        <v>3.96</v>
      </c>
      <c r="AW49" s="53">
        <f t="shared" si="15"/>
        <v>3</v>
      </c>
      <c r="AX49" s="53">
        <f t="shared" si="15"/>
        <v>1.8</v>
      </c>
      <c r="AY49" s="53">
        <f t="shared" si="15"/>
        <v>0.84</v>
      </c>
      <c r="AZ49" s="53">
        <f t="shared" si="15"/>
        <v>0.48</v>
      </c>
      <c r="BA49" s="53">
        <f t="shared" si="15"/>
        <v>0.24</v>
      </c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</row>
    <row r="50" ht="15.75" customHeight="1">
      <c r="A50" s="237"/>
      <c r="B50" s="240"/>
      <c r="C50" s="238"/>
      <c r="D50" s="237"/>
      <c r="E50" s="237"/>
      <c r="F50" s="237"/>
      <c r="G50" s="237"/>
      <c r="H50" s="237"/>
      <c r="I50" s="237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17"/>
      <c r="AF50" s="53">
        <v>1.0</v>
      </c>
      <c r="AG50" s="207"/>
      <c r="AH50" s="211"/>
      <c r="AI50" s="211"/>
      <c r="AJ50" s="211"/>
      <c r="AK50" s="211"/>
      <c r="AL50" s="211"/>
      <c r="AM50" s="211"/>
      <c r="AN50" s="211"/>
      <c r="AO50" s="211"/>
      <c r="AP50" s="207"/>
      <c r="AQ50" s="211"/>
      <c r="AR50" s="211"/>
      <c r="AS50" s="211"/>
      <c r="AT50" s="211"/>
      <c r="AU50" s="211"/>
      <c r="AV50" s="53">
        <f t="shared" ref="AV50:BB50" si="16">$AF50*AV17</f>
        <v>0.14</v>
      </c>
      <c r="AW50" s="53">
        <f t="shared" si="16"/>
        <v>0.33</v>
      </c>
      <c r="AX50" s="53">
        <f t="shared" si="16"/>
        <v>0.25</v>
      </c>
      <c r="AY50" s="53">
        <f t="shared" si="16"/>
        <v>0.15</v>
      </c>
      <c r="AZ50" s="53">
        <f t="shared" si="16"/>
        <v>0.07</v>
      </c>
      <c r="BA50" s="53">
        <f t="shared" si="16"/>
        <v>0.04</v>
      </c>
      <c r="BB50" s="53">
        <f t="shared" si="16"/>
        <v>0.02</v>
      </c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</row>
    <row r="51" ht="15.75" customHeight="1">
      <c r="A51" s="237"/>
      <c r="B51" s="240"/>
      <c r="C51" s="238"/>
      <c r="D51" s="237"/>
      <c r="E51" s="237"/>
      <c r="F51" s="237"/>
      <c r="G51" s="237"/>
      <c r="H51" s="237"/>
      <c r="I51" s="237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17"/>
      <c r="AF51" s="53">
        <v>0.0</v>
      </c>
      <c r="AG51" s="207"/>
      <c r="AH51" s="211"/>
      <c r="AI51" s="211"/>
      <c r="AJ51" s="211"/>
      <c r="AK51" s="211"/>
      <c r="AL51" s="211"/>
      <c r="AM51" s="211"/>
      <c r="AN51" s="211"/>
      <c r="AO51" s="211"/>
      <c r="AP51" s="207"/>
      <c r="AQ51" s="211"/>
      <c r="AR51" s="211"/>
      <c r="AS51" s="211"/>
      <c r="AT51" s="211"/>
      <c r="AU51" s="211"/>
      <c r="AV51" s="211"/>
      <c r="AW51" s="53">
        <f t="shared" ref="AW51:BC51" si="17">$AF51*AW18</f>
        <v>0</v>
      </c>
      <c r="AX51" s="53">
        <f t="shared" si="17"/>
        <v>0</v>
      </c>
      <c r="AY51" s="53">
        <f t="shared" si="17"/>
        <v>0</v>
      </c>
      <c r="AZ51" s="53">
        <f t="shared" si="17"/>
        <v>0</v>
      </c>
      <c r="BA51" s="53">
        <f t="shared" si="17"/>
        <v>0</v>
      </c>
      <c r="BB51" s="53">
        <f t="shared" si="17"/>
        <v>0</v>
      </c>
      <c r="BC51" s="53">
        <f t="shared" si="17"/>
        <v>0</v>
      </c>
      <c r="BD51" s="211"/>
      <c r="BE51" s="211"/>
      <c r="BF51" s="211"/>
      <c r="BG51" s="211"/>
      <c r="BH51" s="211"/>
      <c r="BI51" s="211"/>
      <c r="BJ51" s="211"/>
      <c r="BK51" s="211"/>
      <c r="BL51" s="211"/>
    </row>
    <row r="52" ht="15.75" customHeight="1">
      <c r="A52" s="237"/>
      <c r="B52" s="240"/>
      <c r="C52" s="238"/>
      <c r="D52" s="237"/>
      <c r="E52" s="237"/>
      <c r="F52" s="237"/>
      <c r="G52" s="237"/>
      <c r="H52" s="237"/>
      <c r="I52" s="237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17"/>
      <c r="AF52" s="53">
        <v>2.0</v>
      </c>
      <c r="AG52" s="211"/>
      <c r="AH52" s="211"/>
      <c r="AI52" s="211"/>
      <c r="AJ52" s="211"/>
      <c r="AK52" s="211"/>
      <c r="AL52" s="211"/>
      <c r="AM52" s="211"/>
      <c r="AN52" s="211"/>
      <c r="AO52" s="211"/>
      <c r="AP52" s="207"/>
      <c r="AQ52" s="211"/>
      <c r="AR52" s="211"/>
      <c r="AS52" s="211"/>
      <c r="AT52" s="211"/>
      <c r="AU52" s="211"/>
      <c r="AV52" s="211"/>
      <c r="AW52" s="211"/>
      <c r="AX52" s="53">
        <f t="shared" ref="AX52:BD52" si="18">$AF52*AX19</f>
        <v>0.28</v>
      </c>
      <c r="AY52" s="53">
        <f t="shared" si="18"/>
        <v>0.66</v>
      </c>
      <c r="AZ52" s="53">
        <f t="shared" si="18"/>
        <v>0.5</v>
      </c>
      <c r="BA52" s="53">
        <f t="shared" si="18"/>
        <v>0.3</v>
      </c>
      <c r="BB52" s="53">
        <f t="shared" si="18"/>
        <v>0.14</v>
      </c>
      <c r="BC52" s="53">
        <f t="shared" si="18"/>
        <v>0.08</v>
      </c>
      <c r="BD52" s="53">
        <f t="shared" si="18"/>
        <v>0.04</v>
      </c>
      <c r="BE52" s="211"/>
      <c r="BF52" s="211"/>
      <c r="BG52" s="211"/>
      <c r="BH52" s="211"/>
      <c r="BI52" s="211"/>
      <c r="BJ52" s="211"/>
      <c r="BK52" s="211"/>
      <c r="BL52" s="211"/>
    </row>
    <row r="53" ht="15.75" customHeight="1">
      <c r="A53" s="237"/>
      <c r="B53" s="240"/>
      <c r="C53" s="238"/>
      <c r="D53" s="237"/>
      <c r="E53" s="237"/>
      <c r="F53" s="237"/>
      <c r="G53" s="237"/>
      <c r="H53" s="237"/>
      <c r="I53" s="237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17"/>
      <c r="AF53" s="53">
        <v>3.75</v>
      </c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53">
        <f t="shared" ref="AY53:BE53" si="19">$AF53*AY20</f>
        <v>0.525</v>
      </c>
      <c r="AZ53" s="53">
        <f t="shared" si="19"/>
        <v>1.2375</v>
      </c>
      <c r="BA53" s="53">
        <f t="shared" si="19"/>
        <v>0.9375</v>
      </c>
      <c r="BB53" s="53">
        <f t="shared" si="19"/>
        <v>0.5625</v>
      </c>
      <c r="BC53" s="53">
        <f t="shared" si="19"/>
        <v>0.2625</v>
      </c>
      <c r="BD53" s="53">
        <f t="shared" si="19"/>
        <v>0.15</v>
      </c>
      <c r="BE53" s="53">
        <f t="shared" si="19"/>
        <v>0.075</v>
      </c>
      <c r="BF53" s="211"/>
      <c r="BG53" s="211"/>
      <c r="BH53" s="211"/>
      <c r="BI53" s="211"/>
      <c r="BJ53" s="211"/>
      <c r="BK53" s="211"/>
      <c r="BL53" s="211"/>
    </row>
    <row r="54" ht="15.75" customHeight="1">
      <c r="A54" s="241"/>
      <c r="B54" s="240"/>
      <c r="C54" s="238"/>
      <c r="D54" s="237"/>
      <c r="E54" s="237"/>
      <c r="F54" s="237"/>
      <c r="G54" s="237"/>
      <c r="H54" s="237"/>
      <c r="I54" s="237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17"/>
      <c r="AF54" s="53">
        <v>3.8625000000000003</v>
      </c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53">
        <f t="shared" ref="AZ54:BF54" si="20">$AF54*AZ21</f>
        <v>0.54075</v>
      </c>
      <c r="BA54" s="53">
        <f t="shared" si="20"/>
        <v>1.274625</v>
      </c>
      <c r="BB54" s="53">
        <f t="shared" si="20"/>
        <v>0.965625</v>
      </c>
      <c r="BC54" s="53">
        <f t="shared" si="20"/>
        <v>0.579375</v>
      </c>
      <c r="BD54" s="53">
        <f t="shared" si="20"/>
        <v>0.270375</v>
      </c>
      <c r="BE54" s="53">
        <f t="shared" si="20"/>
        <v>0.1545</v>
      </c>
      <c r="BF54" s="53">
        <f t="shared" si="20"/>
        <v>0.07725</v>
      </c>
      <c r="BG54" s="211"/>
      <c r="BH54" s="211"/>
      <c r="BI54" s="211"/>
      <c r="BJ54" s="211"/>
      <c r="BK54" s="211"/>
      <c r="BL54" s="211"/>
    </row>
    <row r="55" ht="15.75" customHeight="1">
      <c r="A55" s="237"/>
      <c r="B55" s="240"/>
      <c r="C55" s="238"/>
      <c r="D55" s="237"/>
      <c r="E55" s="237"/>
      <c r="F55" s="237"/>
      <c r="G55" s="237"/>
      <c r="H55" s="237"/>
      <c r="I55" s="237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17"/>
      <c r="AF55" s="53">
        <v>4.132875</v>
      </c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07"/>
      <c r="AZ55" s="211"/>
      <c r="BA55" s="53">
        <f t="shared" ref="BA55:BG55" si="21">$AF55*BA22</f>
        <v>0.5786025</v>
      </c>
      <c r="BB55" s="53">
        <f t="shared" si="21"/>
        <v>1.36384875</v>
      </c>
      <c r="BC55" s="53">
        <f t="shared" si="21"/>
        <v>1.03321875</v>
      </c>
      <c r="BD55" s="53">
        <f t="shared" si="21"/>
        <v>0.61993125</v>
      </c>
      <c r="BE55" s="53">
        <f t="shared" si="21"/>
        <v>0.28930125</v>
      </c>
      <c r="BF55" s="53">
        <f t="shared" si="21"/>
        <v>0.165315</v>
      </c>
      <c r="BG55" s="53">
        <f t="shared" si="21"/>
        <v>0.0826575</v>
      </c>
      <c r="BH55" s="211"/>
      <c r="BI55" s="211"/>
      <c r="BJ55" s="211"/>
      <c r="BK55" s="211"/>
      <c r="BL55" s="211"/>
    </row>
    <row r="56" ht="15.75" customHeight="1">
      <c r="A56" s="237"/>
      <c r="B56" s="240"/>
      <c r="C56" s="238"/>
      <c r="D56" s="237"/>
      <c r="E56" s="237"/>
      <c r="F56" s="237"/>
      <c r="G56" s="237"/>
      <c r="H56" s="237"/>
      <c r="I56" s="237"/>
      <c r="J56" s="239"/>
      <c r="K56" s="239"/>
      <c r="L56" s="239"/>
      <c r="M56" s="239"/>
      <c r="N56" s="239"/>
      <c r="O56" s="239"/>
      <c r="P56" s="239"/>
      <c r="Q56" s="239"/>
      <c r="R56" s="239"/>
      <c r="S56" s="237"/>
      <c r="T56" s="239"/>
      <c r="U56" s="239"/>
      <c r="V56" s="239"/>
      <c r="W56" s="239"/>
      <c r="X56" s="239"/>
      <c r="Y56" s="239"/>
      <c r="Z56" s="239"/>
      <c r="AA56" s="239"/>
      <c r="AB56" s="239"/>
      <c r="AC56" s="239"/>
      <c r="AD56" s="239"/>
      <c r="AE56" s="217"/>
      <c r="AF56" s="53">
        <v>4.422176250000001</v>
      </c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07"/>
      <c r="AZ56" s="211"/>
      <c r="BA56" s="211"/>
      <c r="BB56" s="53">
        <f t="shared" ref="BB56:BH56" si="22">$AF56*BB23</f>
        <v>0.619104675</v>
      </c>
      <c r="BC56" s="53">
        <f t="shared" si="22"/>
        <v>1.459318163</v>
      </c>
      <c r="BD56" s="53">
        <f t="shared" si="22"/>
        <v>1.105544063</v>
      </c>
      <c r="BE56" s="53">
        <f t="shared" si="22"/>
        <v>0.6633264375</v>
      </c>
      <c r="BF56" s="53">
        <f t="shared" si="22"/>
        <v>0.3095523375</v>
      </c>
      <c r="BG56" s="53">
        <f t="shared" si="22"/>
        <v>0.17688705</v>
      </c>
      <c r="BH56" s="53">
        <f t="shared" si="22"/>
        <v>0.088443525</v>
      </c>
      <c r="BI56" s="211"/>
      <c r="BJ56" s="211"/>
      <c r="BK56" s="211"/>
      <c r="BL56" s="211"/>
    </row>
    <row r="57" ht="15.75" customHeight="1">
      <c r="A57" s="237"/>
      <c r="B57" s="240"/>
      <c r="C57" s="238"/>
      <c r="D57" s="237"/>
      <c r="E57" s="237"/>
      <c r="F57" s="237"/>
      <c r="G57" s="237"/>
      <c r="H57" s="237"/>
      <c r="I57" s="237"/>
      <c r="J57" s="239"/>
      <c r="K57" s="239"/>
      <c r="L57" s="239"/>
      <c r="M57" s="239"/>
      <c r="N57" s="239"/>
      <c r="O57" s="239"/>
      <c r="P57" s="239"/>
      <c r="Q57" s="239"/>
      <c r="R57" s="239"/>
      <c r="S57" s="237"/>
      <c r="T57" s="237"/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17"/>
      <c r="AF57" s="53">
        <v>4.731728587500001</v>
      </c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07"/>
      <c r="AZ57" s="211"/>
      <c r="BA57" s="211"/>
      <c r="BB57" s="211"/>
      <c r="BC57" s="53">
        <f t="shared" ref="BC57:BI57" si="23">$AF57*BC24</f>
        <v>0.6624420023</v>
      </c>
      <c r="BD57" s="53">
        <f t="shared" si="23"/>
        <v>1.561470434</v>
      </c>
      <c r="BE57" s="53">
        <f t="shared" si="23"/>
        <v>1.182932147</v>
      </c>
      <c r="BF57" s="53">
        <f t="shared" si="23"/>
        <v>0.7097592881</v>
      </c>
      <c r="BG57" s="53">
        <f t="shared" si="23"/>
        <v>0.3312210011</v>
      </c>
      <c r="BH57" s="53">
        <f t="shared" si="23"/>
        <v>0.1892691435</v>
      </c>
      <c r="BI57" s="53">
        <f t="shared" si="23"/>
        <v>0.09463457175</v>
      </c>
      <c r="BJ57" s="211"/>
      <c r="BK57" s="211"/>
      <c r="BL57" s="211"/>
    </row>
    <row r="58" ht="15.75" customHeight="1">
      <c r="A58" s="237"/>
      <c r="B58" s="240"/>
      <c r="C58" s="238"/>
      <c r="D58" s="237"/>
      <c r="E58" s="237"/>
      <c r="F58" s="237"/>
      <c r="G58" s="237"/>
      <c r="H58" s="237"/>
      <c r="I58" s="237"/>
      <c r="J58" s="239"/>
      <c r="K58" s="239"/>
      <c r="L58" s="239"/>
      <c r="M58" s="239"/>
      <c r="N58" s="239"/>
      <c r="O58" s="239"/>
      <c r="P58" s="239"/>
      <c r="Q58" s="239"/>
      <c r="R58" s="239"/>
      <c r="S58" s="237"/>
      <c r="T58" s="237"/>
      <c r="U58" s="237"/>
      <c r="V58" s="239"/>
      <c r="W58" s="239"/>
      <c r="X58" s="239"/>
      <c r="Y58" s="239"/>
      <c r="Z58" s="239"/>
      <c r="AA58" s="239"/>
      <c r="AB58" s="239"/>
      <c r="AC58" s="239"/>
      <c r="AD58" s="239"/>
      <c r="AE58" s="217"/>
      <c r="AF58" s="53">
        <v>5.062949588625002</v>
      </c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07"/>
      <c r="AZ58" s="211"/>
      <c r="BA58" s="211"/>
      <c r="BB58" s="211"/>
      <c r="BC58" s="211"/>
      <c r="BD58" s="53">
        <f t="shared" ref="BD58:BJ58" si="24">$AF58*BD25</f>
        <v>0.7088129424</v>
      </c>
      <c r="BE58" s="53">
        <f t="shared" si="24"/>
        <v>1.670773364</v>
      </c>
      <c r="BF58" s="53">
        <f t="shared" si="24"/>
        <v>1.265737397</v>
      </c>
      <c r="BG58" s="53">
        <f t="shared" si="24"/>
        <v>0.7594424383</v>
      </c>
      <c r="BH58" s="53">
        <f t="shared" si="24"/>
        <v>0.3544064712</v>
      </c>
      <c r="BI58" s="53">
        <f t="shared" si="24"/>
        <v>0.2025179835</v>
      </c>
      <c r="BJ58" s="53">
        <f t="shared" si="24"/>
        <v>0.1012589918</v>
      </c>
      <c r="BK58" s="211"/>
      <c r="BL58" s="211"/>
    </row>
    <row r="59" ht="15.75" customHeight="1">
      <c r="A59" s="237"/>
      <c r="B59" s="240"/>
      <c r="C59" s="238"/>
      <c r="D59" s="237"/>
      <c r="E59" s="237"/>
      <c r="F59" s="237"/>
      <c r="G59" s="237"/>
      <c r="H59" s="237"/>
      <c r="I59" s="237"/>
      <c r="J59" s="239"/>
      <c r="K59" s="239"/>
      <c r="L59" s="239"/>
      <c r="M59" s="239"/>
      <c r="N59" s="239"/>
      <c r="O59" s="239"/>
      <c r="P59" s="239"/>
      <c r="Q59" s="239"/>
      <c r="R59" s="239"/>
      <c r="S59" s="237"/>
      <c r="T59" s="237"/>
      <c r="U59" s="237"/>
      <c r="V59" s="239"/>
      <c r="W59" s="239"/>
      <c r="X59" s="239"/>
      <c r="Y59" s="239"/>
      <c r="Z59" s="239"/>
      <c r="AA59" s="239"/>
      <c r="AB59" s="239"/>
      <c r="AC59" s="239"/>
      <c r="AD59" s="239"/>
      <c r="AE59" s="217"/>
      <c r="AF59" s="53">
        <v>5.4173560598287525</v>
      </c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07"/>
      <c r="AZ59" s="211"/>
      <c r="BA59" s="211"/>
      <c r="BB59" s="211"/>
      <c r="BC59" s="211"/>
      <c r="BD59" s="211"/>
      <c r="BE59" s="53">
        <f t="shared" ref="BE59:BK59" si="25">$AF59*BE26</f>
        <v>0.7584298484</v>
      </c>
      <c r="BF59" s="53">
        <f t="shared" si="25"/>
        <v>1.7877275</v>
      </c>
      <c r="BG59" s="53">
        <f t="shared" si="25"/>
        <v>1.354339015</v>
      </c>
      <c r="BH59" s="53">
        <f t="shared" si="25"/>
        <v>0.812603409</v>
      </c>
      <c r="BI59" s="53">
        <f t="shared" si="25"/>
        <v>0.3792149242</v>
      </c>
      <c r="BJ59" s="53">
        <f t="shared" si="25"/>
        <v>0.2166942424</v>
      </c>
      <c r="BK59" s="53">
        <f t="shared" si="25"/>
        <v>0.1083471212</v>
      </c>
      <c r="BL59" s="211"/>
    </row>
    <row r="60" ht="15.75" customHeight="1">
      <c r="A60" s="237"/>
      <c r="B60" s="240"/>
      <c r="C60" s="238"/>
      <c r="D60" s="237"/>
      <c r="E60" s="237"/>
      <c r="F60" s="237"/>
      <c r="G60" s="237"/>
      <c r="H60" s="237"/>
      <c r="I60" s="237"/>
      <c r="J60" s="239"/>
      <c r="K60" s="239"/>
      <c r="L60" s="239"/>
      <c r="M60" s="239"/>
      <c r="N60" s="239"/>
      <c r="O60" s="239"/>
      <c r="P60" s="239"/>
      <c r="Q60" s="239"/>
      <c r="R60" s="239"/>
      <c r="S60" s="237"/>
      <c r="T60" s="237"/>
      <c r="U60" s="237"/>
      <c r="V60" s="239"/>
      <c r="W60" s="239"/>
      <c r="X60" s="239"/>
      <c r="Y60" s="239"/>
      <c r="Z60" s="239"/>
      <c r="AA60" s="239"/>
      <c r="AB60" s="239"/>
      <c r="AC60" s="239"/>
      <c r="AD60" s="239"/>
      <c r="AE60" s="217"/>
      <c r="AF60" s="53">
        <v>5.796570984016766</v>
      </c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07"/>
      <c r="AZ60" s="211"/>
      <c r="BA60" s="211"/>
      <c r="BB60" s="211"/>
      <c r="BC60" s="211"/>
      <c r="BD60" s="211"/>
      <c r="BE60" s="211"/>
      <c r="BF60" s="53">
        <f t="shared" ref="BF60:BL60" si="26">$AF60*BF27</f>
        <v>0.8115199378</v>
      </c>
      <c r="BG60" s="53">
        <f t="shared" si="26"/>
        <v>1.912868425</v>
      </c>
      <c r="BH60" s="53">
        <f t="shared" si="26"/>
        <v>1.449142746</v>
      </c>
      <c r="BI60" s="53">
        <f t="shared" si="26"/>
        <v>0.8694856476</v>
      </c>
      <c r="BJ60" s="53">
        <f t="shared" si="26"/>
        <v>0.4057599689</v>
      </c>
      <c r="BK60" s="53">
        <f t="shared" si="26"/>
        <v>0.2318628394</v>
      </c>
      <c r="BL60" s="53">
        <f t="shared" si="26"/>
        <v>0.1159314197</v>
      </c>
    </row>
    <row r="61" ht="15.75" customHeight="1">
      <c r="A61" s="237"/>
      <c r="B61" s="240"/>
      <c r="C61" s="238"/>
      <c r="D61" s="237"/>
      <c r="E61" s="237"/>
      <c r="F61" s="237"/>
      <c r="G61" s="237"/>
      <c r="H61" s="237"/>
      <c r="I61" s="237"/>
      <c r="J61" s="239"/>
      <c r="K61" s="239"/>
      <c r="L61" s="239"/>
      <c r="M61" s="239"/>
      <c r="N61" s="239"/>
      <c r="O61" s="239"/>
      <c r="P61" s="239"/>
      <c r="Q61" s="239"/>
      <c r="R61" s="239"/>
      <c r="S61" s="237"/>
      <c r="T61" s="237"/>
      <c r="U61" s="237"/>
      <c r="V61" s="239"/>
      <c r="W61" s="239"/>
      <c r="X61" s="239"/>
      <c r="Y61" s="239"/>
      <c r="Z61" s="239"/>
      <c r="AA61" s="239"/>
      <c r="AB61" s="239"/>
      <c r="AC61" s="239"/>
      <c r="AD61" s="239"/>
      <c r="AE61" s="217"/>
      <c r="AF61" s="53">
        <v>6.20233095289794</v>
      </c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07"/>
      <c r="AZ61" s="211"/>
      <c r="BA61" s="211"/>
      <c r="BB61" s="211"/>
      <c r="BC61" s="211"/>
      <c r="BD61" s="211"/>
      <c r="BE61" s="211"/>
      <c r="BF61" s="211"/>
      <c r="BG61" s="53">
        <f t="shared" ref="BG61:BL61" si="27">$AF61*BG28</f>
        <v>0.8683263334</v>
      </c>
      <c r="BH61" s="53">
        <f t="shared" si="27"/>
        <v>2.046769214</v>
      </c>
      <c r="BI61" s="53">
        <f t="shared" si="27"/>
        <v>1.550582738</v>
      </c>
      <c r="BJ61" s="53">
        <f t="shared" si="27"/>
        <v>0.9303496429</v>
      </c>
      <c r="BK61" s="53">
        <f t="shared" si="27"/>
        <v>0.4341631667</v>
      </c>
      <c r="BL61" s="53">
        <f t="shared" si="27"/>
        <v>0.2480932381</v>
      </c>
    </row>
    <row r="62" ht="15.75" customHeight="1">
      <c r="A62" s="237"/>
      <c r="B62" s="240"/>
      <c r="C62" s="238"/>
      <c r="D62" s="237"/>
      <c r="E62" s="237"/>
      <c r="F62" s="237"/>
      <c r="G62" s="237"/>
      <c r="H62" s="237"/>
      <c r="I62" s="237"/>
      <c r="J62" s="239"/>
      <c r="K62" s="239"/>
      <c r="L62" s="239"/>
      <c r="M62" s="239"/>
      <c r="N62" s="239"/>
      <c r="O62" s="239"/>
      <c r="P62" s="239"/>
      <c r="Q62" s="239"/>
      <c r="R62" s="239"/>
      <c r="S62" s="237"/>
      <c r="T62" s="237"/>
      <c r="U62" s="237"/>
      <c r="V62" s="239"/>
      <c r="W62" s="239"/>
      <c r="X62" s="239"/>
      <c r="Y62" s="239"/>
      <c r="Z62" s="239"/>
      <c r="AA62" s="239"/>
      <c r="AB62" s="239"/>
      <c r="AC62" s="239"/>
      <c r="AD62" s="239"/>
      <c r="AE62" s="217"/>
      <c r="AF62" s="53">
        <v>6.636494119600796</v>
      </c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53">
        <f t="shared" ref="BH62:BL62" si="28">$AF62*BH29</f>
        <v>0.9291091767</v>
      </c>
      <c r="BI62" s="53">
        <f t="shared" si="28"/>
        <v>2.190043059</v>
      </c>
      <c r="BJ62" s="53">
        <f t="shared" si="28"/>
        <v>1.65912353</v>
      </c>
      <c r="BK62" s="53">
        <f t="shared" si="28"/>
        <v>0.9954741179</v>
      </c>
      <c r="BL62" s="53">
        <f t="shared" si="28"/>
        <v>0.4645545884</v>
      </c>
    </row>
    <row r="63" ht="15.75" customHeight="1">
      <c r="A63" s="237"/>
      <c r="B63" s="240"/>
      <c r="C63" s="238"/>
      <c r="D63" s="237"/>
      <c r="E63" s="237"/>
      <c r="F63" s="237"/>
      <c r="G63" s="237"/>
      <c r="H63" s="237"/>
      <c r="I63" s="237"/>
      <c r="J63" s="239"/>
      <c r="K63" s="239"/>
      <c r="L63" s="239"/>
      <c r="M63" s="239"/>
      <c r="N63" s="239"/>
      <c r="O63" s="239"/>
      <c r="P63" s="239"/>
      <c r="Q63" s="239"/>
      <c r="R63" s="239"/>
      <c r="S63" s="237"/>
      <c r="T63" s="237"/>
      <c r="U63" s="237"/>
      <c r="V63" s="239"/>
      <c r="W63" s="239"/>
      <c r="X63" s="239"/>
      <c r="Y63" s="239"/>
      <c r="Z63" s="239"/>
      <c r="AA63" s="239"/>
      <c r="AB63" s="239"/>
      <c r="AC63" s="239"/>
      <c r="AD63" s="239"/>
      <c r="AE63" s="217"/>
      <c r="AF63" s="53">
        <v>7.101048707972852</v>
      </c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53">
        <f t="shared" ref="BI63:BL63" si="29">$AF63*BI30</f>
        <v>0.9941468191</v>
      </c>
      <c r="BJ63" s="53">
        <f t="shared" si="29"/>
        <v>2.343346074</v>
      </c>
      <c r="BK63" s="53">
        <f t="shared" si="29"/>
        <v>1.775262177</v>
      </c>
      <c r="BL63" s="53">
        <f t="shared" si="29"/>
        <v>1.065157306</v>
      </c>
    </row>
    <row r="64" ht="15.75" customHeight="1">
      <c r="A64" s="237"/>
      <c r="B64" s="240"/>
      <c r="C64" s="238"/>
      <c r="D64" s="237"/>
      <c r="E64" s="237"/>
      <c r="F64" s="237"/>
      <c r="G64" s="237"/>
      <c r="H64" s="237"/>
      <c r="I64" s="237"/>
      <c r="J64" s="239"/>
      <c r="K64" s="239"/>
      <c r="L64" s="239"/>
      <c r="M64" s="239"/>
      <c r="N64" s="239"/>
      <c r="O64" s="239"/>
      <c r="P64" s="239"/>
      <c r="Q64" s="239"/>
      <c r="R64" s="239"/>
      <c r="S64" s="237"/>
      <c r="T64" s="237"/>
      <c r="U64" s="237"/>
      <c r="V64" s="239"/>
      <c r="W64" s="239"/>
      <c r="X64" s="239"/>
      <c r="Y64" s="239"/>
      <c r="Z64" s="239"/>
      <c r="AA64" s="239"/>
      <c r="AB64" s="239"/>
      <c r="AC64" s="239"/>
      <c r="AD64" s="239"/>
      <c r="AE64" s="217"/>
      <c r="AF64" s="53">
        <v>7.598122117530952</v>
      </c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53">
        <f t="shared" ref="BJ64:BL64" si="30">$AF64*BJ31</f>
        <v>1.063737096</v>
      </c>
      <c r="BK64" s="53">
        <f t="shared" si="30"/>
        <v>2.507380299</v>
      </c>
      <c r="BL64" s="53">
        <f t="shared" si="30"/>
        <v>1.899530529</v>
      </c>
    </row>
    <row r="65" ht="15.75" customHeight="1">
      <c r="A65" s="237"/>
      <c r="B65" s="240"/>
      <c r="C65" s="238"/>
      <c r="D65" s="237"/>
      <c r="E65" s="237"/>
      <c r="F65" s="237"/>
      <c r="G65" s="237"/>
      <c r="H65" s="237"/>
      <c r="I65" s="237"/>
      <c r="J65" s="239"/>
      <c r="K65" s="239"/>
      <c r="L65" s="239"/>
      <c r="M65" s="239"/>
      <c r="N65" s="239"/>
      <c r="O65" s="239"/>
      <c r="P65" s="239"/>
      <c r="Q65" s="239"/>
      <c r="R65" s="239"/>
      <c r="S65" s="237"/>
      <c r="T65" s="237"/>
      <c r="U65" s="237"/>
      <c r="V65" s="239"/>
      <c r="W65" s="239"/>
      <c r="X65" s="239"/>
      <c r="Y65" s="239"/>
      <c r="Z65" s="239"/>
      <c r="AA65" s="239"/>
      <c r="AB65" s="239"/>
      <c r="AC65" s="239"/>
      <c r="AD65" s="239"/>
      <c r="AE65" s="217"/>
      <c r="AF65" s="53">
        <v>8.12999066575812</v>
      </c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53">
        <f t="shared" ref="BK65:BL65" si="31">$AF65*BK32</f>
        <v>1.138198693</v>
      </c>
      <c r="BL65" s="53">
        <f t="shared" si="31"/>
        <v>2.68289692</v>
      </c>
    </row>
    <row r="66" ht="15.75" customHeight="1">
      <c r="A66" s="237"/>
      <c r="B66" s="240"/>
      <c r="C66" s="238"/>
      <c r="D66" s="242"/>
      <c r="E66" s="242"/>
      <c r="F66" s="242"/>
      <c r="G66" s="242"/>
      <c r="H66" s="242"/>
      <c r="I66" s="242"/>
      <c r="J66" s="243"/>
      <c r="K66" s="243"/>
      <c r="L66" s="243"/>
      <c r="M66" s="243"/>
      <c r="N66" s="243"/>
      <c r="O66" s="244"/>
      <c r="P66" s="244"/>
      <c r="Q66" s="244"/>
      <c r="R66" s="244"/>
      <c r="S66" s="237"/>
      <c r="T66" s="237"/>
      <c r="U66" s="237"/>
      <c r="V66" s="239"/>
      <c r="W66" s="239"/>
      <c r="X66" s="239"/>
      <c r="Y66" s="239"/>
      <c r="Z66" s="239"/>
      <c r="AA66" s="239"/>
      <c r="AB66" s="239"/>
      <c r="AC66" s="239"/>
      <c r="AD66" s="239"/>
      <c r="AE66" s="222"/>
      <c r="AF66" s="53">
        <v>8.69909001236119</v>
      </c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3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53">
        <f>$AF66*BL33</f>
        <v>1.217872602</v>
      </c>
    </row>
    <row r="67" ht="15.75" customHeight="1">
      <c r="A67" s="224" t="s">
        <v>171</v>
      </c>
      <c r="B67" s="225"/>
      <c r="C67" s="225"/>
      <c r="D67" s="245">
        <v>12.0</v>
      </c>
      <c r="E67" s="245">
        <v>7.0</v>
      </c>
      <c r="F67" s="245">
        <v>6.0</v>
      </c>
      <c r="G67" s="245">
        <v>3.0</v>
      </c>
      <c r="H67" s="245">
        <v>3.0</v>
      </c>
      <c r="I67" s="245">
        <v>6.0</v>
      </c>
      <c r="J67" s="245">
        <v>6.0</v>
      </c>
      <c r="K67" s="245">
        <v>13.0</v>
      </c>
      <c r="L67" s="245">
        <v>14.0</v>
      </c>
      <c r="M67" s="245">
        <v>12.0</v>
      </c>
      <c r="N67" s="245">
        <v>1.0</v>
      </c>
      <c r="O67" s="245">
        <v>0.0</v>
      </c>
      <c r="P67" s="140">
        <v>2.0</v>
      </c>
      <c r="Q67" s="140">
        <f>average(M67:P67)</f>
        <v>3.75</v>
      </c>
      <c r="R67" s="140">
        <f>Q67*1.03</f>
        <v>3.8625</v>
      </c>
      <c r="S67" s="140">
        <f t="shared" ref="S67:AD67" si="32">R67*1.07</f>
        <v>4.132875</v>
      </c>
      <c r="T67" s="140">
        <f t="shared" si="32"/>
        <v>4.42217625</v>
      </c>
      <c r="U67" s="140">
        <f t="shared" si="32"/>
        <v>4.731728588</v>
      </c>
      <c r="V67" s="140">
        <f t="shared" si="32"/>
        <v>5.062949589</v>
      </c>
      <c r="W67" s="140">
        <f t="shared" si="32"/>
        <v>5.41735606</v>
      </c>
      <c r="X67" s="140">
        <f t="shared" si="32"/>
        <v>5.796570984</v>
      </c>
      <c r="Y67" s="140">
        <f t="shared" si="32"/>
        <v>6.202330953</v>
      </c>
      <c r="Z67" s="140">
        <f t="shared" si="32"/>
        <v>6.63649412</v>
      </c>
      <c r="AA67" s="140">
        <f t="shared" si="32"/>
        <v>7.101048708</v>
      </c>
      <c r="AB67" s="140">
        <f t="shared" si="32"/>
        <v>7.598122118</v>
      </c>
      <c r="AC67" s="140">
        <f t="shared" si="32"/>
        <v>8.129990666</v>
      </c>
      <c r="AD67" s="140">
        <f t="shared" si="32"/>
        <v>8.699090012</v>
      </c>
      <c r="AE67" s="226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7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9"/>
    </row>
    <row r="68" ht="15.75" customHeight="1">
      <c r="A68" s="230" t="s">
        <v>172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2"/>
      <c r="AF68" s="231"/>
      <c r="AG68" s="60">
        <f t="shared" ref="AG68:BL68" si="33">sum(AG35:AG66)</f>
        <v>0</v>
      </c>
      <c r="AH68" s="60">
        <f t="shared" si="33"/>
        <v>0</v>
      </c>
      <c r="AI68" s="60">
        <f t="shared" si="33"/>
        <v>0</v>
      </c>
      <c r="AJ68" s="60">
        <f t="shared" si="33"/>
        <v>0</v>
      </c>
      <c r="AK68" s="60">
        <f t="shared" si="33"/>
        <v>0</v>
      </c>
      <c r="AL68" s="60">
        <f t="shared" si="33"/>
        <v>1.68</v>
      </c>
      <c r="AM68" s="60">
        <f t="shared" si="33"/>
        <v>4.94</v>
      </c>
      <c r="AN68" s="60">
        <f t="shared" si="33"/>
        <v>6.15</v>
      </c>
      <c r="AO68" s="60">
        <f t="shared" si="33"/>
        <v>5.95</v>
      </c>
      <c r="AP68" s="60">
        <f t="shared" si="33"/>
        <v>4.8</v>
      </c>
      <c r="AQ68" s="60">
        <f t="shared" si="33"/>
        <v>4.45</v>
      </c>
      <c r="AR68" s="60">
        <f t="shared" si="33"/>
        <v>4.96</v>
      </c>
      <c r="AS68" s="60">
        <f t="shared" si="33"/>
        <v>6.34</v>
      </c>
      <c r="AT68" s="60">
        <f t="shared" si="33"/>
        <v>9.1</v>
      </c>
      <c r="AU68" s="60">
        <f t="shared" si="33"/>
        <v>11.05</v>
      </c>
      <c r="AV68" s="60">
        <f t="shared" si="33"/>
        <v>10.27</v>
      </c>
      <c r="AW68" s="60">
        <f t="shared" si="33"/>
        <v>6.7</v>
      </c>
      <c r="AX68" s="60">
        <f t="shared" si="33"/>
        <v>3.95</v>
      </c>
      <c r="AY68" s="60">
        <f t="shared" si="33"/>
        <v>2.995</v>
      </c>
      <c r="AZ68" s="60">
        <f t="shared" si="33"/>
        <v>3.10825</v>
      </c>
      <c r="BA68" s="60">
        <f t="shared" si="33"/>
        <v>3.3707275</v>
      </c>
      <c r="BB68" s="60">
        <f t="shared" si="33"/>
        <v>3.671078425</v>
      </c>
      <c r="BC68" s="60">
        <f t="shared" si="33"/>
        <v>4.076853915</v>
      </c>
      <c r="BD68" s="60">
        <f t="shared" si="33"/>
        <v>4.456133689</v>
      </c>
      <c r="BE68" s="60">
        <f t="shared" si="33"/>
        <v>4.794263047</v>
      </c>
      <c r="BF68" s="60">
        <f t="shared" si="33"/>
        <v>5.12686146</v>
      </c>
      <c r="BG68" s="60">
        <f t="shared" si="33"/>
        <v>5.485741763</v>
      </c>
      <c r="BH68" s="60">
        <f t="shared" si="33"/>
        <v>5.869743686</v>
      </c>
      <c r="BI68" s="60">
        <f t="shared" si="33"/>
        <v>6.280625744</v>
      </c>
      <c r="BJ68" s="60">
        <f t="shared" si="33"/>
        <v>6.720269546</v>
      </c>
      <c r="BK68" s="60">
        <f t="shared" si="33"/>
        <v>7.190688414</v>
      </c>
      <c r="BL68" s="60">
        <f t="shared" si="33"/>
        <v>7.694036603</v>
      </c>
    </row>
    <row r="69" ht="15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233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234">
        <v>10.0</v>
      </c>
      <c r="AX69" s="234">
        <v>3.0</v>
      </c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</row>
    <row r="70" ht="15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233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</row>
    <row r="71" ht="15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233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</row>
    <row r="72" ht="15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23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233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</row>
    <row r="73" ht="15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23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233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</row>
    <row r="74" ht="15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23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233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233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233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</row>
    <row r="77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233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</row>
    <row r="78" ht="15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233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</row>
    <row r="79" ht="15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233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</row>
    <row r="80" ht="15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233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</row>
    <row r="81" ht="15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233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</row>
    <row r="82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233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</row>
    <row r="83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233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</row>
    <row r="84" ht="15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233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</row>
    <row r="85" ht="15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233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</row>
    <row r="86" ht="15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233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</row>
    <row r="87" ht="15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233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</row>
    <row r="88" ht="15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233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</row>
    <row r="89" ht="15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233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</row>
    <row r="90" ht="15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233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</row>
    <row r="91" ht="15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233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</row>
    <row r="92" ht="15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233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</row>
    <row r="93" ht="15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233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</row>
    <row r="94" ht="15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233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</row>
    <row r="95" ht="15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233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</row>
    <row r="96" ht="15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233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</row>
    <row r="97" ht="15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233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</row>
    <row r="98" ht="15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233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</row>
    <row r="99" ht="15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233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</row>
    <row r="100" ht="15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233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</row>
    <row r="101" ht="15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233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</row>
    <row r="102" ht="15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233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</row>
    <row r="103" ht="15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233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</row>
    <row r="104" ht="15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233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</row>
    <row r="105" ht="15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233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</row>
    <row r="106" ht="15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233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</row>
    <row r="107" ht="15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233"/>
      <c r="AF107" s="185"/>
      <c r="AG107" s="185"/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</row>
    <row r="108" ht="15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233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</row>
    <row r="109" ht="15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233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</row>
    <row r="110" ht="15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233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</row>
    <row r="111" ht="15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233"/>
      <c r="AF111" s="185"/>
      <c r="AG111" s="185"/>
      <c r="AH111" s="185"/>
      <c r="AI111" s="185"/>
      <c r="AJ111" s="185"/>
      <c r="AK111" s="185"/>
      <c r="AL111" s="185"/>
      <c r="AM111" s="185"/>
      <c r="AN111" s="185"/>
      <c r="AO111" s="185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</row>
    <row r="112" ht="15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233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</row>
    <row r="113" ht="15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233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</row>
    <row r="114" ht="15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233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</row>
    <row r="115" ht="15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233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185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</row>
    <row r="116" ht="15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233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</row>
    <row r="117" ht="15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233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185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</row>
    <row r="118" ht="15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233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185"/>
      <c r="BI118" s="185"/>
      <c r="BJ118" s="185"/>
      <c r="BK118" s="185"/>
      <c r="BL118" s="185"/>
    </row>
    <row r="119" ht="15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233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5"/>
      <c r="BL119" s="185"/>
    </row>
    <row r="120" ht="15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233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  <c r="BK120" s="185"/>
      <c r="BL120" s="185"/>
    </row>
    <row r="121" ht="15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233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</row>
    <row r="122" ht="15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233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  <c r="BH122" s="185"/>
      <c r="BI122" s="185"/>
      <c r="BJ122" s="185"/>
      <c r="BK122" s="185"/>
      <c r="BL122" s="185"/>
    </row>
    <row r="123" ht="15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233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</row>
    <row r="124" ht="15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233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  <c r="BH124" s="185"/>
      <c r="BI124" s="185"/>
      <c r="BJ124" s="185"/>
      <c r="BK124" s="185"/>
      <c r="BL124" s="185"/>
    </row>
    <row r="125" ht="15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233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</row>
    <row r="126" ht="15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233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</row>
    <row r="127" ht="15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233"/>
      <c r="AF127" s="185"/>
      <c r="AG127" s="185"/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5"/>
    </row>
    <row r="128" ht="15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233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  <c r="BD128" s="185"/>
      <c r="BE128" s="185"/>
      <c r="BF128" s="185"/>
      <c r="BG128" s="185"/>
      <c r="BH128" s="185"/>
      <c r="BI128" s="185"/>
      <c r="BJ128" s="185"/>
      <c r="BK128" s="185"/>
      <c r="BL128" s="185"/>
    </row>
    <row r="129" ht="15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233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5"/>
      <c r="BF129" s="185"/>
      <c r="BG129" s="185"/>
      <c r="BH129" s="185"/>
      <c r="BI129" s="185"/>
      <c r="BJ129" s="185"/>
      <c r="BK129" s="185"/>
      <c r="BL129" s="185"/>
    </row>
    <row r="130" ht="15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233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233"/>
      <c r="AF131" s="185"/>
      <c r="AG131" s="185"/>
      <c r="AH131" s="185"/>
      <c r="AI131" s="185"/>
      <c r="AJ131" s="185"/>
      <c r="AK131" s="185"/>
      <c r="AL131" s="185"/>
      <c r="AM131" s="185"/>
      <c r="AN131" s="185"/>
      <c r="AO131" s="185"/>
      <c r="AP131" s="185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  <c r="BA131" s="185"/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233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  <c r="AP132" s="185"/>
      <c r="AQ132" s="185"/>
      <c r="AR132" s="185"/>
      <c r="AS132" s="185"/>
      <c r="AT132" s="185"/>
      <c r="AU132" s="185"/>
      <c r="AV132" s="185"/>
      <c r="AW132" s="185"/>
      <c r="AX132" s="185"/>
      <c r="AY132" s="185"/>
      <c r="AZ132" s="185"/>
      <c r="BA132" s="185"/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233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233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233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233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5"/>
      <c r="AP136" s="185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233"/>
      <c r="AF137" s="185"/>
      <c r="AG137" s="185"/>
      <c r="AH137" s="185"/>
      <c r="AI137" s="185"/>
      <c r="AJ137" s="185"/>
      <c r="AK137" s="185"/>
      <c r="AL137" s="185"/>
      <c r="AM137" s="185"/>
      <c r="AN137" s="185"/>
      <c r="AO137" s="185"/>
      <c r="AP137" s="185"/>
      <c r="AQ137" s="185"/>
      <c r="AR137" s="185"/>
      <c r="AS137" s="185"/>
      <c r="AT137" s="185"/>
      <c r="AU137" s="185"/>
      <c r="AV137" s="185"/>
      <c r="AW137" s="185"/>
      <c r="AX137" s="185"/>
      <c r="AY137" s="185"/>
      <c r="AZ137" s="185"/>
      <c r="BA137" s="185"/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233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/>
      <c r="AT138" s="185"/>
      <c r="AU138" s="185"/>
      <c r="AV138" s="185"/>
      <c r="AW138" s="185"/>
      <c r="AX138" s="185"/>
      <c r="AY138" s="185"/>
      <c r="AZ138" s="185"/>
      <c r="BA138" s="185"/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233"/>
      <c r="AF139" s="185"/>
      <c r="AG139" s="185"/>
      <c r="AH139" s="185"/>
      <c r="AI139" s="185"/>
      <c r="AJ139" s="185"/>
      <c r="AK139" s="185"/>
      <c r="AL139" s="185"/>
      <c r="AM139" s="185"/>
      <c r="AN139" s="185"/>
      <c r="AO139" s="185"/>
      <c r="AP139" s="185"/>
      <c r="AQ139" s="185"/>
      <c r="AR139" s="185"/>
      <c r="AS139" s="185"/>
      <c r="AT139" s="185"/>
      <c r="AU139" s="185"/>
      <c r="AV139" s="185"/>
      <c r="AW139" s="185"/>
      <c r="AX139" s="185"/>
      <c r="AY139" s="185"/>
      <c r="AZ139" s="185"/>
      <c r="BA139" s="185"/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233"/>
      <c r="AF140" s="185"/>
      <c r="AG140" s="185"/>
      <c r="AH140" s="185"/>
      <c r="AI140" s="185"/>
      <c r="AJ140" s="185"/>
      <c r="AK140" s="185"/>
      <c r="AL140" s="185"/>
      <c r="AM140" s="185"/>
      <c r="AN140" s="185"/>
      <c r="AO140" s="185"/>
      <c r="AP140" s="185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233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233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233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  <c r="AP143" s="185"/>
      <c r="AQ143" s="185"/>
      <c r="AR143" s="185"/>
      <c r="AS143" s="185"/>
      <c r="AT143" s="185"/>
      <c r="AU143" s="185"/>
      <c r="AV143" s="185"/>
      <c r="AW143" s="185"/>
      <c r="AX143" s="185"/>
      <c r="AY143" s="185"/>
      <c r="AZ143" s="185"/>
      <c r="BA143" s="185"/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233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  <c r="AP144" s="185"/>
      <c r="AQ144" s="185"/>
      <c r="AR144" s="185"/>
      <c r="AS144" s="185"/>
      <c r="AT144" s="185"/>
      <c r="AU144" s="185"/>
      <c r="AV144" s="185"/>
      <c r="AW144" s="185"/>
      <c r="AX144" s="185"/>
      <c r="AY144" s="185"/>
      <c r="AZ144" s="185"/>
      <c r="BA144" s="185"/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233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/>
      <c r="AT145" s="185"/>
      <c r="AU145" s="185"/>
      <c r="AV145" s="185"/>
      <c r="AW145" s="185"/>
      <c r="AX145" s="185"/>
      <c r="AY145" s="185"/>
      <c r="AZ145" s="185"/>
      <c r="BA145" s="185"/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233"/>
      <c r="AF146" s="185"/>
      <c r="AG146" s="185"/>
      <c r="AH146" s="185"/>
      <c r="AI146" s="185"/>
      <c r="AJ146" s="185"/>
      <c r="AK146" s="185"/>
      <c r="AL146" s="185"/>
      <c r="AM146" s="185"/>
      <c r="AN146" s="185"/>
      <c r="AO146" s="185"/>
      <c r="AP146" s="185"/>
      <c r="AQ146" s="185"/>
      <c r="AR146" s="185"/>
      <c r="AS146" s="185"/>
      <c r="AT146" s="185"/>
      <c r="AU146" s="185"/>
      <c r="AV146" s="185"/>
      <c r="AW146" s="185"/>
      <c r="AX146" s="185"/>
      <c r="AY146" s="185"/>
      <c r="AZ146" s="185"/>
      <c r="BA146" s="185"/>
      <c r="BB146" s="185"/>
      <c r="BC146" s="185"/>
      <c r="BD146" s="185"/>
      <c r="BE146" s="185"/>
      <c r="BF146" s="185"/>
      <c r="BG146" s="185"/>
      <c r="BH146" s="185"/>
      <c r="BI146" s="185"/>
      <c r="BJ146" s="185"/>
      <c r="BK146" s="185"/>
      <c r="BL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233"/>
      <c r="AF147" s="185"/>
      <c r="AG147" s="185"/>
      <c r="AH147" s="185"/>
      <c r="AI147" s="185"/>
      <c r="AJ147" s="185"/>
      <c r="AK147" s="185"/>
      <c r="AL147" s="185"/>
      <c r="AM147" s="185"/>
      <c r="AN147" s="185"/>
      <c r="AO147" s="185"/>
      <c r="AP147" s="185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  <c r="BA147" s="185"/>
      <c r="BB147" s="185"/>
      <c r="BC147" s="185"/>
      <c r="BD147" s="185"/>
      <c r="BE147" s="185"/>
      <c r="BF147" s="185"/>
      <c r="BG147" s="185"/>
      <c r="BH147" s="185"/>
      <c r="BI147" s="185"/>
      <c r="BJ147" s="185"/>
      <c r="BK147" s="185"/>
      <c r="BL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233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  <c r="AP148" s="185"/>
      <c r="AQ148" s="185"/>
      <c r="AR148" s="185"/>
      <c r="AS148" s="185"/>
      <c r="AT148" s="185"/>
      <c r="AU148" s="185"/>
      <c r="AV148" s="185"/>
      <c r="AW148" s="185"/>
      <c r="AX148" s="185"/>
      <c r="AY148" s="185"/>
      <c r="AZ148" s="185"/>
      <c r="BA148" s="185"/>
      <c r="BB148" s="185"/>
      <c r="BC148" s="185"/>
      <c r="BD148" s="185"/>
      <c r="BE148" s="185"/>
      <c r="BF148" s="185"/>
      <c r="BG148" s="185"/>
      <c r="BH148" s="185"/>
      <c r="BI148" s="185"/>
      <c r="BJ148" s="185"/>
      <c r="BK148" s="185"/>
      <c r="BL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233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185"/>
      <c r="BD149" s="185"/>
      <c r="BE149" s="185"/>
      <c r="BF149" s="185"/>
      <c r="BG149" s="185"/>
      <c r="BH149" s="185"/>
      <c r="BI149" s="185"/>
      <c r="BJ149" s="185"/>
      <c r="BK149" s="185"/>
      <c r="BL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233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185"/>
      <c r="BE150" s="185"/>
      <c r="BF150" s="185"/>
      <c r="BG150" s="185"/>
      <c r="BH150" s="185"/>
      <c r="BI150" s="185"/>
      <c r="BJ150" s="185"/>
      <c r="BK150" s="185"/>
      <c r="BL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233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5"/>
      <c r="BF151" s="185"/>
      <c r="BG151" s="185"/>
      <c r="BH151" s="185"/>
      <c r="BI151" s="185"/>
      <c r="BJ151" s="185"/>
      <c r="BK151" s="185"/>
      <c r="BL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233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185"/>
      <c r="BE152" s="185"/>
      <c r="BF152" s="185"/>
      <c r="BG152" s="185"/>
      <c r="BH152" s="185"/>
      <c r="BI152" s="185"/>
      <c r="BJ152" s="185"/>
      <c r="BK152" s="185"/>
      <c r="BL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233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185"/>
      <c r="BE153" s="185"/>
      <c r="BF153" s="185"/>
      <c r="BG153" s="185"/>
      <c r="BH153" s="185"/>
      <c r="BI153" s="185"/>
      <c r="BJ153" s="185"/>
      <c r="BK153" s="185"/>
      <c r="BL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233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185"/>
      <c r="BE154" s="185"/>
      <c r="BF154" s="185"/>
      <c r="BG154" s="185"/>
      <c r="BH154" s="185"/>
      <c r="BI154" s="185"/>
      <c r="BJ154" s="185"/>
      <c r="BK154" s="185"/>
      <c r="BL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233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185"/>
      <c r="BE155" s="185"/>
      <c r="BF155" s="185"/>
      <c r="BG155" s="185"/>
      <c r="BH155" s="185"/>
      <c r="BI155" s="185"/>
      <c r="BJ155" s="185"/>
      <c r="BK155" s="185"/>
      <c r="BL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233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233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185"/>
      <c r="BE157" s="185"/>
      <c r="BF157" s="185"/>
      <c r="BG157" s="185"/>
      <c r="BH157" s="185"/>
      <c r="BI157" s="185"/>
      <c r="BJ157" s="185"/>
      <c r="BK157" s="185"/>
      <c r="BL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233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185"/>
      <c r="BE158" s="185"/>
      <c r="BF158" s="185"/>
      <c r="BG158" s="185"/>
      <c r="BH158" s="185"/>
      <c r="BI158" s="185"/>
      <c r="BJ158" s="185"/>
      <c r="BK158" s="185"/>
      <c r="BL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233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185"/>
      <c r="BE159" s="185"/>
      <c r="BF159" s="185"/>
      <c r="BG159" s="185"/>
      <c r="BH159" s="185"/>
      <c r="BI159" s="185"/>
      <c r="BJ159" s="185"/>
      <c r="BK159" s="185"/>
      <c r="BL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233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185"/>
      <c r="BE160" s="185"/>
      <c r="BF160" s="185"/>
      <c r="BG160" s="185"/>
      <c r="BH160" s="185"/>
      <c r="BI160" s="185"/>
      <c r="BJ160" s="185"/>
      <c r="BK160" s="185"/>
      <c r="BL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233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5"/>
      <c r="BF161" s="185"/>
      <c r="BG161" s="185"/>
      <c r="BH161" s="185"/>
      <c r="BI161" s="185"/>
      <c r="BJ161" s="185"/>
      <c r="BK161" s="185"/>
      <c r="BL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233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233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233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233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233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233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233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233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233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233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233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233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233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233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233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233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233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185"/>
      <c r="BE178" s="185"/>
      <c r="BF178" s="185"/>
      <c r="BG178" s="185"/>
      <c r="BH178" s="185"/>
      <c r="BI178" s="185"/>
      <c r="BJ178" s="185"/>
      <c r="BK178" s="185"/>
      <c r="BL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233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185"/>
      <c r="BI179" s="185"/>
      <c r="BJ179" s="185"/>
      <c r="BK179" s="185"/>
      <c r="BL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233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185"/>
      <c r="BI180" s="185"/>
      <c r="BJ180" s="185"/>
      <c r="BK180" s="185"/>
      <c r="BL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233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5"/>
      <c r="BF181" s="185"/>
      <c r="BG181" s="185"/>
      <c r="BH181" s="185"/>
      <c r="BI181" s="185"/>
      <c r="BJ181" s="185"/>
      <c r="BK181" s="185"/>
      <c r="BL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233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185"/>
      <c r="BI182" s="185"/>
      <c r="BJ182" s="185"/>
      <c r="BK182" s="185"/>
      <c r="BL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233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185"/>
      <c r="BI183" s="185"/>
      <c r="BJ183" s="185"/>
      <c r="BK183" s="185"/>
      <c r="BL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233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185"/>
      <c r="BI184" s="185"/>
      <c r="BJ184" s="185"/>
      <c r="BK184" s="185"/>
      <c r="BL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233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233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233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185"/>
      <c r="BE187" s="185"/>
      <c r="BF187" s="185"/>
      <c r="BG187" s="185"/>
      <c r="BH187" s="185"/>
      <c r="BI187" s="185"/>
      <c r="BJ187" s="185"/>
      <c r="BK187" s="185"/>
      <c r="BL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233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185"/>
      <c r="BE188" s="185"/>
      <c r="BF188" s="185"/>
      <c r="BG188" s="185"/>
      <c r="BH188" s="185"/>
      <c r="BI188" s="185"/>
      <c r="BJ188" s="185"/>
      <c r="BK188" s="185"/>
      <c r="BL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233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185"/>
      <c r="BE189" s="185"/>
      <c r="BF189" s="185"/>
      <c r="BG189" s="185"/>
      <c r="BH189" s="185"/>
      <c r="BI189" s="185"/>
      <c r="BJ189" s="185"/>
      <c r="BK189" s="185"/>
      <c r="BL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233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185"/>
      <c r="BE190" s="185"/>
      <c r="BF190" s="185"/>
      <c r="BG190" s="185"/>
      <c r="BH190" s="185"/>
      <c r="BI190" s="185"/>
      <c r="BJ190" s="185"/>
      <c r="BK190" s="185"/>
      <c r="BL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233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5"/>
      <c r="BF191" s="185"/>
      <c r="BG191" s="185"/>
      <c r="BH191" s="185"/>
      <c r="BI191" s="185"/>
      <c r="BJ191" s="185"/>
      <c r="BK191" s="185"/>
      <c r="BL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233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185"/>
      <c r="BE192" s="185"/>
      <c r="BF192" s="185"/>
      <c r="BG192" s="185"/>
      <c r="BH192" s="185"/>
      <c r="BI192" s="185"/>
      <c r="BJ192" s="185"/>
      <c r="BK192" s="185"/>
      <c r="BL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233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185"/>
      <c r="BE193" s="185"/>
      <c r="BF193" s="185"/>
      <c r="BG193" s="185"/>
      <c r="BH193" s="185"/>
      <c r="BI193" s="185"/>
      <c r="BJ193" s="185"/>
      <c r="BK193" s="185"/>
      <c r="BL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233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233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233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233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233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233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233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</row>
    <row r="201" ht="15.7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233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185"/>
      <c r="BE201" s="185"/>
      <c r="BF201" s="185"/>
      <c r="BG201" s="185"/>
      <c r="BH201" s="185"/>
      <c r="BI201" s="185"/>
      <c r="BJ201" s="185"/>
      <c r="BK201" s="185"/>
      <c r="BL201" s="185"/>
    </row>
    <row r="202" ht="15.7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233"/>
      <c r="AF202" s="185"/>
      <c r="AG202" s="185"/>
      <c r="AH202" s="185"/>
      <c r="AI202" s="185"/>
      <c r="AJ202" s="185"/>
      <c r="AK202" s="185"/>
      <c r="AL202" s="185"/>
      <c r="AM202" s="185"/>
      <c r="AN202" s="185"/>
      <c r="AO202" s="185"/>
      <c r="AP202" s="185"/>
      <c r="AQ202" s="185"/>
      <c r="AR202" s="185"/>
      <c r="AS202" s="185"/>
      <c r="AT202" s="185"/>
      <c r="AU202" s="185"/>
      <c r="AV202" s="185"/>
      <c r="AW202" s="185"/>
      <c r="AX202" s="185"/>
      <c r="AY202" s="185"/>
      <c r="AZ202" s="185"/>
      <c r="BA202" s="185"/>
      <c r="BB202" s="185"/>
      <c r="BC202" s="185"/>
      <c r="BD202" s="185"/>
      <c r="BE202" s="185"/>
      <c r="BF202" s="185"/>
      <c r="BG202" s="185"/>
      <c r="BH202" s="185"/>
      <c r="BI202" s="185"/>
      <c r="BJ202" s="185"/>
      <c r="BK202" s="185"/>
      <c r="BL202" s="185"/>
    </row>
    <row r="203" ht="15.7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233"/>
      <c r="AF203" s="185"/>
      <c r="AG203" s="185"/>
      <c r="AH203" s="185"/>
      <c r="AI203" s="185"/>
      <c r="AJ203" s="185"/>
      <c r="AK203" s="185"/>
      <c r="AL203" s="185"/>
      <c r="AM203" s="185"/>
      <c r="AN203" s="185"/>
      <c r="AO203" s="185"/>
      <c r="AP203" s="185"/>
      <c r="AQ203" s="185"/>
      <c r="AR203" s="185"/>
      <c r="AS203" s="185"/>
      <c r="AT203" s="185"/>
      <c r="AU203" s="185"/>
      <c r="AV203" s="185"/>
      <c r="AW203" s="185"/>
      <c r="AX203" s="185"/>
      <c r="AY203" s="185"/>
      <c r="AZ203" s="185"/>
      <c r="BA203" s="185"/>
      <c r="BB203" s="185"/>
      <c r="BC203" s="185"/>
      <c r="BD203" s="185"/>
      <c r="BE203" s="185"/>
      <c r="BF203" s="185"/>
      <c r="BG203" s="185"/>
      <c r="BH203" s="185"/>
      <c r="BI203" s="185"/>
      <c r="BJ203" s="185"/>
      <c r="BK203" s="185"/>
      <c r="BL203" s="185"/>
    </row>
    <row r="204" ht="15.7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233"/>
      <c r="AF204" s="185"/>
      <c r="AG204" s="185"/>
      <c r="AH204" s="185"/>
      <c r="AI204" s="185"/>
      <c r="AJ204" s="185"/>
      <c r="AK204" s="185"/>
      <c r="AL204" s="185"/>
      <c r="AM204" s="185"/>
      <c r="AN204" s="185"/>
      <c r="AO204" s="185"/>
      <c r="AP204" s="185"/>
      <c r="AQ204" s="185"/>
      <c r="AR204" s="185"/>
      <c r="AS204" s="185"/>
      <c r="AT204" s="185"/>
      <c r="AU204" s="185"/>
      <c r="AV204" s="185"/>
      <c r="AW204" s="185"/>
      <c r="AX204" s="185"/>
      <c r="AY204" s="185"/>
      <c r="AZ204" s="185"/>
      <c r="BA204" s="185"/>
      <c r="BB204" s="185"/>
      <c r="BC204" s="185"/>
      <c r="BD204" s="185"/>
      <c r="BE204" s="185"/>
      <c r="BF204" s="185"/>
      <c r="BG204" s="185"/>
      <c r="BH204" s="185"/>
      <c r="BI204" s="185"/>
      <c r="BJ204" s="185"/>
      <c r="BK204" s="185"/>
      <c r="BL204" s="185"/>
    </row>
    <row r="205" ht="15.7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233"/>
      <c r="AF205" s="185"/>
      <c r="AG205" s="185"/>
      <c r="AH205" s="185"/>
      <c r="AI205" s="185"/>
      <c r="AJ205" s="185"/>
      <c r="AK205" s="185"/>
      <c r="AL205" s="185"/>
      <c r="AM205" s="185"/>
      <c r="AN205" s="185"/>
      <c r="AO205" s="185"/>
      <c r="AP205" s="185"/>
      <c r="AQ205" s="185"/>
      <c r="AR205" s="185"/>
      <c r="AS205" s="185"/>
      <c r="AT205" s="185"/>
      <c r="AU205" s="185"/>
      <c r="AV205" s="185"/>
      <c r="AW205" s="185"/>
      <c r="AX205" s="185"/>
      <c r="AY205" s="185"/>
      <c r="AZ205" s="185"/>
      <c r="BA205" s="185"/>
      <c r="BB205" s="185"/>
      <c r="BC205" s="185"/>
      <c r="BD205" s="185"/>
      <c r="BE205" s="185"/>
      <c r="BF205" s="185"/>
      <c r="BG205" s="185"/>
      <c r="BH205" s="185"/>
      <c r="BI205" s="185"/>
      <c r="BJ205" s="185"/>
      <c r="BK205" s="185"/>
      <c r="BL205" s="185"/>
    </row>
    <row r="206" ht="15.7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233"/>
      <c r="AF206" s="185"/>
      <c r="AG206" s="185"/>
      <c r="AH206" s="185"/>
      <c r="AI206" s="185"/>
      <c r="AJ206" s="185"/>
      <c r="AK206" s="185"/>
      <c r="AL206" s="185"/>
      <c r="AM206" s="185"/>
      <c r="AN206" s="185"/>
      <c r="AO206" s="185"/>
      <c r="AP206" s="185"/>
      <c r="AQ206" s="185"/>
      <c r="AR206" s="185"/>
      <c r="AS206" s="185"/>
      <c r="AT206" s="185"/>
      <c r="AU206" s="185"/>
      <c r="AV206" s="185"/>
      <c r="AW206" s="185"/>
      <c r="AX206" s="185"/>
      <c r="AY206" s="185"/>
      <c r="AZ206" s="185"/>
      <c r="BA206" s="185"/>
      <c r="BB206" s="185"/>
      <c r="BC206" s="185"/>
      <c r="BD206" s="185"/>
      <c r="BE206" s="185"/>
      <c r="BF206" s="185"/>
      <c r="BG206" s="185"/>
      <c r="BH206" s="185"/>
      <c r="BI206" s="185"/>
      <c r="BJ206" s="185"/>
      <c r="BK206" s="185"/>
      <c r="BL206" s="185"/>
    </row>
    <row r="207" ht="15.7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233"/>
      <c r="AF207" s="185"/>
      <c r="AG207" s="185"/>
      <c r="AH207" s="185"/>
      <c r="AI207" s="185"/>
      <c r="AJ207" s="185"/>
      <c r="AK207" s="185"/>
      <c r="AL207" s="185"/>
      <c r="AM207" s="185"/>
      <c r="AN207" s="185"/>
      <c r="AO207" s="185"/>
      <c r="AP207" s="185"/>
      <c r="AQ207" s="185"/>
      <c r="AR207" s="185"/>
      <c r="AS207" s="185"/>
      <c r="AT207" s="185"/>
      <c r="AU207" s="185"/>
      <c r="AV207" s="185"/>
      <c r="AW207" s="185"/>
      <c r="AX207" s="185"/>
      <c r="AY207" s="185"/>
      <c r="AZ207" s="185"/>
      <c r="BA207" s="185"/>
      <c r="BB207" s="185"/>
      <c r="BC207" s="185"/>
      <c r="BD207" s="185"/>
      <c r="BE207" s="185"/>
      <c r="BF207" s="185"/>
      <c r="BG207" s="185"/>
      <c r="BH207" s="185"/>
      <c r="BI207" s="185"/>
      <c r="BJ207" s="185"/>
      <c r="BK207" s="185"/>
      <c r="BL207" s="185"/>
    </row>
    <row r="208" ht="15.7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233"/>
      <c r="AF208" s="185"/>
      <c r="AG208" s="185"/>
      <c r="AH208" s="185"/>
      <c r="AI208" s="185"/>
      <c r="AJ208" s="185"/>
      <c r="AK208" s="185"/>
      <c r="AL208" s="185"/>
      <c r="AM208" s="185"/>
      <c r="AN208" s="185"/>
      <c r="AO208" s="185"/>
      <c r="AP208" s="185"/>
      <c r="AQ208" s="185"/>
      <c r="AR208" s="185"/>
      <c r="AS208" s="185"/>
      <c r="AT208" s="185"/>
      <c r="AU208" s="185"/>
      <c r="AV208" s="185"/>
      <c r="AW208" s="185"/>
      <c r="AX208" s="185"/>
      <c r="AY208" s="185"/>
      <c r="AZ208" s="185"/>
      <c r="BA208" s="185"/>
      <c r="BB208" s="185"/>
      <c r="BC208" s="185"/>
      <c r="BD208" s="185"/>
      <c r="BE208" s="185"/>
      <c r="BF208" s="185"/>
      <c r="BG208" s="185"/>
      <c r="BH208" s="185"/>
      <c r="BI208" s="185"/>
      <c r="BJ208" s="185"/>
      <c r="BK208" s="185"/>
      <c r="BL208" s="185"/>
    </row>
    <row r="209" ht="15.7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233"/>
      <c r="AF209" s="185"/>
      <c r="AG209" s="185"/>
      <c r="AH209" s="185"/>
      <c r="AI209" s="185"/>
      <c r="AJ209" s="185"/>
      <c r="AK209" s="185"/>
      <c r="AL209" s="185"/>
      <c r="AM209" s="185"/>
      <c r="AN209" s="185"/>
      <c r="AO209" s="185"/>
      <c r="AP209" s="185"/>
      <c r="AQ209" s="185"/>
      <c r="AR209" s="185"/>
      <c r="AS209" s="185"/>
      <c r="AT209" s="185"/>
      <c r="AU209" s="185"/>
      <c r="AV209" s="185"/>
      <c r="AW209" s="185"/>
      <c r="AX209" s="185"/>
      <c r="AY209" s="185"/>
      <c r="AZ209" s="185"/>
      <c r="BA209" s="185"/>
      <c r="BB209" s="185"/>
      <c r="BC209" s="185"/>
      <c r="BD209" s="185"/>
      <c r="BE209" s="185"/>
      <c r="BF209" s="185"/>
      <c r="BG209" s="185"/>
      <c r="BH209" s="185"/>
      <c r="BI209" s="185"/>
      <c r="BJ209" s="185"/>
      <c r="BK209" s="185"/>
      <c r="BL209" s="185"/>
    </row>
    <row r="210" ht="15.7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233"/>
      <c r="AF210" s="185"/>
      <c r="AG210" s="185"/>
      <c r="AH210" s="185"/>
      <c r="AI210" s="185"/>
      <c r="AJ210" s="185"/>
      <c r="AK210" s="185"/>
      <c r="AL210" s="185"/>
      <c r="AM210" s="185"/>
      <c r="AN210" s="185"/>
      <c r="AO210" s="185"/>
      <c r="AP210" s="185"/>
      <c r="AQ210" s="185"/>
      <c r="AR210" s="185"/>
      <c r="AS210" s="185"/>
      <c r="AT210" s="185"/>
      <c r="AU210" s="185"/>
      <c r="AV210" s="185"/>
      <c r="AW210" s="185"/>
      <c r="AX210" s="185"/>
      <c r="AY210" s="185"/>
      <c r="AZ210" s="185"/>
      <c r="BA210" s="185"/>
      <c r="BB210" s="185"/>
      <c r="BC210" s="185"/>
      <c r="BD210" s="185"/>
      <c r="BE210" s="185"/>
      <c r="BF210" s="185"/>
      <c r="BG210" s="185"/>
      <c r="BH210" s="185"/>
      <c r="BI210" s="185"/>
      <c r="BJ210" s="185"/>
      <c r="BK210" s="185"/>
      <c r="BL210" s="185"/>
    </row>
    <row r="211" ht="15.7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233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  <c r="BA211" s="185"/>
      <c r="BB211" s="185"/>
      <c r="BC211" s="185"/>
      <c r="BD211" s="185"/>
      <c r="BE211" s="185"/>
      <c r="BF211" s="185"/>
      <c r="BG211" s="185"/>
      <c r="BH211" s="185"/>
      <c r="BI211" s="185"/>
      <c r="BJ211" s="185"/>
      <c r="BK211" s="185"/>
      <c r="BL211" s="185"/>
    </row>
    <row r="212" ht="15.7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233"/>
      <c r="AF212" s="185"/>
      <c r="AG212" s="185"/>
      <c r="AH212" s="185"/>
      <c r="AI212" s="185"/>
      <c r="AJ212" s="185"/>
      <c r="AK212" s="185"/>
      <c r="AL212" s="185"/>
      <c r="AM212" s="185"/>
      <c r="AN212" s="185"/>
      <c r="AO212" s="185"/>
      <c r="AP212" s="185"/>
      <c r="AQ212" s="185"/>
      <c r="AR212" s="185"/>
      <c r="AS212" s="185"/>
      <c r="AT212" s="185"/>
      <c r="AU212" s="185"/>
      <c r="AV212" s="185"/>
      <c r="AW212" s="185"/>
      <c r="AX212" s="185"/>
      <c r="AY212" s="185"/>
      <c r="AZ212" s="185"/>
      <c r="BA212" s="185"/>
      <c r="BB212" s="185"/>
      <c r="BC212" s="185"/>
      <c r="BD212" s="185"/>
      <c r="BE212" s="185"/>
      <c r="BF212" s="185"/>
      <c r="BG212" s="185"/>
      <c r="BH212" s="185"/>
      <c r="BI212" s="185"/>
      <c r="BJ212" s="185"/>
      <c r="BK212" s="185"/>
      <c r="BL212" s="185"/>
    </row>
    <row r="213" ht="15.7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233"/>
      <c r="AF213" s="185"/>
      <c r="AG213" s="185"/>
      <c r="AH213" s="185"/>
      <c r="AI213" s="185"/>
      <c r="AJ213" s="185"/>
      <c r="AK213" s="185"/>
      <c r="AL213" s="185"/>
      <c r="AM213" s="185"/>
      <c r="AN213" s="185"/>
      <c r="AO213" s="185"/>
      <c r="AP213" s="185"/>
      <c r="AQ213" s="185"/>
      <c r="AR213" s="185"/>
      <c r="AS213" s="185"/>
      <c r="AT213" s="185"/>
      <c r="AU213" s="185"/>
      <c r="AV213" s="185"/>
      <c r="AW213" s="185"/>
      <c r="AX213" s="185"/>
      <c r="AY213" s="185"/>
      <c r="AZ213" s="185"/>
      <c r="BA213" s="185"/>
      <c r="BB213" s="185"/>
      <c r="BC213" s="185"/>
      <c r="BD213" s="185"/>
      <c r="BE213" s="185"/>
      <c r="BF213" s="185"/>
      <c r="BG213" s="185"/>
      <c r="BH213" s="185"/>
      <c r="BI213" s="185"/>
      <c r="BJ213" s="185"/>
      <c r="BK213" s="185"/>
      <c r="BL213" s="185"/>
    </row>
    <row r="214" ht="15.7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233"/>
      <c r="AF214" s="185"/>
      <c r="AG214" s="185"/>
      <c r="AH214" s="185"/>
      <c r="AI214" s="185"/>
      <c r="AJ214" s="185"/>
      <c r="AK214" s="185"/>
      <c r="AL214" s="185"/>
      <c r="AM214" s="185"/>
      <c r="AN214" s="185"/>
      <c r="AO214" s="185"/>
      <c r="AP214" s="185"/>
      <c r="AQ214" s="185"/>
      <c r="AR214" s="185"/>
      <c r="AS214" s="185"/>
      <c r="AT214" s="185"/>
      <c r="AU214" s="185"/>
      <c r="AV214" s="185"/>
      <c r="AW214" s="185"/>
      <c r="AX214" s="185"/>
      <c r="AY214" s="185"/>
      <c r="AZ214" s="185"/>
      <c r="BA214" s="185"/>
      <c r="BB214" s="185"/>
      <c r="BC214" s="185"/>
      <c r="BD214" s="185"/>
      <c r="BE214" s="185"/>
      <c r="BF214" s="185"/>
      <c r="BG214" s="185"/>
      <c r="BH214" s="185"/>
      <c r="BI214" s="185"/>
      <c r="BJ214" s="185"/>
      <c r="BK214" s="185"/>
      <c r="BL214" s="185"/>
    </row>
    <row r="215" ht="15.7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233"/>
      <c r="AF215" s="185"/>
      <c r="AG215" s="185"/>
      <c r="AH215" s="185"/>
      <c r="AI215" s="185"/>
      <c r="AJ215" s="185"/>
      <c r="AK215" s="185"/>
      <c r="AL215" s="185"/>
      <c r="AM215" s="185"/>
      <c r="AN215" s="185"/>
      <c r="AO215" s="185"/>
      <c r="AP215" s="185"/>
      <c r="AQ215" s="185"/>
      <c r="AR215" s="185"/>
      <c r="AS215" s="185"/>
      <c r="AT215" s="185"/>
      <c r="AU215" s="185"/>
      <c r="AV215" s="185"/>
      <c r="AW215" s="185"/>
      <c r="AX215" s="185"/>
      <c r="AY215" s="185"/>
      <c r="AZ215" s="185"/>
      <c r="BA215" s="185"/>
      <c r="BB215" s="185"/>
      <c r="BC215" s="185"/>
      <c r="BD215" s="185"/>
      <c r="BE215" s="185"/>
      <c r="BF215" s="185"/>
      <c r="BG215" s="185"/>
      <c r="BH215" s="185"/>
      <c r="BI215" s="185"/>
      <c r="BJ215" s="185"/>
      <c r="BK215" s="185"/>
      <c r="BL215" s="185"/>
    </row>
    <row r="216" ht="15.7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233"/>
      <c r="AF216" s="185"/>
      <c r="AG216" s="185"/>
      <c r="AH216" s="185"/>
      <c r="AI216" s="185"/>
      <c r="AJ216" s="185"/>
      <c r="AK216" s="185"/>
      <c r="AL216" s="185"/>
      <c r="AM216" s="185"/>
      <c r="AN216" s="185"/>
      <c r="AO216" s="185"/>
      <c r="AP216" s="185"/>
      <c r="AQ216" s="185"/>
      <c r="AR216" s="185"/>
      <c r="AS216" s="185"/>
      <c r="AT216" s="185"/>
      <c r="AU216" s="185"/>
      <c r="AV216" s="185"/>
      <c r="AW216" s="185"/>
      <c r="AX216" s="185"/>
      <c r="AY216" s="185"/>
      <c r="AZ216" s="185"/>
      <c r="BA216" s="185"/>
      <c r="BB216" s="185"/>
      <c r="BC216" s="185"/>
      <c r="BD216" s="185"/>
      <c r="BE216" s="185"/>
      <c r="BF216" s="185"/>
      <c r="BG216" s="185"/>
      <c r="BH216" s="185"/>
      <c r="BI216" s="185"/>
      <c r="BJ216" s="185"/>
      <c r="BK216" s="185"/>
      <c r="BL216" s="185"/>
    </row>
    <row r="217" ht="15.7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233"/>
      <c r="AF217" s="185"/>
      <c r="AG217" s="185"/>
      <c r="AH217" s="185"/>
      <c r="AI217" s="185"/>
      <c r="AJ217" s="185"/>
      <c r="AK217" s="185"/>
      <c r="AL217" s="185"/>
      <c r="AM217" s="185"/>
      <c r="AN217" s="185"/>
      <c r="AO217" s="185"/>
      <c r="AP217" s="185"/>
      <c r="AQ217" s="185"/>
      <c r="AR217" s="185"/>
      <c r="AS217" s="185"/>
      <c r="AT217" s="185"/>
      <c r="AU217" s="185"/>
      <c r="AV217" s="185"/>
      <c r="AW217" s="185"/>
      <c r="AX217" s="185"/>
      <c r="AY217" s="185"/>
      <c r="AZ217" s="185"/>
      <c r="BA217" s="185"/>
      <c r="BB217" s="185"/>
      <c r="BC217" s="185"/>
      <c r="BD217" s="185"/>
      <c r="BE217" s="185"/>
      <c r="BF217" s="185"/>
      <c r="BG217" s="185"/>
      <c r="BH217" s="185"/>
      <c r="BI217" s="185"/>
      <c r="BJ217" s="185"/>
      <c r="BK217" s="185"/>
      <c r="BL217" s="185"/>
    </row>
    <row r="218" ht="15.7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233"/>
      <c r="AF218" s="185"/>
      <c r="AG218" s="185"/>
      <c r="AH218" s="185"/>
      <c r="AI218" s="185"/>
      <c r="AJ218" s="185"/>
      <c r="AK218" s="185"/>
      <c r="AL218" s="185"/>
      <c r="AM218" s="185"/>
      <c r="AN218" s="185"/>
      <c r="AO218" s="185"/>
      <c r="AP218" s="185"/>
      <c r="AQ218" s="185"/>
      <c r="AR218" s="185"/>
      <c r="AS218" s="185"/>
      <c r="AT218" s="185"/>
      <c r="AU218" s="185"/>
      <c r="AV218" s="185"/>
      <c r="AW218" s="185"/>
      <c r="AX218" s="185"/>
      <c r="AY218" s="185"/>
      <c r="AZ218" s="185"/>
      <c r="BA218" s="185"/>
      <c r="BB218" s="185"/>
      <c r="BC218" s="185"/>
      <c r="BD218" s="185"/>
      <c r="BE218" s="185"/>
      <c r="BF218" s="185"/>
      <c r="BG218" s="185"/>
      <c r="BH218" s="185"/>
      <c r="BI218" s="185"/>
      <c r="BJ218" s="185"/>
      <c r="BK218" s="185"/>
      <c r="BL218" s="185"/>
    </row>
    <row r="219" ht="15.7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233"/>
      <c r="AF219" s="185"/>
      <c r="AG219" s="185"/>
      <c r="AH219" s="185"/>
      <c r="AI219" s="185"/>
      <c r="AJ219" s="185"/>
      <c r="AK219" s="185"/>
      <c r="AL219" s="185"/>
      <c r="AM219" s="185"/>
      <c r="AN219" s="185"/>
      <c r="AO219" s="185"/>
      <c r="AP219" s="185"/>
      <c r="AQ219" s="185"/>
      <c r="AR219" s="185"/>
      <c r="AS219" s="185"/>
      <c r="AT219" s="185"/>
      <c r="AU219" s="185"/>
      <c r="AV219" s="185"/>
      <c r="AW219" s="185"/>
      <c r="AX219" s="185"/>
      <c r="AY219" s="185"/>
      <c r="AZ219" s="185"/>
      <c r="BA219" s="185"/>
      <c r="BB219" s="185"/>
      <c r="BC219" s="185"/>
      <c r="BD219" s="185"/>
      <c r="BE219" s="185"/>
      <c r="BF219" s="185"/>
      <c r="BG219" s="185"/>
      <c r="BH219" s="185"/>
      <c r="BI219" s="185"/>
      <c r="BJ219" s="185"/>
      <c r="BK219" s="185"/>
      <c r="BL219" s="185"/>
    </row>
    <row r="220" ht="15.7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233"/>
      <c r="AF220" s="185"/>
      <c r="AG220" s="185"/>
      <c r="AH220" s="185"/>
      <c r="AI220" s="185"/>
      <c r="AJ220" s="185"/>
      <c r="AK220" s="185"/>
      <c r="AL220" s="185"/>
      <c r="AM220" s="185"/>
      <c r="AN220" s="185"/>
      <c r="AO220" s="185"/>
      <c r="AP220" s="185"/>
      <c r="AQ220" s="185"/>
      <c r="AR220" s="185"/>
      <c r="AS220" s="185"/>
      <c r="AT220" s="185"/>
      <c r="AU220" s="185"/>
      <c r="AV220" s="185"/>
      <c r="AW220" s="185"/>
      <c r="AX220" s="185"/>
      <c r="AY220" s="185"/>
      <c r="AZ220" s="185"/>
      <c r="BA220" s="185"/>
      <c r="BB220" s="185"/>
      <c r="BC220" s="185"/>
      <c r="BD220" s="185"/>
      <c r="BE220" s="185"/>
      <c r="BF220" s="185"/>
      <c r="BG220" s="185"/>
      <c r="BH220" s="185"/>
      <c r="BI220" s="185"/>
      <c r="BJ220" s="185"/>
      <c r="BK220" s="185"/>
      <c r="BL220" s="185"/>
    </row>
    <row r="221" ht="15.7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233"/>
      <c r="AF221" s="185"/>
      <c r="AG221" s="185"/>
      <c r="AH221" s="185"/>
      <c r="AI221" s="185"/>
      <c r="AJ221" s="185"/>
      <c r="AK221" s="185"/>
      <c r="AL221" s="185"/>
      <c r="AM221" s="185"/>
      <c r="AN221" s="185"/>
      <c r="AO221" s="185"/>
      <c r="AP221" s="185"/>
      <c r="AQ221" s="185"/>
      <c r="AR221" s="185"/>
      <c r="AS221" s="185"/>
      <c r="AT221" s="185"/>
      <c r="AU221" s="185"/>
      <c r="AV221" s="185"/>
      <c r="AW221" s="185"/>
      <c r="AX221" s="185"/>
      <c r="AY221" s="185"/>
      <c r="AZ221" s="185"/>
      <c r="BA221" s="185"/>
      <c r="BB221" s="185"/>
      <c r="BC221" s="185"/>
      <c r="BD221" s="185"/>
      <c r="BE221" s="185"/>
      <c r="BF221" s="185"/>
      <c r="BG221" s="185"/>
      <c r="BH221" s="185"/>
      <c r="BI221" s="185"/>
      <c r="BJ221" s="185"/>
      <c r="BK221" s="185"/>
      <c r="BL221" s="185"/>
    </row>
    <row r="222" ht="15.7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233"/>
      <c r="AF222" s="185"/>
      <c r="AG222" s="185"/>
      <c r="AH222" s="185"/>
      <c r="AI222" s="185"/>
      <c r="AJ222" s="185"/>
      <c r="AK222" s="185"/>
      <c r="AL222" s="185"/>
      <c r="AM222" s="185"/>
      <c r="AN222" s="185"/>
      <c r="AO222" s="185"/>
      <c r="AP222" s="185"/>
      <c r="AQ222" s="185"/>
      <c r="AR222" s="185"/>
      <c r="AS222" s="185"/>
      <c r="AT222" s="185"/>
      <c r="AU222" s="185"/>
      <c r="AV222" s="185"/>
      <c r="AW222" s="185"/>
      <c r="AX222" s="185"/>
      <c r="AY222" s="185"/>
      <c r="AZ222" s="185"/>
      <c r="BA222" s="185"/>
      <c r="BB222" s="185"/>
      <c r="BC222" s="185"/>
      <c r="BD222" s="185"/>
      <c r="BE222" s="185"/>
      <c r="BF222" s="185"/>
      <c r="BG222" s="185"/>
      <c r="BH222" s="185"/>
      <c r="BI222" s="185"/>
      <c r="BJ222" s="185"/>
      <c r="BK222" s="185"/>
      <c r="BL222" s="185"/>
    </row>
    <row r="223" ht="15.7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233"/>
      <c r="AF223" s="185"/>
      <c r="AG223" s="185"/>
      <c r="AH223" s="185"/>
      <c r="AI223" s="185"/>
      <c r="AJ223" s="185"/>
      <c r="AK223" s="185"/>
      <c r="AL223" s="185"/>
      <c r="AM223" s="185"/>
      <c r="AN223" s="185"/>
      <c r="AO223" s="185"/>
      <c r="AP223" s="185"/>
      <c r="AQ223" s="185"/>
      <c r="AR223" s="185"/>
      <c r="AS223" s="185"/>
      <c r="AT223" s="185"/>
      <c r="AU223" s="185"/>
      <c r="AV223" s="185"/>
      <c r="AW223" s="185"/>
      <c r="AX223" s="185"/>
      <c r="AY223" s="185"/>
      <c r="AZ223" s="185"/>
      <c r="BA223" s="185"/>
      <c r="BB223" s="185"/>
      <c r="BC223" s="185"/>
      <c r="BD223" s="185"/>
      <c r="BE223" s="185"/>
      <c r="BF223" s="185"/>
      <c r="BG223" s="185"/>
      <c r="BH223" s="185"/>
      <c r="BI223" s="185"/>
      <c r="BJ223" s="185"/>
      <c r="BK223" s="185"/>
      <c r="BL223" s="185"/>
    </row>
    <row r="224" ht="15.7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233"/>
      <c r="AF224" s="185"/>
      <c r="AG224" s="185"/>
      <c r="AH224" s="185"/>
      <c r="AI224" s="185"/>
      <c r="AJ224" s="185"/>
      <c r="AK224" s="185"/>
      <c r="AL224" s="185"/>
      <c r="AM224" s="185"/>
      <c r="AN224" s="185"/>
      <c r="AO224" s="185"/>
      <c r="AP224" s="185"/>
      <c r="AQ224" s="185"/>
      <c r="AR224" s="185"/>
      <c r="AS224" s="185"/>
      <c r="AT224" s="185"/>
      <c r="AU224" s="185"/>
      <c r="AV224" s="185"/>
      <c r="AW224" s="185"/>
      <c r="AX224" s="185"/>
      <c r="AY224" s="185"/>
      <c r="AZ224" s="185"/>
      <c r="BA224" s="185"/>
      <c r="BB224" s="185"/>
      <c r="BC224" s="185"/>
      <c r="BD224" s="185"/>
      <c r="BE224" s="185"/>
      <c r="BF224" s="185"/>
      <c r="BG224" s="185"/>
      <c r="BH224" s="185"/>
      <c r="BI224" s="185"/>
      <c r="BJ224" s="185"/>
      <c r="BK224" s="185"/>
      <c r="BL224" s="185"/>
    </row>
    <row r="225" ht="15.7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233"/>
      <c r="AF225" s="185"/>
      <c r="AG225" s="185"/>
      <c r="AH225" s="185"/>
      <c r="AI225" s="185"/>
      <c r="AJ225" s="185"/>
      <c r="AK225" s="185"/>
      <c r="AL225" s="185"/>
      <c r="AM225" s="185"/>
      <c r="AN225" s="185"/>
      <c r="AO225" s="185"/>
      <c r="AP225" s="185"/>
      <c r="AQ225" s="185"/>
      <c r="AR225" s="185"/>
      <c r="AS225" s="185"/>
      <c r="AT225" s="185"/>
      <c r="AU225" s="185"/>
      <c r="AV225" s="185"/>
      <c r="AW225" s="185"/>
      <c r="AX225" s="185"/>
      <c r="AY225" s="185"/>
      <c r="AZ225" s="185"/>
      <c r="BA225" s="185"/>
      <c r="BB225" s="185"/>
      <c r="BC225" s="185"/>
      <c r="BD225" s="185"/>
      <c r="BE225" s="185"/>
      <c r="BF225" s="185"/>
      <c r="BG225" s="185"/>
      <c r="BH225" s="185"/>
      <c r="BI225" s="185"/>
      <c r="BJ225" s="185"/>
      <c r="BK225" s="185"/>
      <c r="BL225" s="185"/>
    </row>
    <row r="226" ht="15.7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233"/>
      <c r="AF226" s="185"/>
      <c r="AG226" s="185"/>
      <c r="AH226" s="185"/>
      <c r="AI226" s="185"/>
      <c r="AJ226" s="185"/>
      <c r="AK226" s="185"/>
      <c r="AL226" s="185"/>
      <c r="AM226" s="185"/>
      <c r="AN226" s="185"/>
      <c r="AO226" s="185"/>
      <c r="AP226" s="185"/>
      <c r="AQ226" s="185"/>
      <c r="AR226" s="185"/>
      <c r="AS226" s="185"/>
      <c r="AT226" s="185"/>
      <c r="AU226" s="185"/>
      <c r="AV226" s="185"/>
      <c r="AW226" s="185"/>
      <c r="AX226" s="185"/>
      <c r="AY226" s="185"/>
      <c r="AZ226" s="185"/>
      <c r="BA226" s="185"/>
      <c r="BB226" s="185"/>
      <c r="BC226" s="185"/>
      <c r="BD226" s="185"/>
      <c r="BE226" s="185"/>
      <c r="BF226" s="185"/>
      <c r="BG226" s="185"/>
      <c r="BH226" s="185"/>
      <c r="BI226" s="185"/>
      <c r="BJ226" s="185"/>
      <c r="BK226" s="185"/>
      <c r="BL226" s="185"/>
    </row>
    <row r="227" ht="15.7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233"/>
      <c r="AF227" s="185"/>
      <c r="AG227" s="185"/>
      <c r="AH227" s="185"/>
      <c r="AI227" s="185"/>
      <c r="AJ227" s="185"/>
      <c r="AK227" s="185"/>
      <c r="AL227" s="185"/>
      <c r="AM227" s="185"/>
      <c r="AN227" s="185"/>
      <c r="AO227" s="185"/>
      <c r="AP227" s="185"/>
      <c r="AQ227" s="185"/>
      <c r="AR227" s="185"/>
      <c r="AS227" s="185"/>
      <c r="AT227" s="185"/>
      <c r="AU227" s="185"/>
      <c r="AV227" s="185"/>
      <c r="AW227" s="185"/>
      <c r="AX227" s="185"/>
      <c r="AY227" s="185"/>
      <c r="AZ227" s="185"/>
      <c r="BA227" s="185"/>
      <c r="BB227" s="185"/>
      <c r="BC227" s="185"/>
      <c r="BD227" s="185"/>
      <c r="BE227" s="185"/>
      <c r="BF227" s="185"/>
      <c r="BG227" s="185"/>
      <c r="BH227" s="185"/>
      <c r="BI227" s="185"/>
      <c r="BJ227" s="185"/>
      <c r="BK227" s="185"/>
      <c r="BL227" s="185"/>
    </row>
    <row r="228" ht="15.7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233"/>
      <c r="AF228" s="185"/>
      <c r="AG228" s="185"/>
      <c r="AH228" s="185"/>
      <c r="AI228" s="185"/>
      <c r="AJ228" s="185"/>
      <c r="AK228" s="185"/>
      <c r="AL228" s="185"/>
      <c r="AM228" s="185"/>
      <c r="AN228" s="185"/>
      <c r="AO228" s="185"/>
      <c r="AP228" s="185"/>
      <c r="AQ228" s="185"/>
      <c r="AR228" s="185"/>
      <c r="AS228" s="185"/>
      <c r="AT228" s="185"/>
      <c r="AU228" s="185"/>
      <c r="AV228" s="185"/>
      <c r="AW228" s="185"/>
      <c r="AX228" s="185"/>
      <c r="AY228" s="185"/>
      <c r="AZ228" s="185"/>
      <c r="BA228" s="185"/>
      <c r="BB228" s="185"/>
      <c r="BC228" s="185"/>
      <c r="BD228" s="185"/>
      <c r="BE228" s="185"/>
      <c r="BF228" s="185"/>
      <c r="BG228" s="185"/>
      <c r="BH228" s="185"/>
      <c r="BI228" s="185"/>
      <c r="BJ228" s="185"/>
      <c r="BK228" s="185"/>
      <c r="BL228" s="185"/>
    </row>
    <row r="229" ht="15.7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233"/>
      <c r="AF229" s="185"/>
      <c r="AG229" s="185"/>
      <c r="AH229" s="185"/>
      <c r="AI229" s="185"/>
      <c r="AJ229" s="185"/>
      <c r="AK229" s="185"/>
      <c r="AL229" s="185"/>
      <c r="AM229" s="185"/>
      <c r="AN229" s="185"/>
      <c r="AO229" s="185"/>
      <c r="AP229" s="185"/>
      <c r="AQ229" s="185"/>
      <c r="AR229" s="185"/>
      <c r="AS229" s="185"/>
      <c r="AT229" s="185"/>
      <c r="AU229" s="185"/>
      <c r="AV229" s="185"/>
      <c r="AW229" s="185"/>
      <c r="AX229" s="185"/>
      <c r="AY229" s="185"/>
      <c r="AZ229" s="185"/>
      <c r="BA229" s="185"/>
      <c r="BB229" s="185"/>
      <c r="BC229" s="185"/>
      <c r="BD229" s="185"/>
      <c r="BE229" s="185"/>
      <c r="BF229" s="185"/>
      <c r="BG229" s="185"/>
      <c r="BH229" s="185"/>
      <c r="BI229" s="185"/>
      <c r="BJ229" s="185"/>
      <c r="BK229" s="185"/>
      <c r="BL229" s="185"/>
    </row>
    <row r="230" ht="15.7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233"/>
      <c r="AF230" s="185"/>
      <c r="AG230" s="185"/>
      <c r="AH230" s="185"/>
      <c r="AI230" s="185"/>
      <c r="AJ230" s="185"/>
      <c r="AK230" s="185"/>
      <c r="AL230" s="185"/>
      <c r="AM230" s="185"/>
      <c r="AN230" s="185"/>
      <c r="AO230" s="185"/>
      <c r="AP230" s="185"/>
      <c r="AQ230" s="185"/>
      <c r="AR230" s="185"/>
      <c r="AS230" s="185"/>
      <c r="AT230" s="185"/>
      <c r="AU230" s="185"/>
      <c r="AV230" s="185"/>
      <c r="AW230" s="185"/>
      <c r="AX230" s="185"/>
      <c r="AY230" s="185"/>
      <c r="AZ230" s="185"/>
      <c r="BA230" s="185"/>
      <c r="BB230" s="185"/>
      <c r="BC230" s="185"/>
      <c r="BD230" s="185"/>
      <c r="BE230" s="185"/>
      <c r="BF230" s="185"/>
      <c r="BG230" s="185"/>
      <c r="BH230" s="185"/>
      <c r="BI230" s="185"/>
      <c r="BJ230" s="185"/>
      <c r="BK230" s="185"/>
      <c r="BL230" s="185"/>
    </row>
    <row r="231" ht="15.7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233"/>
      <c r="AF231" s="185"/>
      <c r="AG231" s="185"/>
      <c r="AH231" s="185"/>
      <c r="AI231" s="185"/>
      <c r="AJ231" s="185"/>
      <c r="AK231" s="185"/>
      <c r="AL231" s="185"/>
      <c r="AM231" s="185"/>
      <c r="AN231" s="185"/>
      <c r="AO231" s="185"/>
      <c r="AP231" s="185"/>
      <c r="AQ231" s="185"/>
      <c r="AR231" s="185"/>
      <c r="AS231" s="185"/>
      <c r="AT231" s="185"/>
      <c r="AU231" s="185"/>
      <c r="AV231" s="185"/>
      <c r="AW231" s="185"/>
      <c r="AX231" s="185"/>
      <c r="AY231" s="185"/>
      <c r="AZ231" s="185"/>
      <c r="BA231" s="185"/>
      <c r="BB231" s="185"/>
      <c r="BC231" s="185"/>
      <c r="BD231" s="185"/>
      <c r="BE231" s="185"/>
      <c r="BF231" s="185"/>
      <c r="BG231" s="185"/>
      <c r="BH231" s="185"/>
      <c r="BI231" s="185"/>
      <c r="BJ231" s="185"/>
      <c r="BK231" s="185"/>
      <c r="BL231" s="185"/>
    </row>
    <row r="232" ht="15.7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233"/>
      <c r="AF232" s="185"/>
      <c r="AG232" s="185"/>
      <c r="AH232" s="185"/>
      <c r="AI232" s="185"/>
      <c r="AJ232" s="185"/>
      <c r="AK232" s="185"/>
      <c r="AL232" s="185"/>
      <c r="AM232" s="185"/>
      <c r="AN232" s="185"/>
      <c r="AO232" s="185"/>
      <c r="AP232" s="185"/>
      <c r="AQ232" s="185"/>
      <c r="AR232" s="185"/>
      <c r="AS232" s="185"/>
      <c r="AT232" s="185"/>
      <c r="AU232" s="185"/>
      <c r="AV232" s="185"/>
      <c r="AW232" s="185"/>
      <c r="AX232" s="185"/>
      <c r="AY232" s="185"/>
      <c r="AZ232" s="185"/>
      <c r="BA232" s="185"/>
      <c r="BB232" s="185"/>
      <c r="BC232" s="185"/>
      <c r="BD232" s="185"/>
      <c r="BE232" s="185"/>
      <c r="BF232" s="185"/>
      <c r="BG232" s="185"/>
      <c r="BH232" s="185"/>
      <c r="BI232" s="185"/>
      <c r="BJ232" s="185"/>
      <c r="BK232" s="185"/>
      <c r="BL232" s="185"/>
    </row>
    <row r="233" ht="15.7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233"/>
      <c r="AF233" s="185"/>
      <c r="AG233" s="185"/>
      <c r="AH233" s="185"/>
      <c r="AI233" s="185"/>
      <c r="AJ233" s="185"/>
      <c r="AK233" s="185"/>
      <c r="AL233" s="185"/>
      <c r="AM233" s="185"/>
      <c r="AN233" s="185"/>
      <c r="AO233" s="185"/>
      <c r="AP233" s="185"/>
      <c r="AQ233" s="185"/>
      <c r="AR233" s="185"/>
      <c r="AS233" s="185"/>
      <c r="AT233" s="185"/>
      <c r="AU233" s="185"/>
      <c r="AV233" s="185"/>
      <c r="AW233" s="185"/>
      <c r="AX233" s="185"/>
      <c r="AY233" s="185"/>
      <c r="AZ233" s="185"/>
      <c r="BA233" s="185"/>
      <c r="BB233" s="185"/>
      <c r="BC233" s="185"/>
      <c r="BD233" s="185"/>
      <c r="BE233" s="185"/>
      <c r="BF233" s="185"/>
      <c r="BG233" s="185"/>
      <c r="BH233" s="185"/>
      <c r="BI233" s="185"/>
      <c r="BJ233" s="185"/>
      <c r="BK233" s="185"/>
      <c r="BL233" s="185"/>
    </row>
    <row r="234" ht="15.7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233"/>
      <c r="AF234" s="185"/>
      <c r="AG234" s="185"/>
      <c r="AH234" s="185"/>
      <c r="AI234" s="185"/>
      <c r="AJ234" s="185"/>
      <c r="AK234" s="185"/>
      <c r="AL234" s="185"/>
      <c r="AM234" s="185"/>
      <c r="AN234" s="185"/>
      <c r="AO234" s="185"/>
      <c r="AP234" s="185"/>
      <c r="AQ234" s="185"/>
      <c r="AR234" s="185"/>
      <c r="AS234" s="185"/>
      <c r="AT234" s="185"/>
      <c r="AU234" s="185"/>
      <c r="AV234" s="185"/>
      <c r="AW234" s="185"/>
      <c r="AX234" s="185"/>
      <c r="AY234" s="185"/>
      <c r="AZ234" s="185"/>
      <c r="BA234" s="185"/>
      <c r="BB234" s="185"/>
      <c r="BC234" s="185"/>
      <c r="BD234" s="185"/>
      <c r="BE234" s="185"/>
      <c r="BF234" s="185"/>
      <c r="BG234" s="185"/>
      <c r="BH234" s="185"/>
      <c r="BI234" s="185"/>
      <c r="BJ234" s="185"/>
      <c r="BK234" s="185"/>
      <c r="BL234" s="185"/>
    </row>
    <row r="235" ht="15.7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233"/>
      <c r="AF235" s="185"/>
      <c r="AG235" s="185"/>
      <c r="AH235" s="185"/>
      <c r="AI235" s="185"/>
      <c r="AJ235" s="185"/>
      <c r="AK235" s="185"/>
      <c r="AL235" s="185"/>
      <c r="AM235" s="185"/>
      <c r="AN235" s="185"/>
      <c r="AO235" s="185"/>
      <c r="AP235" s="185"/>
      <c r="AQ235" s="185"/>
      <c r="AR235" s="185"/>
      <c r="AS235" s="185"/>
      <c r="AT235" s="185"/>
      <c r="AU235" s="185"/>
      <c r="AV235" s="185"/>
      <c r="AW235" s="185"/>
      <c r="AX235" s="185"/>
      <c r="AY235" s="185"/>
      <c r="AZ235" s="185"/>
      <c r="BA235" s="185"/>
      <c r="BB235" s="185"/>
      <c r="BC235" s="185"/>
      <c r="BD235" s="185"/>
      <c r="BE235" s="185"/>
      <c r="BF235" s="185"/>
      <c r="BG235" s="185"/>
      <c r="BH235" s="185"/>
      <c r="BI235" s="185"/>
      <c r="BJ235" s="185"/>
      <c r="BK235" s="185"/>
      <c r="BL235" s="185"/>
    </row>
    <row r="236" ht="15.7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233"/>
      <c r="AF236" s="185"/>
      <c r="AG236" s="185"/>
      <c r="AH236" s="185"/>
      <c r="AI236" s="185"/>
      <c r="AJ236" s="185"/>
      <c r="AK236" s="185"/>
      <c r="AL236" s="185"/>
      <c r="AM236" s="185"/>
      <c r="AN236" s="185"/>
      <c r="AO236" s="185"/>
      <c r="AP236" s="185"/>
      <c r="AQ236" s="185"/>
      <c r="AR236" s="185"/>
      <c r="AS236" s="185"/>
      <c r="AT236" s="185"/>
      <c r="AU236" s="185"/>
      <c r="AV236" s="185"/>
      <c r="AW236" s="185"/>
      <c r="AX236" s="185"/>
      <c r="AY236" s="185"/>
      <c r="AZ236" s="185"/>
      <c r="BA236" s="185"/>
      <c r="BB236" s="185"/>
      <c r="BC236" s="185"/>
      <c r="BD236" s="185"/>
      <c r="BE236" s="185"/>
      <c r="BF236" s="185"/>
      <c r="BG236" s="185"/>
      <c r="BH236" s="185"/>
      <c r="BI236" s="185"/>
      <c r="BJ236" s="185"/>
      <c r="BK236" s="185"/>
      <c r="BL236" s="185"/>
    </row>
    <row r="237" ht="15.7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233"/>
      <c r="AF237" s="185"/>
      <c r="AG237" s="185"/>
      <c r="AH237" s="185"/>
      <c r="AI237" s="185"/>
      <c r="AJ237" s="185"/>
      <c r="AK237" s="185"/>
      <c r="AL237" s="185"/>
      <c r="AM237" s="185"/>
      <c r="AN237" s="185"/>
      <c r="AO237" s="185"/>
      <c r="AP237" s="185"/>
      <c r="AQ237" s="185"/>
      <c r="AR237" s="185"/>
      <c r="AS237" s="185"/>
      <c r="AT237" s="185"/>
      <c r="AU237" s="185"/>
      <c r="AV237" s="185"/>
      <c r="AW237" s="185"/>
      <c r="AX237" s="185"/>
      <c r="AY237" s="185"/>
      <c r="AZ237" s="185"/>
      <c r="BA237" s="185"/>
      <c r="BB237" s="185"/>
      <c r="BC237" s="185"/>
      <c r="BD237" s="185"/>
      <c r="BE237" s="185"/>
      <c r="BF237" s="185"/>
      <c r="BG237" s="185"/>
      <c r="BH237" s="185"/>
      <c r="BI237" s="185"/>
      <c r="BJ237" s="185"/>
      <c r="BK237" s="185"/>
      <c r="BL237" s="185"/>
    </row>
    <row r="238" ht="15.7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233"/>
      <c r="AF238" s="185"/>
      <c r="AG238" s="185"/>
      <c r="AH238" s="185"/>
      <c r="AI238" s="185"/>
      <c r="AJ238" s="185"/>
      <c r="AK238" s="185"/>
      <c r="AL238" s="185"/>
      <c r="AM238" s="185"/>
      <c r="AN238" s="185"/>
      <c r="AO238" s="185"/>
      <c r="AP238" s="185"/>
      <c r="AQ238" s="185"/>
      <c r="AR238" s="185"/>
      <c r="AS238" s="185"/>
      <c r="AT238" s="185"/>
      <c r="AU238" s="185"/>
      <c r="AV238" s="185"/>
      <c r="AW238" s="185"/>
      <c r="AX238" s="185"/>
      <c r="AY238" s="185"/>
      <c r="AZ238" s="185"/>
      <c r="BA238" s="185"/>
      <c r="BB238" s="185"/>
      <c r="BC238" s="185"/>
      <c r="BD238" s="185"/>
      <c r="BE238" s="185"/>
      <c r="BF238" s="185"/>
      <c r="BG238" s="185"/>
      <c r="BH238" s="185"/>
      <c r="BI238" s="185"/>
      <c r="BJ238" s="185"/>
      <c r="BK238" s="185"/>
      <c r="BL238" s="185"/>
    </row>
    <row r="239" ht="15.7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233"/>
      <c r="AF239" s="185"/>
      <c r="AG239" s="185"/>
      <c r="AH239" s="185"/>
      <c r="AI239" s="185"/>
      <c r="AJ239" s="185"/>
      <c r="AK239" s="185"/>
      <c r="AL239" s="185"/>
      <c r="AM239" s="185"/>
      <c r="AN239" s="185"/>
      <c r="AO239" s="185"/>
      <c r="AP239" s="185"/>
      <c r="AQ239" s="185"/>
      <c r="AR239" s="185"/>
      <c r="AS239" s="185"/>
      <c r="AT239" s="185"/>
      <c r="AU239" s="185"/>
      <c r="AV239" s="185"/>
      <c r="AW239" s="185"/>
      <c r="AX239" s="185"/>
      <c r="AY239" s="185"/>
      <c r="AZ239" s="185"/>
      <c r="BA239" s="185"/>
      <c r="BB239" s="185"/>
      <c r="BC239" s="185"/>
      <c r="BD239" s="185"/>
      <c r="BE239" s="185"/>
      <c r="BF239" s="185"/>
      <c r="BG239" s="185"/>
      <c r="BH239" s="185"/>
      <c r="BI239" s="185"/>
      <c r="BJ239" s="185"/>
      <c r="BK239" s="185"/>
      <c r="BL239" s="185"/>
    </row>
    <row r="240" ht="15.7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233"/>
      <c r="AF240" s="185"/>
      <c r="AG240" s="185"/>
      <c r="AH240" s="185"/>
      <c r="AI240" s="185"/>
      <c r="AJ240" s="185"/>
      <c r="AK240" s="185"/>
      <c r="AL240" s="185"/>
      <c r="AM240" s="185"/>
      <c r="AN240" s="185"/>
      <c r="AO240" s="185"/>
      <c r="AP240" s="185"/>
      <c r="AQ240" s="185"/>
      <c r="AR240" s="185"/>
      <c r="AS240" s="185"/>
      <c r="AT240" s="185"/>
      <c r="AU240" s="185"/>
      <c r="AV240" s="185"/>
      <c r="AW240" s="185"/>
      <c r="AX240" s="185"/>
      <c r="AY240" s="185"/>
      <c r="AZ240" s="185"/>
      <c r="BA240" s="185"/>
      <c r="BB240" s="185"/>
      <c r="BC240" s="185"/>
      <c r="BD240" s="185"/>
      <c r="BE240" s="185"/>
      <c r="BF240" s="185"/>
      <c r="BG240" s="185"/>
      <c r="BH240" s="185"/>
      <c r="BI240" s="185"/>
      <c r="BJ240" s="185"/>
      <c r="BK240" s="185"/>
      <c r="BL240" s="185"/>
    </row>
    <row r="241" ht="15.7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233"/>
      <c r="AF241" s="185"/>
      <c r="AG241" s="185"/>
      <c r="AH241" s="185"/>
      <c r="AI241" s="185"/>
      <c r="AJ241" s="185"/>
      <c r="AK241" s="185"/>
      <c r="AL241" s="185"/>
      <c r="AM241" s="185"/>
      <c r="AN241" s="185"/>
      <c r="AO241" s="185"/>
      <c r="AP241" s="185"/>
      <c r="AQ241" s="185"/>
      <c r="AR241" s="185"/>
      <c r="AS241" s="185"/>
      <c r="AT241" s="185"/>
      <c r="AU241" s="185"/>
      <c r="AV241" s="185"/>
      <c r="AW241" s="185"/>
      <c r="AX241" s="185"/>
      <c r="AY241" s="185"/>
      <c r="AZ241" s="185"/>
      <c r="BA241" s="185"/>
      <c r="BB241" s="185"/>
      <c r="BC241" s="185"/>
      <c r="BD241" s="185"/>
      <c r="BE241" s="185"/>
      <c r="BF241" s="185"/>
      <c r="BG241" s="185"/>
      <c r="BH241" s="185"/>
      <c r="BI241" s="185"/>
      <c r="BJ241" s="185"/>
      <c r="BK241" s="185"/>
      <c r="BL241" s="185"/>
    </row>
    <row r="242" ht="15.7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233"/>
      <c r="AF242" s="185"/>
      <c r="AG242" s="185"/>
      <c r="AH242" s="185"/>
      <c r="AI242" s="185"/>
      <c r="AJ242" s="185"/>
      <c r="AK242" s="185"/>
      <c r="AL242" s="185"/>
      <c r="AM242" s="185"/>
      <c r="AN242" s="185"/>
      <c r="AO242" s="185"/>
      <c r="AP242" s="185"/>
      <c r="AQ242" s="185"/>
      <c r="AR242" s="185"/>
      <c r="AS242" s="185"/>
      <c r="AT242" s="185"/>
      <c r="AU242" s="185"/>
      <c r="AV242" s="185"/>
      <c r="AW242" s="185"/>
      <c r="AX242" s="185"/>
      <c r="AY242" s="185"/>
      <c r="AZ242" s="185"/>
      <c r="BA242" s="185"/>
      <c r="BB242" s="185"/>
      <c r="BC242" s="185"/>
      <c r="BD242" s="185"/>
      <c r="BE242" s="185"/>
      <c r="BF242" s="185"/>
      <c r="BG242" s="185"/>
      <c r="BH242" s="185"/>
      <c r="BI242" s="185"/>
      <c r="BJ242" s="185"/>
      <c r="BK242" s="185"/>
      <c r="BL242" s="185"/>
    </row>
    <row r="243" ht="15.7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233"/>
      <c r="AF243" s="185"/>
      <c r="AG243" s="185"/>
      <c r="AH243" s="185"/>
      <c r="AI243" s="185"/>
      <c r="AJ243" s="185"/>
      <c r="AK243" s="185"/>
      <c r="AL243" s="185"/>
      <c r="AM243" s="185"/>
      <c r="AN243" s="185"/>
      <c r="AO243" s="185"/>
      <c r="AP243" s="185"/>
      <c r="AQ243" s="185"/>
      <c r="AR243" s="185"/>
      <c r="AS243" s="185"/>
      <c r="AT243" s="185"/>
      <c r="AU243" s="185"/>
      <c r="AV243" s="185"/>
      <c r="AW243" s="185"/>
      <c r="AX243" s="185"/>
      <c r="AY243" s="185"/>
      <c r="AZ243" s="185"/>
      <c r="BA243" s="185"/>
      <c r="BB243" s="185"/>
      <c r="BC243" s="185"/>
      <c r="BD243" s="185"/>
      <c r="BE243" s="185"/>
      <c r="BF243" s="185"/>
      <c r="BG243" s="185"/>
      <c r="BH243" s="185"/>
      <c r="BI243" s="185"/>
      <c r="BJ243" s="185"/>
      <c r="BK243" s="185"/>
      <c r="BL243" s="185"/>
    </row>
    <row r="244" ht="15.7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233"/>
      <c r="AF244" s="185"/>
      <c r="AG244" s="185"/>
      <c r="AH244" s="185"/>
      <c r="AI244" s="185"/>
      <c r="AJ244" s="185"/>
      <c r="AK244" s="185"/>
      <c r="AL244" s="185"/>
      <c r="AM244" s="185"/>
      <c r="AN244" s="185"/>
      <c r="AO244" s="185"/>
      <c r="AP244" s="185"/>
      <c r="AQ244" s="185"/>
      <c r="AR244" s="185"/>
      <c r="AS244" s="185"/>
      <c r="AT244" s="185"/>
      <c r="AU244" s="185"/>
      <c r="AV244" s="185"/>
      <c r="AW244" s="185"/>
      <c r="AX244" s="185"/>
      <c r="AY244" s="185"/>
      <c r="AZ244" s="185"/>
      <c r="BA244" s="185"/>
      <c r="BB244" s="185"/>
      <c r="BC244" s="185"/>
      <c r="BD244" s="185"/>
      <c r="BE244" s="185"/>
      <c r="BF244" s="185"/>
      <c r="BG244" s="185"/>
      <c r="BH244" s="185"/>
      <c r="BI244" s="185"/>
      <c r="BJ244" s="185"/>
      <c r="BK244" s="185"/>
      <c r="BL244" s="185"/>
    </row>
    <row r="245" ht="15.7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233"/>
      <c r="AF245" s="185"/>
      <c r="AG245" s="185"/>
      <c r="AH245" s="185"/>
      <c r="AI245" s="185"/>
      <c r="AJ245" s="185"/>
      <c r="AK245" s="185"/>
      <c r="AL245" s="185"/>
      <c r="AM245" s="185"/>
      <c r="AN245" s="185"/>
      <c r="AO245" s="185"/>
      <c r="AP245" s="185"/>
      <c r="AQ245" s="185"/>
      <c r="AR245" s="185"/>
      <c r="AS245" s="185"/>
      <c r="AT245" s="185"/>
      <c r="AU245" s="185"/>
      <c r="AV245" s="185"/>
      <c r="AW245" s="185"/>
      <c r="AX245" s="185"/>
      <c r="AY245" s="185"/>
      <c r="AZ245" s="185"/>
      <c r="BA245" s="185"/>
      <c r="BB245" s="185"/>
      <c r="BC245" s="185"/>
      <c r="BD245" s="185"/>
      <c r="BE245" s="185"/>
      <c r="BF245" s="185"/>
      <c r="BG245" s="185"/>
      <c r="BH245" s="185"/>
      <c r="BI245" s="185"/>
      <c r="BJ245" s="185"/>
      <c r="BK245" s="185"/>
      <c r="BL245" s="185"/>
    </row>
    <row r="246" ht="15.7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233"/>
      <c r="AF246" s="185"/>
      <c r="AG246" s="185"/>
      <c r="AH246" s="185"/>
      <c r="AI246" s="185"/>
      <c r="AJ246" s="185"/>
      <c r="AK246" s="185"/>
      <c r="AL246" s="185"/>
      <c r="AM246" s="185"/>
      <c r="AN246" s="185"/>
      <c r="AO246" s="185"/>
      <c r="AP246" s="185"/>
      <c r="AQ246" s="185"/>
      <c r="AR246" s="185"/>
      <c r="AS246" s="185"/>
      <c r="AT246" s="185"/>
      <c r="AU246" s="185"/>
      <c r="AV246" s="185"/>
      <c r="AW246" s="185"/>
      <c r="AX246" s="185"/>
      <c r="AY246" s="185"/>
      <c r="AZ246" s="185"/>
      <c r="BA246" s="185"/>
      <c r="BB246" s="185"/>
      <c r="BC246" s="185"/>
      <c r="BD246" s="185"/>
      <c r="BE246" s="185"/>
      <c r="BF246" s="185"/>
      <c r="BG246" s="185"/>
      <c r="BH246" s="185"/>
      <c r="BI246" s="185"/>
      <c r="BJ246" s="185"/>
      <c r="BK246" s="185"/>
      <c r="BL246" s="185"/>
    </row>
    <row r="247" ht="15.7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233"/>
      <c r="AF247" s="185"/>
      <c r="AG247" s="185"/>
      <c r="AH247" s="185"/>
      <c r="AI247" s="185"/>
      <c r="AJ247" s="185"/>
      <c r="AK247" s="185"/>
      <c r="AL247" s="185"/>
      <c r="AM247" s="185"/>
      <c r="AN247" s="185"/>
      <c r="AO247" s="185"/>
      <c r="AP247" s="185"/>
      <c r="AQ247" s="185"/>
      <c r="AR247" s="185"/>
      <c r="AS247" s="185"/>
      <c r="AT247" s="185"/>
      <c r="AU247" s="185"/>
      <c r="AV247" s="185"/>
      <c r="AW247" s="185"/>
      <c r="AX247" s="185"/>
      <c r="AY247" s="185"/>
      <c r="AZ247" s="185"/>
      <c r="BA247" s="185"/>
      <c r="BB247" s="185"/>
      <c r="BC247" s="185"/>
      <c r="BD247" s="185"/>
      <c r="BE247" s="185"/>
      <c r="BF247" s="185"/>
      <c r="BG247" s="185"/>
      <c r="BH247" s="185"/>
      <c r="BI247" s="185"/>
      <c r="BJ247" s="185"/>
      <c r="BK247" s="185"/>
      <c r="BL247" s="185"/>
    </row>
    <row r="248" ht="15.7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233"/>
      <c r="AF248" s="185"/>
      <c r="AG248" s="185"/>
      <c r="AH248" s="185"/>
      <c r="AI248" s="185"/>
      <c r="AJ248" s="185"/>
      <c r="AK248" s="185"/>
      <c r="AL248" s="185"/>
      <c r="AM248" s="185"/>
      <c r="AN248" s="185"/>
      <c r="AO248" s="185"/>
      <c r="AP248" s="185"/>
      <c r="AQ248" s="185"/>
      <c r="AR248" s="185"/>
      <c r="AS248" s="185"/>
      <c r="AT248" s="185"/>
      <c r="AU248" s="185"/>
      <c r="AV248" s="185"/>
      <c r="AW248" s="185"/>
      <c r="AX248" s="185"/>
      <c r="AY248" s="185"/>
      <c r="AZ248" s="185"/>
      <c r="BA248" s="185"/>
      <c r="BB248" s="185"/>
      <c r="BC248" s="185"/>
      <c r="BD248" s="185"/>
      <c r="BE248" s="185"/>
      <c r="BF248" s="185"/>
      <c r="BG248" s="185"/>
      <c r="BH248" s="185"/>
      <c r="BI248" s="185"/>
      <c r="BJ248" s="185"/>
      <c r="BK248" s="185"/>
      <c r="BL248" s="185"/>
    </row>
    <row r="249" ht="15.7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233"/>
      <c r="AF249" s="185"/>
      <c r="AG249" s="185"/>
      <c r="AH249" s="185"/>
      <c r="AI249" s="185"/>
      <c r="AJ249" s="185"/>
      <c r="AK249" s="185"/>
      <c r="AL249" s="185"/>
      <c r="AM249" s="185"/>
      <c r="AN249" s="185"/>
      <c r="AO249" s="185"/>
      <c r="AP249" s="185"/>
      <c r="AQ249" s="185"/>
      <c r="AR249" s="185"/>
      <c r="AS249" s="185"/>
      <c r="AT249" s="185"/>
      <c r="AU249" s="185"/>
      <c r="AV249" s="185"/>
      <c r="AW249" s="185"/>
      <c r="AX249" s="185"/>
      <c r="AY249" s="185"/>
      <c r="AZ249" s="185"/>
      <c r="BA249" s="185"/>
      <c r="BB249" s="185"/>
      <c r="BC249" s="185"/>
      <c r="BD249" s="185"/>
      <c r="BE249" s="185"/>
      <c r="BF249" s="185"/>
      <c r="BG249" s="185"/>
      <c r="BH249" s="185"/>
      <c r="BI249" s="185"/>
      <c r="BJ249" s="185"/>
      <c r="BK249" s="185"/>
      <c r="BL249" s="185"/>
    </row>
    <row r="250" ht="15.7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233"/>
      <c r="AF250" s="185"/>
      <c r="AG250" s="185"/>
      <c r="AH250" s="185"/>
      <c r="AI250" s="185"/>
      <c r="AJ250" s="185"/>
      <c r="AK250" s="185"/>
      <c r="AL250" s="185"/>
      <c r="AM250" s="185"/>
      <c r="AN250" s="185"/>
      <c r="AO250" s="185"/>
      <c r="AP250" s="185"/>
      <c r="AQ250" s="185"/>
      <c r="AR250" s="185"/>
      <c r="AS250" s="185"/>
      <c r="AT250" s="185"/>
      <c r="AU250" s="185"/>
      <c r="AV250" s="185"/>
      <c r="AW250" s="185"/>
      <c r="AX250" s="185"/>
      <c r="AY250" s="185"/>
      <c r="AZ250" s="185"/>
      <c r="BA250" s="185"/>
      <c r="BB250" s="185"/>
      <c r="BC250" s="185"/>
      <c r="BD250" s="185"/>
      <c r="BE250" s="185"/>
      <c r="BF250" s="185"/>
      <c r="BG250" s="185"/>
      <c r="BH250" s="185"/>
      <c r="BI250" s="185"/>
      <c r="BJ250" s="185"/>
      <c r="BK250" s="185"/>
      <c r="BL250" s="185"/>
    </row>
    <row r="251" ht="15.7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233"/>
      <c r="AF251" s="185"/>
      <c r="AG251" s="185"/>
      <c r="AH251" s="185"/>
      <c r="AI251" s="185"/>
      <c r="AJ251" s="185"/>
      <c r="AK251" s="185"/>
      <c r="AL251" s="185"/>
      <c r="AM251" s="185"/>
      <c r="AN251" s="185"/>
      <c r="AO251" s="185"/>
      <c r="AP251" s="185"/>
      <c r="AQ251" s="185"/>
      <c r="AR251" s="185"/>
      <c r="AS251" s="185"/>
      <c r="AT251" s="185"/>
      <c r="AU251" s="185"/>
      <c r="AV251" s="185"/>
      <c r="AW251" s="185"/>
      <c r="AX251" s="185"/>
      <c r="AY251" s="185"/>
      <c r="AZ251" s="185"/>
      <c r="BA251" s="185"/>
      <c r="BB251" s="185"/>
      <c r="BC251" s="185"/>
      <c r="BD251" s="185"/>
      <c r="BE251" s="185"/>
      <c r="BF251" s="185"/>
      <c r="BG251" s="185"/>
      <c r="BH251" s="185"/>
      <c r="BI251" s="185"/>
      <c r="BJ251" s="185"/>
      <c r="BK251" s="185"/>
      <c r="BL251" s="185"/>
    </row>
    <row r="252" ht="15.7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233"/>
      <c r="AF252" s="185"/>
      <c r="AG252" s="185"/>
      <c r="AH252" s="185"/>
      <c r="AI252" s="185"/>
      <c r="AJ252" s="185"/>
      <c r="AK252" s="185"/>
      <c r="AL252" s="185"/>
      <c r="AM252" s="185"/>
      <c r="AN252" s="185"/>
      <c r="AO252" s="185"/>
      <c r="AP252" s="185"/>
      <c r="AQ252" s="185"/>
      <c r="AR252" s="185"/>
      <c r="AS252" s="185"/>
      <c r="AT252" s="185"/>
      <c r="AU252" s="185"/>
      <c r="AV252" s="185"/>
      <c r="AW252" s="185"/>
      <c r="AX252" s="185"/>
      <c r="AY252" s="185"/>
      <c r="AZ252" s="185"/>
      <c r="BA252" s="185"/>
      <c r="BB252" s="185"/>
      <c r="BC252" s="185"/>
      <c r="BD252" s="185"/>
      <c r="BE252" s="185"/>
      <c r="BF252" s="185"/>
      <c r="BG252" s="185"/>
      <c r="BH252" s="185"/>
      <c r="BI252" s="185"/>
      <c r="BJ252" s="185"/>
      <c r="BK252" s="185"/>
      <c r="BL252" s="185"/>
    </row>
    <row r="253" ht="15.7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233"/>
      <c r="AF253" s="185"/>
      <c r="AG253" s="185"/>
      <c r="AH253" s="185"/>
      <c r="AI253" s="185"/>
      <c r="AJ253" s="185"/>
      <c r="AK253" s="185"/>
      <c r="AL253" s="185"/>
      <c r="AM253" s="185"/>
      <c r="AN253" s="185"/>
      <c r="AO253" s="185"/>
      <c r="AP253" s="185"/>
      <c r="AQ253" s="185"/>
      <c r="AR253" s="185"/>
      <c r="AS253" s="185"/>
      <c r="AT253" s="185"/>
      <c r="AU253" s="185"/>
      <c r="AV253" s="185"/>
      <c r="AW253" s="185"/>
      <c r="AX253" s="185"/>
      <c r="AY253" s="185"/>
      <c r="AZ253" s="185"/>
      <c r="BA253" s="185"/>
      <c r="BB253" s="185"/>
      <c r="BC253" s="185"/>
      <c r="BD253" s="185"/>
      <c r="BE253" s="185"/>
      <c r="BF253" s="185"/>
      <c r="BG253" s="185"/>
      <c r="BH253" s="185"/>
      <c r="BI253" s="185"/>
      <c r="BJ253" s="185"/>
      <c r="BK253" s="185"/>
      <c r="BL253" s="185"/>
    </row>
    <row r="254" ht="15.7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233"/>
      <c r="AF254" s="185"/>
      <c r="AG254" s="185"/>
      <c r="AH254" s="185"/>
      <c r="AI254" s="185"/>
      <c r="AJ254" s="185"/>
      <c r="AK254" s="185"/>
      <c r="AL254" s="185"/>
      <c r="AM254" s="185"/>
      <c r="AN254" s="185"/>
      <c r="AO254" s="185"/>
      <c r="AP254" s="185"/>
      <c r="AQ254" s="185"/>
      <c r="AR254" s="185"/>
      <c r="AS254" s="185"/>
      <c r="AT254" s="185"/>
      <c r="AU254" s="185"/>
      <c r="AV254" s="185"/>
      <c r="AW254" s="185"/>
      <c r="AX254" s="185"/>
      <c r="AY254" s="185"/>
      <c r="AZ254" s="185"/>
      <c r="BA254" s="185"/>
      <c r="BB254" s="185"/>
      <c r="BC254" s="185"/>
      <c r="BD254" s="185"/>
      <c r="BE254" s="185"/>
      <c r="BF254" s="185"/>
      <c r="BG254" s="185"/>
      <c r="BH254" s="185"/>
      <c r="BI254" s="185"/>
      <c r="BJ254" s="185"/>
      <c r="BK254" s="185"/>
      <c r="BL254" s="185"/>
    </row>
    <row r="255" ht="15.7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233"/>
      <c r="AF255" s="185"/>
      <c r="AG255" s="185"/>
      <c r="AH255" s="185"/>
      <c r="AI255" s="185"/>
      <c r="AJ255" s="185"/>
      <c r="AK255" s="185"/>
      <c r="AL255" s="185"/>
      <c r="AM255" s="185"/>
      <c r="AN255" s="185"/>
      <c r="AO255" s="185"/>
      <c r="AP255" s="185"/>
      <c r="AQ255" s="185"/>
      <c r="AR255" s="185"/>
      <c r="AS255" s="185"/>
      <c r="AT255" s="185"/>
      <c r="AU255" s="185"/>
      <c r="AV255" s="185"/>
      <c r="AW255" s="185"/>
      <c r="AX255" s="185"/>
      <c r="AY255" s="185"/>
      <c r="AZ255" s="185"/>
      <c r="BA255" s="185"/>
      <c r="BB255" s="185"/>
      <c r="BC255" s="185"/>
      <c r="BD255" s="185"/>
      <c r="BE255" s="185"/>
      <c r="BF255" s="185"/>
      <c r="BG255" s="185"/>
      <c r="BH255" s="185"/>
      <c r="BI255" s="185"/>
      <c r="BJ255" s="185"/>
      <c r="BK255" s="185"/>
      <c r="BL255" s="185"/>
    </row>
    <row r="256" ht="15.7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233"/>
      <c r="AF256" s="185"/>
      <c r="AG256" s="185"/>
      <c r="AH256" s="185"/>
      <c r="AI256" s="185"/>
      <c r="AJ256" s="185"/>
      <c r="AK256" s="185"/>
      <c r="AL256" s="185"/>
      <c r="AM256" s="185"/>
      <c r="AN256" s="185"/>
      <c r="AO256" s="185"/>
      <c r="AP256" s="185"/>
      <c r="AQ256" s="185"/>
      <c r="AR256" s="185"/>
      <c r="AS256" s="185"/>
      <c r="AT256" s="185"/>
      <c r="AU256" s="185"/>
      <c r="AV256" s="185"/>
      <c r="AW256" s="185"/>
      <c r="AX256" s="185"/>
      <c r="AY256" s="185"/>
      <c r="AZ256" s="185"/>
      <c r="BA256" s="185"/>
      <c r="BB256" s="185"/>
      <c r="BC256" s="185"/>
      <c r="BD256" s="185"/>
      <c r="BE256" s="185"/>
      <c r="BF256" s="185"/>
      <c r="BG256" s="185"/>
      <c r="BH256" s="185"/>
      <c r="BI256" s="185"/>
      <c r="BJ256" s="185"/>
      <c r="BK256" s="185"/>
      <c r="BL256" s="185"/>
    </row>
    <row r="257" ht="15.7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233"/>
      <c r="AF257" s="185"/>
      <c r="AG257" s="185"/>
      <c r="AH257" s="185"/>
      <c r="AI257" s="185"/>
      <c r="AJ257" s="185"/>
      <c r="AK257" s="185"/>
      <c r="AL257" s="185"/>
      <c r="AM257" s="185"/>
      <c r="AN257" s="185"/>
      <c r="AO257" s="185"/>
      <c r="AP257" s="185"/>
      <c r="AQ257" s="185"/>
      <c r="AR257" s="185"/>
      <c r="AS257" s="185"/>
      <c r="AT257" s="185"/>
      <c r="AU257" s="185"/>
      <c r="AV257" s="185"/>
      <c r="AW257" s="185"/>
      <c r="AX257" s="185"/>
      <c r="AY257" s="185"/>
      <c r="AZ257" s="185"/>
      <c r="BA257" s="185"/>
      <c r="BB257" s="185"/>
      <c r="BC257" s="185"/>
      <c r="BD257" s="185"/>
      <c r="BE257" s="185"/>
      <c r="BF257" s="185"/>
      <c r="BG257" s="185"/>
      <c r="BH257" s="185"/>
      <c r="BI257" s="185"/>
      <c r="BJ257" s="185"/>
      <c r="BK257" s="185"/>
      <c r="BL257" s="185"/>
    </row>
    <row r="258" ht="15.7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233"/>
      <c r="AF258" s="185"/>
      <c r="AG258" s="185"/>
      <c r="AH258" s="185"/>
      <c r="AI258" s="185"/>
      <c r="AJ258" s="185"/>
      <c r="AK258" s="185"/>
      <c r="AL258" s="185"/>
      <c r="AM258" s="185"/>
      <c r="AN258" s="185"/>
      <c r="AO258" s="185"/>
      <c r="AP258" s="185"/>
      <c r="AQ258" s="185"/>
      <c r="AR258" s="185"/>
      <c r="AS258" s="185"/>
      <c r="AT258" s="185"/>
      <c r="AU258" s="185"/>
      <c r="AV258" s="185"/>
      <c r="AW258" s="185"/>
      <c r="AX258" s="185"/>
      <c r="AY258" s="185"/>
      <c r="AZ258" s="185"/>
      <c r="BA258" s="185"/>
      <c r="BB258" s="185"/>
      <c r="BC258" s="185"/>
      <c r="BD258" s="185"/>
      <c r="BE258" s="185"/>
      <c r="BF258" s="185"/>
      <c r="BG258" s="185"/>
      <c r="BH258" s="185"/>
      <c r="BI258" s="185"/>
      <c r="BJ258" s="185"/>
      <c r="BK258" s="185"/>
      <c r="BL258" s="185"/>
    </row>
    <row r="259" ht="15.7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233"/>
      <c r="AF259" s="185"/>
      <c r="AG259" s="185"/>
      <c r="AH259" s="185"/>
      <c r="AI259" s="185"/>
      <c r="AJ259" s="185"/>
      <c r="AK259" s="185"/>
      <c r="AL259" s="185"/>
      <c r="AM259" s="185"/>
      <c r="AN259" s="185"/>
      <c r="AO259" s="185"/>
      <c r="AP259" s="185"/>
      <c r="AQ259" s="185"/>
      <c r="AR259" s="185"/>
      <c r="AS259" s="185"/>
      <c r="AT259" s="185"/>
      <c r="AU259" s="185"/>
      <c r="AV259" s="185"/>
      <c r="AW259" s="185"/>
      <c r="AX259" s="185"/>
      <c r="AY259" s="185"/>
      <c r="AZ259" s="185"/>
      <c r="BA259" s="185"/>
      <c r="BB259" s="185"/>
      <c r="BC259" s="185"/>
      <c r="BD259" s="185"/>
      <c r="BE259" s="185"/>
      <c r="BF259" s="185"/>
      <c r="BG259" s="185"/>
      <c r="BH259" s="185"/>
      <c r="BI259" s="185"/>
      <c r="BJ259" s="185"/>
      <c r="BK259" s="185"/>
      <c r="BL259" s="185"/>
    </row>
    <row r="260" ht="15.7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233"/>
      <c r="AF260" s="185"/>
      <c r="AG260" s="185"/>
      <c r="AH260" s="185"/>
      <c r="AI260" s="185"/>
      <c r="AJ260" s="185"/>
      <c r="AK260" s="185"/>
      <c r="AL260" s="185"/>
      <c r="AM260" s="185"/>
      <c r="AN260" s="185"/>
      <c r="AO260" s="185"/>
      <c r="AP260" s="185"/>
      <c r="AQ260" s="185"/>
      <c r="AR260" s="185"/>
      <c r="AS260" s="185"/>
      <c r="AT260" s="185"/>
      <c r="AU260" s="185"/>
      <c r="AV260" s="185"/>
      <c r="AW260" s="185"/>
      <c r="AX260" s="185"/>
      <c r="AY260" s="185"/>
      <c r="AZ260" s="185"/>
      <c r="BA260" s="185"/>
      <c r="BB260" s="185"/>
      <c r="BC260" s="185"/>
      <c r="BD260" s="185"/>
      <c r="BE260" s="185"/>
      <c r="BF260" s="185"/>
      <c r="BG260" s="185"/>
      <c r="BH260" s="185"/>
      <c r="BI260" s="185"/>
      <c r="BJ260" s="185"/>
      <c r="BK260" s="185"/>
      <c r="BL260" s="185"/>
    </row>
    <row r="261" ht="15.7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233"/>
      <c r="AF261" s="185"/>
      <c r="AG261" s="185"/>
      <c r="AH261" s="185"/>
      <c r="AI261" s="185"/>
      <c r="AJ261" s="185"/>
      <c r="AK261" s="185"/>
      <c r="AL261" s="185"/>
      <c r="AM261" s="185"/>
      <c r="AN261" s="185"/>
      <c r="AO261" s="185"/>
      <c r="AP261" s="185"/>
      <c r="AQ261" s="185"/>
      <c r="AR261" s="185"/>
      <c r="AS261" s="185"/>
      <c r="AT261" s="185"/>
      <c r="AU261" s="185"/>
      <c r="AV261" s="185"/>
      <c r="AW261" s="185"/>
      <c r="AX261" s="185"/>
      <c r="AY261" s="185"/>
      <c r="AZ261" s="185"/>
      <c r="BA261" s="185"/>
      <c r="BB261" s="185"/>
      <c r="BC261" s="185"/>
      <c r="BD261" s="185"/>
      <c r="BE261" s="185"/>
      <c r="BF261" s="185"/>
      <c r="BG261" s="185"/>
      <c r="BH261" s="185"/>
      <c r="BI261" s="185"/>
      <c r="BJ261" s="185"/>
      <c r="BK261" s="185"/>
      <c r="BL261" s="185"/>
    </row>
    <row r="262" ht="15.7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233"/>
      <c r="AF262" s="185"/>
      <c r="AG262" s="185"/>
      <c r="AH262" s="185"/>
      <c r="AI262" s="185"/>
      <c r="AJ262" s="185"/>
      <c r="AK262" s="185"/>
      <c r="AL262" s="185"/>
      <c r="AM262" s="185"/>
      <c r="AN262" s="185"/>
      <c r="AO262" s="185"/>
      <c r="AP262" s="185"/>
      <c r="AQ262" s="185"/>
      <c r="AR262" s="185"/>
      <c r="AS262" s="185"/>
      <c r="AT262" s="185"/>
      <c r="AU262" s="185"/>
      <c r="AV262" s="185"/>
      <c r="AW262" s="185"/>
      <c r="AX262" s="185"/>
      <c r="AY262" s="185"/>
      <c r="AZ262" s="185"/>
      <c r="BA262" s="185"/>
      <c r="BB262" s="185"/>
      <c r="BC262" s="185"/>
      <c r="BD262" s="185"/>
      <c r="BE262" s="185"/>
      <c r="BF262" s="185"/>
      <c r="BG262" s="185"/>
      <c r="BH262" s="185"/>
      <c r="BI262" s="185"/>
      <c r="BJ262" s="185"/>
      <c r="BK262" s="185"/>
      <c r="BL262" s="185"/>
    </row>
    <row r="263" ht="15.7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233"/>
      <c r="AF263" s="185"/>
      <c r="AG263" s="185"/>
      <c r="AH263" s="185"/>
      <c r="AI263" s="185"/>
      <c r="AJ263" s="185"/>
      <c r="AK263" s="185"/>
      <c r="AL263" s="185"/>
      <c r="AM263" s="185"/>
      <c r="AN263" s="185"/>
      <c r="AO263" s="185"/>
      <c r="AP263" s="185"/>
      <c r="AQ263" s="185"/>
      <c r="AR263" s="185"/>
      <c r="AS263" s="185"/>
      <c r="AT263" s="185"/>
      <c r="AU263" s="185"/>
      <c r="AV263" s="185"/>
      <c r="AW263" s="185"/>
      <c r="AX263" s="185"/>
      <c r="AY263" s="185"/>
      <c r="AZ263" s="185"/>
      <c r="BA263" s="185"/>
      <c r="BB263" s="185"/>
      <c r="BC263" s="185"/>
      <c r="BD263" s="185"/>
      <c r="BE263" s="185"/>
      <c r="BF263" s="185"/>
      <c r="BG263" s="185"/>
      <c r="BH263" s="185"/>
      <c r="BI263" s="185"/>
      <c r="BJ263" s="185"/>
      <c r="BK263" s="185"/>
      <c r="BL263" s="185"/>
    </row>
    <row r="264" ht="15.7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233"/>
      <c r="AF264" s="185"/>
      <c r="AG264" s="185"/>
      <c r="AH264" s="185"/>
      <c r="AI264" s="185"/>
      <c r="AJ264" s="185"/>
      <c r="AK264" s="185"/>
      <c r="AL264" s="185"/>
      <c r="AM264" s="185"/>
      <c r="AN264" s="185"/>
      <c r="AO264" s="185"/>
      <c r="AP264" s="185"/>
      <c r="AQ264" s="185"/>
      <c r="AR264" s="185"/>
      <c r="AS264" s="185"/>
      <c r="AT264" s="185"/>
      <c r="AU264" s="185"/>
      <c r="AV264" s="185"/>
      <c r="AW264" s="185"/>
      <c r="AX264" s="185"/>
      <c r="AY264" s="185"/>
      <c r="AZ264" s="185"/>
      <c r="BA264" s="185"/>
      <c r="BB264" s="185"/>
      <c r="BC264" s="185"/>
      <c r="BD264" s="185"/>
      <c r="BE264" s="185"/>
      <c r="BF264" s="185"/>
      <c r="BG264" s="185"/>
      <c r="BH264" s="185"/>
      <c r="BI264" s="185"/>
      <c r="BJ264" s="185"/>
      <c r="BK264" s="185"/>
      <c r="BL264" s="185"/>
    </row>
    <row r="265" ht="15.7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233"/>
      <c r="AF265" s="185"/>
      <c r="AG265" s="185"/>
      <c r="AH265" s="185"/>
      <c r="AI265" s="185"/>
      <c r="AJ265" s="185"/>
      <c r="AK265" s="185"/>
      <c r="AL265" s="185"/>
      <c r="AM265" s="185"/>
      <c r="AN265" s="185"/>
      <c r="AO265" s="185"/>
      <c r="AP265" s="185"/>
      <c r="AQ265" s="185"/>
      <c r="AR265" s="185"/>
      <c r="AS265" s="185"/>
      <c r="AT265" s="185"/>
      <c r="AU265" s="185"/>
      <c r="AV265" s="185"/>
      <c r="AW265" s="185"/>
      <c r="AX265" s="185"/>
      <c r="AY265" s="185"/>
      <c r="AZ265" s="185"/>
      <c r="BA265" s="185"/>
      <c r="BB265" s="185"/>
      <c r="BC265" s="185"/>
      <c r="BD265" s="185"/>
      <c r="BE265" s="185"/>
      <c r="BF265" s="185"/>
      <c r="BG265" s="185"/>
      <c r="BH265" s="185"/>
      <c r="BI265" s="185"/>
      <c r="BJ265" s="185"/>
      <c r="BK265" s="185"/>
      <c r="BL265" s="185"/>
    </row>
    <row r="266" ht="15.7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233"/>
      <c r="AF266" s="185"/>
      <c r="AG266" s="185"/>
      <c r="AH266" s="185"/>
      <c r="AI266" s="185"/>
      <c r="AJ266" s="185"/>
      <c r="AK266" s="185"/>
      <c r="AL266" s="185"/>
      <c r="AM266" s="185"/>
      <c r="AN266" s="185"/>
      <c r="AO266" s="185"/>
      <c r="AP266" s="185"/>
      <c r="AQ266" s="185"/>
      <c r="AR266" s="185"/>
      <c r="AS266" s="185"/>
      <c r="AT266" s="185"/>
      <c r="AU266" s="185"/>
      <c r="AV266" s="185"/>
      <c r="AW266" s="185"/>
      <c r="AX266" s="185"/>
      <c r="AY266" s="185"/>
      <c r="AZ266" s="185"/>
      <c r="BA266" s="185"/>
      <c r="BB266" s="185"/>
      <c r="BC266" s="185"/>
      <c r="BD266" s="185"/>
      <c r="BE266" s="185"/>
      <c r="BF266" s="185"/>
      <c r="BG266" s="185"/>
      <c r="BH266" s="185"/>
      <c r="BI266" s="185"/>
      <c r="BJ266" s="185"/>
      <c r="BK266" s="185"/>
      <c r="BL266" s="185"/>
    </row>
    <row r="267" ht="15.7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233"/>
      <c r="AF267" s="185"/>
      <c r="AG267" s="185"/>
      <c r="AH267" s="185"/>
      <c r="AI267" s="185"/>
      <c r="AJ267" s="185"/>
      <c r="AK267" s="185"/>
      <c r="AL267" s="185"/>
      <c r="AM267" s="185"/>
      <c r="AN267" s="185"/>
      <c r="AO267" s="185"/>
      <c r="AP267" s="185"/>
      <c r="AQ267" s="185"/>
      <c r="AR267" s="185"/>
      <c r="AS267" s="185"/>
      <c r="AT267" s="185"/>
      <c r="AU267" s="185"/>
      <c r="AV267" s="185"/>
      <c r="AW267" s="185"/>
      <c r="AX267" s="185"/>
      <c r="AY267" s="185"/>
      <c r="AZ267" s="185"/>
      <c r="BA267" s="185"/>
      <c r="BB267" s="185"/>
      <c r="BC267" s="185"/>
      <c r="BD267" s="185"/>
      <c r="BE267" s="185"/>
      <c r="BF267" s="185"/>
      <c r="BG267" s="185"/>
      <c r="BH267" s="185"/>
      <c r="BI267" s="185"/>
      <c r="BJ267" s="185"/>
      <c r="BK267" s="185"/>
      <c r="BL267" s="185"/>
    </row>
    <row r="268" ht="15.7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233"/>
      <c r="AF268" s="185"/>
      <c r="AG268" s="185"/>
      <c r="AH268" s="185"/>
      <c r="AI268" s="185"/>
      <c r="AJ268" s="185"/>
      <c r="AK268" s="185"/>
      <c r="AL268" s="185"/>
      <c r="AM268" s="185"/>
      <c r="AN268" s="185"/>
      <c r="AO268" s="185"/>
      <c r="AP268" s="185"/>
      <c r="AQ268" s="185"/>
      <c r="AR268" s="185"/>
      <c r="AS268" s="185"/>
      <c r="AT268" s="185"/>
      <c r="AU268" s="185"/>
      <c r="AV268" s="185"/>
      <c r="AW268" s="185"/>
      <c r="AX268" s="185"/>
      <c r="AY268" s="185"/>
      <c r="AZ268" s="185"/>
      <c r="BA268" s="185"/>
      <c r="BB268" s="185"/>
      <c r="BC268" s="185"/>
      <c r="BD268" s="185"/>
      <c r="BE268" s="185"/>
      <c r="BF268" s="185"/>
      <c r="BG268" s="185"/>
      <c r="BH268" s="185"/>
      <c r="BI268" s="185"/>
      <c r="BJ268" s="185"/>
      <c r="BK268" s="185"/>
      <c r="BL268" s="185"/>
    </row>
    <row r="269" ht="15.7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233"/>
      <c r="AF269" s="185"/>
      <c r="AG269" s="185"/>
      <c r="AH269" s="185"/>
      <c r="AI269" s="185"/>
      <c r="AJ269" s="185"/>
      <c r="AK269" s="185"/>
      <c r="AL269" s="185"/>
      <c r="AM269" s="185"/>
      <c r="AN269" s="185"/>
      <c r="AO269" s="185"/>
      <c r="AP269" s="185"/>
      <c r="AQ269" s="185"/>
      <c r="AR269" s="185"/>
      <c r="AS269" s="185"/>
      <c r="AT269" s="185"/>
      <c r="AU269" s="185"/>
      <c r="AV269" s="185"/>
      <c r="AW269" s="185"/>
      <c r="AX269" s="185"/>
      <c r="AY269" s="185"/>
      <c r="AZ269" s="185"/>
      <c r="BA269" s="185"/>
      <c r="BB269" s="185"/>
      <c r="BC269" s="185"/>
      <c r="BD269" s="185"/>
      <c r="BE269" s="185"/>
      <c r="BF269" s="185"/>
      <c r="BG269" s="185"/>
      <c r="BH269" s="185"/>
      <c r="BI269" s="185"/>
      <c r="BJ269" s="185"/>
      <c r="BK269" s="185"/>
      <c r="BL269" s="18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 ht="15.75" customHeight="1">
      <c r="A1" s="43" t="s">
        <v>0</v>
      </c>
      <c r="B1" s="203"/>
      <c r="C1" s="203"/>
      <c r="D1" s="43" t="s">
        <v>7</v>
      </c>
      <c r="E1" s="43" t="s">
        <v>8</v>
      </c>
      <c r="F1" s="43" t="s">
        <v>9</v>
      </c>
      <c r="G1" s="43" t="s">
        <v>10</v>
      </c>
      <c r="H1" s="43" t="s">
        <v>11</v>
      </c>
      <c r="I1" s="43" t="s">
        <v>12</v>
      </c>
      <c r="J1" s="43" t="s">
        <v>13</v>
      </c>
      <c r="K1" s="43" t="s">
        <v>63</v>
      </c>
      <c r="L1" s="43" t="s">
        <v>64</v>
      </c>
      <c r="M1" s="43" t="s">
        <v>65</v>
      </c>
      <c r="N1" s="43" t="s">
        <v>66</v>
      </c>
      <c r="O1" s="43" t="s">
        <v>67</v>
      </c>
      <c r="P1" s="43" t="s">
        <v>68</v>
      </c>
      <c r="Q1" s="43" t="s">
        <v>69</v>
      </c>
      <c r="R1" s="43" t="s">
        <v>70</v>
      </c>
      <c r="S1" s="203" t="str">
        <f t="array" ref="S1:AD1">transpose(A22:A33)</f>
        <v/>
      </c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4"/>
      <c r="AF1" s="43" t="s">
        <v>14</v>
      </c>
      <c r="AG1" s="43" t="s">
        <v>2</v>
      </c>
      <c r="AH1" s="43" t="s">
        <v>3</v>
      </c>
      <c r="AI1" s="43" t="s">
        <v>4</v>
      </c>
      <c r="AJ1" s="43" t="s">
        <v>5</v>
      </c>
      <c r="AK1" s="43" t="s">
        <v>6</v>
      </c>
      <c r="AL1" s="43" t="s">
        <v>7</v>
      </c>
      <c r="AM1" s="43" t="s">
        <v>8</v>
      </c>
      <c r="AN1" s="43" t="s">
        <v>9</v>
      </c>
      <c r="AO1" s="43" t="s">
        <v>10</v>
      </c>
      <c r="AP1" s="43" t="s">
        <v>11</v>
      </c>
      <c r="AQ1" s="43" t="s">
        <v>12</v>
      </c>
      <c r="AR1" s="43" t="s">
        <v>13</v>
      </c>
      <c r="AS1" s="43" t="s">
        <v>63</v>
      </c>
      <c r="AT1" s="43" t="s">
        <v>64</v>
      </c>
      <c r="AU1" s="43" t="s">
        <v>65</v>
      </c>
      <c r="AV1" s="43" t="s">
        <v>66</v>
      </c>
      <c r="AW1" s="43" t="s">
        <v>67</v>
      </c>
      <c r="AX1" s="43" t="s">
        <v>68</v>
      </c>
      <c r="AY1" s="43" t="s">
        <v>69</v>
      </c>
      <c r="AZ1" s="43" t="s">
        <v>70</v>
      </c>
      <c r="BA1" s="203" t="str">
        <f t="array" ref="BA1:BL1">transpose(A22:A33)</f>
        <v/>
      </c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</row>
    <row r="2" ht="15.75" customHeight="1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04"/>
      <c r="AF2" s="205"/>
      <c r="AG2" s="206">
        <v>0.14</v>
      </c>
      <c r="AH2" s="206">
        <v>0.33</v>
      </c>
      <c r="AI2" s="206">
        <v>0.25</v>
      </c>
      <c r="AJ2" s="206">
        <v>0.15</v>
      </c>
      <c r="AK2" s="206">
        <v>0.07</v>
      </c>
      <c r="AL2" s="206">
        <v>0.04</v>
      </c>
      <c r="AM2" s="206">
        <v>0.02</v>
      </c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</row>
    <row r="3" ht="15.75" customHeight="1">
      <c r="A3" s="237"/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04"/>
      <c r="AF3" s="205"/>
      <c r="AG3" s="205"/>
      <c r="AH3" s="206">
        <v>0.14</v>
      </c>
      <c r="AI3" s="206">
        <v>0.33</v>
      </c>
      <c r="AJ3" s="206">
        <v>0.25</v>
      </c>
      <c r="AK3" s="206">
        <v>0.15</v>
      </c>
      <c r="AL3" s="206">
        <v>0.07</v>
      </c>
      <c r="AM3" s="206">
        <v>0.04</v>
      </c>
      <c r="AN3" s="206">
        <v>0.02</v>
      </c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</row>
    <row r="4" ht="15.75" customHeight="1">
      <c r="A4" s="237"/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04"/>
      <c r="AF4" s="205"/>
      <c r="AG4" s="205"/>
      <c r="AH4" s="205"/>
      <c r="AI4" s="206">
        <v>0.14</v>
      </c>
      <c r="AJ4" s="206">
        <v>0.33</v>
      </c>
      <c r="AK4" s="206">
        <v>0.25</v>
      </c>
      <c r="AL4" s="206">
        <v>0.15</v>
      </c>
      <c r="AM4" s="206">
        <v>0.07</v>
      </c>
      <c r="AN4" s="206">
        <v>0.04</v>
      </c>
      <c r="AO4" s="206">
        <v>0.02</v>
      </c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</row>
    <row r="5" ht="15.75" customHeight="1">
      <c r="A5" s="237"/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04"/>
      <c r="AF5" s="205"/>
      <c r="AG5" s="205"/>
      <c r="AH5" s="205"/>
      <c r="AI5" s="205"/>
      <c r="AJ5" s="206">
        <v>0.14</v>
      </c>
      <c r="AK5" s="206">
        <v>0.33</v>
      </c>
      <c r="AL5" s="206">
        <v>0.25</v>
      </c>
      <c r="AM5" s="206">
        <v>0.15</v>
      </c>
      <c r="AN5" s="206">
        <v>0.07</v>
      </c>
      <c r="AO5" s="206">
        <v>0.04</v>
      </c>
      <c r="AP5" s="206">
        <v>0.02</v>
      </c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</row>
    <row r="6" ht="15.75" customHeight="1">
      <c r="A6" s="237"/>
      <c r="B6" s="237"/>
      <c r="C6" s="237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08"/>
      <c r="AF6" s="207"/>
      <c r="AG6" s="207"/>
      <c r="AH6" s="207"/>
      <c r="AI6" s="207"/>
      <c r="AJ6" s="207"/>
      <c r="AK6" s="206">
        <v>0.14</v>
      </c>
      <c r="AL6" s="206">
        <v>0.33</v>
      </c>
      <c r="AM6" s="206">
        <v>0.25</v>
      </c>
      <c r="AN6" s="206">
        <v>0.15</v>
      </c>
      <c r="AO6" s="206">
        <v>0.07</v>
      </c>
      <c r="AP6" s="206">
        <v>0.04</v>
      </c>
      <c r="AQ6" s="206">
        <v>0.02</v>
      </c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</row>
    <row r="7" ht="15.75" customHeight="1">
      <c r="A7" s="237"/>
      <c r="B7" s="237"/>
      <c r="C7" s="237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/>
      <c r="AE7" s="208"/>
      <c r="AF7" s="207"/>
      <c r="AG7" s="207"/>
      <c r="AH7" s="207"/>
      <c r="AI7" s="207"/>
      <c r="AJ7" s="207"/>
      <c r="AK7" s="207"/>
      <c r="AL7" s="206">
        <v>0.14</v>
      </c>
      <c r="AM7" s="206">
        <v>0.33</v>
      </c>
      <c r="AN7" s="206">
        <v>0.25</v>
      </c>
      <c r="AO7" s="206">
        <v>0.15</v>
      </c>
      <c r="AP7" s="206">
        <v>0.07</v>
      </c>
      <c r="AQ7" s="206">
        <v>0.04</v>
      </c>
      <c r="AR7" s="206">
        <v>0.02</v>
      </c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</row>
    <row r="8" ht="15.75" customHeight="1">
      <c r="A8" s="237"/>
      <c r="B8" s="237"/>
      <c r="C8" s="237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W8" s="238"/>
      <c r="X8" s="238"/>
      <c r="Y8" s="238"/>
      <c r="Z8" s="238"/>
      <c r="AA8" s="238"/>
      <c r="AB8" s="238"/>
      <c r="AC8" s="238"/>
      <c r="AD8" s="238"/>
      <c r="AE8" s="208"/>
      <c r="AF8" s="207"/>
      <c r="AG8" s="207"/>
      <c r="AH8" s="207"/>
      <c r="AI8" s="207"/>
      <c r="AJ8" s="207"/>
      <c r="AK8" s="207"/>
      <c r="AL8" s="207"/>
      <c r="AM8" s="206">
        <v>0.14</v>
      </c>
      <c r="AN8" s="206">
        <v>0.33</v>
      </c>
      <c r="AO8" s="206">
        <v>0.25</v>
      </c>
      <c r="AP8" s="206">
        <v>0.15</v>
      </c>
      <c r="AQ8" s="206">
        <v>0.07</v>
      </c>
      <c r="AR8" s="206">
        <v>0.04</v>
      </c>
      <c r="AS8" s="206">
        <v>0.02</v>
      </c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</row>
    <row r="9" ht="15.75" customHeight="1">
      <c r="A9" s="237"/>
      <c r="B9" s="237"/>
      <c r="C9" s="237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08"/>
      <c r="AF9" s="207"/>
      <c r="AG9" s="207"/>
      <c r="AH9" s="207"/>
      <c r="AI9" s="207"/>
      <c r="AJ9" s="207"/>
      <c r="AK9" s="207"/>
      <c r="AL9" s="207"/>
      <c r="AM9" s="207"/>
      <c r="AN9" s="206">
        <v>0.14</v>
      </c>
      <c r="AO9" s="206">
        <v>0.33</v>
      </c>
      <c r="AP9" s="206">
        <v>0.25</v>
      </c>
      <c r="AQ9" s="206">
        <v>0.15</v>
      </c>
      <c r="AR9" s="206">
        <v>0.07</v>
      </c>
      <c r="AS9" s="206">
        <v>0.04</v>
      </c>
      <c r="AT9" s="206">
        <v>0.02</v>
      </c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</row>
    <row r="10" ht="15.75" customHeight="1">
      <c r="A10" s="237"/>
      <c r="B10" s="237"/>
      <c r="C10" s="237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08"/>
      <c r="AF10" s="207"/>
      <c r="AG10" s="207"/>
      <c r="AH10" s="207"/>
      <c r="AI10" s="207"/>
      <c r="AJ10" s="207"/>
      <c r="AK10" s="207"/>
      <c r="AL10" s="207"/>
      <c r="AM10" s="207"/>
      <c r="AN10" s="207"/>
      <c r="AO10" s="206">
        <v>0.14</v>
      </c>
      <c r="AP10" s="206">
        <v>0.33</v>
      </c>
      <c r="AQ10" s="206">
        <v>0.25</v>
      </c>
      <c r="AR10" s="206">
        <v>0.15</v>
      </c>
      <c r="AS10" s="206">
        <v>0.07</v>
      </c>
      <c r="AT10" s="206">
        <v>0.04</v>
      </c>
      <c r="AU10" s="206">
        <v>0.02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</row>
    <row r="11" ht="15.75" customHeight="1">
      <c r="A11" s="237"/>
      <c r="B11" s="237"/>
      <c r="C11" s="237"/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08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6">
        <v>0.14</v>
      </c>
      <c r="AQ11" s="206">
        <v>0.33</v>
      </c>
      <c r="AR11" s="206">
        <v>0.25</v>
      </c>
      <c r="AS11" s="206">
        <v>0.15</v>
      </c>
      <c r="AT11" s="206">
        <v>0.07</v>
      </c>
      <c r="AU11" s="206">
        <v>0.04</v>
      </c>
      <c r="AV11" s="206">
        <v>0.02</v>
      </c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</row>
    <row r="12" ht="15.75" customHeight="1">
      <c r="A12" s="237"/>
      <c r="B12" s="237"/>
      <c r="C12" s="237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08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>
        <v>0.14</v>
      </c>
      <c r="AR12" s="206">
        <v>0.33</v>
      </c>
      <c r="AS12" s="206">
        <v>0.25</v>
      </c>
      <c r="AT12" s="206">
        <v>0.15</v>
      </c>
      <c r="AU12" s="206">
        <v>0.07</v>
      </c>
      <c r="AV12" s="206">
        <v>0.04</v>
      </c>
      <c r="AW12" s="206">
        <v>0.02</v>
      </c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</row>
    <row r="13" ht="15.75" customHeight="1">
      <c r="A13" s="237"/>
      <c r="B13" s="237"/>
      <c r="C13" s="237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08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6">
        <v>0.14</v>
      </c>
      <c r="AS13" s="206">
        <v>0.33</v>
      </c>
      <c r="AT13" s="206">
        <v>0.25</v>
      </c>
      <c r="AU13" s="206">
        <v>0.15</v>
      </c>
      <c r="AV13" s="206">
        <v>0.07</v>
      </c>
      <c r="AW13" s="206">
        <v>0.04</v>
      </c>
      <c r="AX13" s="206">
        <v>0.02</v>
      </c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</row>
    <row r="14" ht="15.75" customHeight="1">
      <c r="A14" s="237"/>
      <c r="B14" s="237"/>
      <c r="C14" s="237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08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6">
        <v>0.14</v>
      </c>
      <c r="AT14" s="206">
        <v>0.33</v>
      </c>
      <c r="AU14" s="206">
        <v>0.25</v>
      </c>
      <c r="AV14" s="206">
        <v>0.15</v>
      </c>
      <c r="AW14" s="206">
        <v>0.07</v>
      </c>
      <c r="AX14" s="206">
        <v>0.04</v>
      </c>
      <c r="AY14" s="206">
        <v>0.02</v>
      </c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</row>
    <row r="15" ht="15.75" customHeight="1">
      <c r="A15" s="237"/>
      <c r="B15" s="237"/>
      <c r="C15" s="237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08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6">
        <v>0.14</v>
      </c>
      <c r="AU15" s="206">
        <v>0.33</v>
      </c>
      <c r="AV15" s="206">
        <v>0.25</v>
      </c>
      <c r="AW15" s="206">
        <v>0.15</v>
      </c>
      <c r="AX15" s="206">
        <v>0.07</v>
      </c>
      <c r="AY15" s="206">
        <v>0.04</v>
      </c>
      <c r="AZ15" s="206">
        <v>0.02</v>
      </c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</row>
    <row r="16" ht="15.75" customHeight="1">
      <c r="A16" s="237"/>
      <c r="B16" s="237"/>
      <c r="C16" s="237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08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6">
        <v>0.14</v>
      </c>
      <c r="AV16" s="206">
        <v>0.33</v>
      </c>
      <c r="AW16" s="206">
        <v>0.25</v>
      </c>
      <c r="AX16" s="206">
        <v>0.15</v>
      </c>
      <c r="AY16" s="206">
        <v>0.07</v>
      </c>
      <c r="AZ16" s="206">
        <v>0.04</v>
      </c>
      <c r="BA16" s="206">
        <v>0.02</v>
      </c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</row>
    <row r="17" ht="15.75" customHeight="1">
      <c r="A17" s="237"/>
      <c r="B17" s="237"/>
      <c r="C17" s="237"/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08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6">
        <v>0.14</v>
      </c>
      <c r="AW17" s="206">
        <v>0.33</v>
      </c>
      <c r="AX17" s="206">
        <v>0.25</v>
      </c>
      <c r="AY17" s="206">
        <v>0.15</v>
      </c>
      <c r="AZ17" s="206">
        <v>0.07</v>
      </c>
      <c r="BA17" s="206">
        <v>0.04</v>
      </c>
      <c r="BB17" s="206">
        <v>0.02</v>
      </c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</row>
    <row r="18" ht="15.75" customHeight="1">
      <c r="A18" s="237"/>
      <c r="B18" s="237"/>
      <c r="C18" s="237"/>
      <c r="D18" s="238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8"/>
      <c r="S18" s="238"/>
      <c r="T18" s="238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08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6">
        <v>0.14</v>
      </c>
      <c r="AX18" s="206">
        <v>0.33</v>
      </c>
      <c r="AY18" s="206">
        <v>0.25</v>
      </c>
      <c r="AZ18" s="206">
        <v>0.15</v>
      </c>
      <c r="BA18" s="206">
        <v>0.07</v>
      </c>
      <c r="BB18" s="206">
        <v>0.04</v>
      </c>
      <c r="BC18" s="206">
        <v>0.02</v>
      </c>
      <c r="BD18" s="207"/>
      <c r="BE18" s="207"/>
      <c r="BF18" s="207"/>
      <c r="BG18" s="207"/>
      <c r="BH18" s="207"/>
      <c r="BI18" s="207"/>
      <c r="BJ18" s="207"/>
      <c r="BK18" s="207"/>
      <c r="BL18" s="207"/>
    </row>
    <row r="19" ht="15.75" customHeight="1">
      <c r="A19" s="237"/>
      <c r="B19" s="237"/>
      <c r="C19" s="237"/>
      <c r="D19" s="238"/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08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6">
        <v>0.14</v>
      </c>
      <c r="AY19" s="206">
        <v>0.33</v>
      </c>
      <c r="AZ19" s="206">
        <v>0.25</v>
      </c>
      <c r="BA19" s="206">
        <v>0.15</v>
      </c>
      <c r="BB19" s="206">
        <v>0.07</v>
      </c>
      <c r="BC19" s="206">
        <v>0.04</v>
      </c>
      <c r="BD19" s="206">
        <v>0.02</v>
      </c>
      <c r="BE19" s="207"/>
      <c r="BF19" s="207"/>
      <c r="BG19" s="207"/>
      <c r="BH19" s="207"/>
      <c r="BI19" s="207"/>
      <c r="BJ19" s="207"/>
      <c r="BK19" s="207"/>
      <c r="BL19" s="207"/>
    </row>
    <row r="20" ht="15.75" customHeight="1">
      <c r="A20" s="237"/>
      <c r="B20" s="237"/>
      <c r="C20" s="237"/>
      <c r="D20" s="238"/>
      <c r="E20" s="238"/>
      <c r="F20" s="238"/>
      <c r="G20" s="238"/>
      <c r="H20" s="238"/>
      <c r="I20" s="238"/>
      <c r="J20" s="238"/>
      <c r="K20" s="238"/>
      <c r="L20" s="238"/>
      <c r="M20" s="238"/>
      <c r="N20" s="238"/>
      <c r="O20" s="238"/>
      <c r="P20" s="238"/>
      <c r="Q20" s="238"/>
      <c r="R20" s="238"/>
      <c r="S20" s="238"/>
      <c r="T20" s="238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08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6">
        <v>0.14</v>
      </c>
      <c r="AZ20" s="206">
        <v>0.33</v>
      </c>
      <c r="BA20" s="206">
        <v>0.25</v>
      </c>
      <c r="BB20" s="206">
        <v>0.15</v>
      </c>
      <c r="BC20" s="206">
        <v>0.07</v>
      </c>
      <c r="BD20" s="206">
        <v>0.04</v>
      </c>
      <c r="BE20" s="206">
        <v>0.02</v>
      </c>
      <c r="BF20" s="207"/>
      <c r="BG20" s="207"/>
      <c r="BH20" s="207"/>
      <c r="BI20" s="207"/>
      <c r="BJ20" s="207"/>
      <c r="BK20" s="207"/>
      <c r="BL20" s="207"/>
    </row>
    <row r="21" ht="15.75" customHeight="1">
      <c r="A21" s="237"/>
      <c r="B21" s="237"/>
      <c r="C21" s="237"/>
      <c r="D21" s="238"/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08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6">
        <v>0.14</v>
      </c>
      <c r="BA21" s="206">
        <v>0.33</v>
      </c>
      <c r="BB21" s="206">
        <v>0.25</v>
      </c>
      <c r="BC21" s="206">
        <v>0.15</v>
      </c>
      <c r="BD21" s="206">
        <v>0.07</v>
      </c>
      <c r="BE21" s="206">
        <v>0.04</v>
      </c>
      <c r="BF21" s="206">
        <v>0.02</v>
      </c>
      <c r="BG21" s="207"/>
      <c r="BH21" s="207"/>
      <c r="BI21" s="207"/>
      <c r="BJ21" s="207"/>
      <c r="BK21" s="207"/>
      <c r="BL21" s="207"/>
    </row>
    <row r="22" ht="15.75" customHeight="1">
      <c r="A22" s="237"/>
      <c r="B22" s="237"/>
      <c r="C22" s="237"/>
      <c r="D22" s="238"/>
      <c r="E22" s="238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08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6">
        <v>0.14</v>
      </c>
      <c r="BB22" s="206">
        <v>0.33</v>
      </c>
      <c r="BC22" s="206">
        <v>0.25</v>
      </c>
      <c r="BD22" s="206">
        <v>0.15</v>
      </c>
      <c r="BE22" s="206">
        <v>0.07</v>
      </c>
      <c r="BF22" s="206">
        <v>0.04</v>
      </c>
      <c r="BG22" s="206">
        <v>0.02</v>
      </c>
      <c r="BH22" s="207"/>
      <c r="BI22" s="207"/>
      <c r="BJ22" s="207"/>
      <c r="BK22" s="207"/>
      <c r="BL22" s="207"/>
    </row>
    <row r="23" ht="15.75" customHeight="1">
      <c r="A23" s="237"/>
      <c r="B23" s="237"/>
      <c r="C23" s="237"/>
      <c r="D23" s="238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8"/>
      <c r="W23" s="238"/>
      <c r="X23" s="238"/>
      <c r="Y23" s="238"/>
      <c r="Z23" s="238"/>
      <c r="AA23" s="238"/>
      <c r="AB23" s="238"/>
      <c r="AC23" s="238"/>
      <c r="AD23" s="238"/>
      <c r="AE23" s="208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6">
        <v>0.14</v>
      </c>
      <c r="BC23" s="206">
        <v>0.33</v>
      </c>
      <c r="BD23" s="206">
        <v>0.25</v>
      </c>
      <c r="BE23" s="206">
        <v>0.15</v>
      </c>
      <c r="BF23" s="206">
        <v>0.07</v>
      </c>
      <c r="BG23" s="206">
        <v>0.04</v>
      </c>
      <c r="BH23" s="206">
        <v>0.02</v>
      </c>
      <c r="BI23" s="207"/>
      <c r="BJ23" s="207"/>
      <c r="BK23" s="207"/>
      <c r="BL23" s="207"/>
    </row>
    <row r="24" ht="15.75" customHeight="1">
      <c r="A24" s="237"/>
      <c r="B24" s="237"/>
      <c r="C24" s="237"/>
      <c r="D24" s="238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  <c r="S24" s="238"/>
      <c r="T24" s="238"/>
      <c r="U24" s="238"/>
      <c r="V24" s="238"/>
      <c r="W24" s="238"/>
      <c r="X24" s="238"/>
      <c r="Y24" s="238"/>
      <c r="Z24" s="238"/>
      <c r="AA24" s="238"/>
      <c r="AB24" s="238"/>
      <c r="AC24" s="238"/>
      <c r="AD24" s="238"/>
      <c r="AE24" s="208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6">
        <v>0.14</v>
      </c>
      <c r="BD24" s="206">
        <v>0.33</v>
      </c>
      <c r="BE24" s="206">
        <v>0.25</v>
      </c>
      <c r="BF24" s="206">
        <v>0.15</v>
      </c>
      <c r="BG24" s="206">
        <v>0.07</v>
      </c>
      <c r="BH24" s="206">
        <v>0.04</v>
      </c>
      <c r="BI24" s="206">
        <v>0.02</v>
      </c>
      <c r="BJ24" s="207"/>
      <c r="BK24" s="207"/>
      <c r="BL24" s="207"/>
    </row>
    <row r="25" ht="15.75" customHeight="1">
      <c r="A25" s="237"/>
      <c r="B25" s="237"/>
      <c r="C25" s="237"/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08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6">
        <v>0.14</v>
      </c>
      <c r="BE25" s="206">
        <v>0.33</v>
      </c>
      <c r="BF25" s="206">
        <v>0.25</v>
      </c>
      <c r="BG25" s="206">
        <v>0.15</v>
      </c>
      <c r="BH25" s="206">
        <v>0.07</v>
      </c>
      <c r="BI25" s="206">
        <v>0.04</v>
      </c>
      <c r="BJ25" s="206">
        <v>0.02</v>
      </c>
      <c r="BK25" s="207"/>
      <c r="BL25" s="207"/>
    </row>
    <row r="26" ht="15.75" customHeight="1">
      <c r="A26" s="237"/>
      <c r="B26" s="237"/>
      <c r="C26" s="237"/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08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6">
        <v>0.14</v>
      </c>
      <c r="BF26" s="206">
        <v>0.33</v>
      </c>
      <c r="BG26" s="206">
        <v>0.25</v>
      </c>
      <c r="BH26" s="206">
        <v>0.15</v>
      </c>
      <c r="BI26" s="206">
        <v>0.07</v>
      </c>
      <c r="BJ26" s="206">
        <v>0.04</v>
      </c>
      <c r="BK26" s="206">
        <v>0.02</v>
      </c>
      <c r="BL26" s="207"/>
    </row>
    <row r="27" ht="15.75" customHeight="1">
      <c r="A27" s="237"/>
      <c r="B27" s="237"/>
      <c r="C27" s="237"/>
      <c r="D27" s="238"/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  <c r="W27" s="238"/>
      <c r="X27" s="238"/>
      <c r="Y27" s="238"/>
      <c r="Z27" s="238"/>
      <c r="AA27" s="238"/>
      <c r="AB27" s="238"/>
      <c r="AC27" s="238"/>
      <c r="AD27" s="238"/>
      <c r="AE27" s="208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6">
        <v>0.14</v>
      </c>
      <c r="BG27" s="206">
        <v>0.33</v>
      </c>
      <c r="BH27" s="206">
        <v>0.25</v>
      </c>
      <c r="BI27" s="206">
        <v>0.15</v>
      </c>
      <c r="BJ27" s="206">
        <v>0.07</v>
      </c>
      <c r="BK27" s="206">
        <v>0.04</v>
      </c>
      <c r="BL27" s="206">
        <v>0.02</v>
      </c>
    </row>
    <row r="28" ht="15.75" customHeight="1">
      <c r="A28" s="237"/>
      <c r="B28" s="237"/>
      <c r="C28" s="237"/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  <c r="W28" s="238"/>
      <c r="X28" s="238"/>
      <c r="Y28" s="238"/>
      <c r="Z28" s="238"/>
      <c r="AA28" s="238"/>
      <c r="AB28" s="238"/>
      <c r="AC28" s="238"/>
      <c r="AD28" s="238"/>
      <c r="AE28" s="208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6">
        <v>0.14</v>
      </c>
      <c r="BH28" s="206">
        <v>0.33</v>
      </c>
      <c r="BI28" s="206">
        <v>0.25</v>
      </c>
      <c r="BJ28" s="206">
        <v>0.15</v>
      </c>
      <c r="BK28" s="206">
        <v>0.07</v>
      </c>
      <c r="BL28" s="206">
        <v>0.04</v>
      </c>
    </row>
    <row r="29" ht="15.75" customHeight="1">
      <c r="A29" s="237"/>
      <c r="B29" s="237"/>
      <c r="C29" s="237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X29" s="238"/>
      <c r="Y29" s="238"/>
      <c r="Z29" s="238"/>
      <c r="AA29" s="238"/>
      <c r="AB29" s="238"/>
      <c r="AC29" s="238"/>
      <c r="AD29" s="238"/>
      <c r="AE29" s="208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6">
        <v>0.14</v>
      </c>
      <c r="BI29" s="206">
        <v>0.33</v>
      </c>
      <c r="BJ29" s="206">
        <v>0.25</v>
      </c>
      <c r="BK29" s="206">
        <v>0.15</v>
      </c>
      <c r="BL29" s="206">
        <v>0.07</v>
      </c>
    </row>
    <row r="30" ht="15.75" customHeight="1">
      <c r="A30" s="237"/>
      <c r="B30" s="237"/>
      <c r="C30" s="237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08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6">
        <v>0.14</v>
      </c>
      <c r="BJ30" s="206">
        <v>0.33</v>
      </c>
      <c r="BK30" s="206">
        <v>0.25</v>
      </c>
      <c r="BL30" s="206">
        <v>0.15</v>
      </c>
    </row>
    <row r="31" ht="15.75" customHeight="1">
      <c r="A31" s="237"/>
      <c r="B31" s="237"/>
      <c r="C31" s="237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08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6">
        <v>0.14</v>
      </c>
      <c r="BK31" s="206">
        <v>0.33</v>
      </c>
      <c r="BL31" s="206">
        <v>0.25</v>
      </c>
    </row>
    <row r="32" ht="15.75" customHeight="1">
      <c r="A32" s="237"/>
      <c r="B32" s="237"/>
      <c r="C32" s="237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08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6">
        <v>0.14</v>
      </c>
      <c r="BL32" s="206">
        <v>0.33</v>
      </c>
    </row>
    <row r="33" ht="15.75" customHeight="1">
      <c r="A33" s="237"/>
      <c r="B33" s="237"/>
      <c r="C33" s="237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08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6">
        <v>0.14</v>
      </c>
    </row>
    <row r="34" ht="15.75" customHeight="1">
      <c r="A34" s="237"/>
      <c r="B34" s="237"/>
      <c r="C34" s="237"/>
      <c r="D34" s="237"/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  <c r="AA34" s="237"/>
      <c r="AB34" s="237"/>
      <c r="AC34" s="237"/>
      <c r="AD34" s="237"/>
      <c r="AE34" s="204"/>
      <c r="AF34" s="209" t="s">
        <v>14</v>
      </c>
      <c r="AG34" s="209" t="s">
        <v>2</v>
      </c>
      <c r="AH34" s="209" t="s">
        <v>3</v>
      </c>
      <c r="AI34" s="209" t="s">
        <v>4</v>
      </c>
      <c r="AJ34" s="209" t="s">
        <v>5</v>
      </c>
      <c r="AK34" s="209" t="s">
        <v>6</v>
      </c>
      <c r="AL34" s="209" t="s">
        <v>7</v>
      </c>
      <c r="AM34" s="209" t="s">
        <v>8</v>
      </c>
      <c r="AN34" s="209" t="s">
        <v>9</v>
      </c>
      <c r="AO34" s="209" t="s">
        <v>10</v>
      </c>
      <c r="AP34" s="209" t="s">
        <v>11</v>
      </c>
      <c r="AQ34" s="209" t="s">
        <v>12</v>
      </c>
      <c r="AR34" s="209" t="s">
        <v>13</v>
      </c>
      <c r="AS34" s="209" t="s">
        <v>63</v>
      </c>
      <c r="AT34" s="209" t="s">
        <v>64</v>
      </c>
      <c r="AU34" s="209" t="s">
        <v>65</v>
      </c>
      <c r="AV34" s="209" t="s">
        <v>66</v>
      </c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</row>
    <row r="35" ht="15.75" customHeight="1">
      <c r="A35" s="237"/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  <c r="AD35" s="239"/>
      <c r="AE35" s="204"/>
      <c r="AF35" s="212">
        <v>0.0</v>
      </c>
      <c r="AG35" s="53">
        <f t="shared" ref="AG35:AM35" si="1">$AF35*AG2</f>
        <v>0</v>
      </c>
      <c r="AH35" s="53">
        <f t="shared" si="1"/>
        <v>0</v>
      </c>
      <c r="AI35" s="53">
        <f t="shared" si="1"/>
        <v>0</v>
      </c>
      <c r="AJ35" s="53">
        <f t="shared" si="1"/>
        <v>0</v>
      </c>
      <c r="AK35" s="53">
        <f t="shared" si="1"/>
        <v>0</v>
      </c>
      <c r="AL35" s="53">
        <f t="shared" si="1"/>
        <v>0</v>
      </c>
      <c r="AM35" s="53">
        <f t="shared" si="1"/>
        <v>0</v>
      </c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</row>
    <row r="36" ht="15.75" customHeight="1">
      <c r="A36" s="237"/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  <c r="AA36" s="239"/>
      <c r="AB36" s="239"/>
      <c r="AC36" s="239"/>
      <c r="AD36" s="239"/>
      <c r="AE36" s="204"/>
      <c r="AF36" s="212">
        <v>0.0</v>
      </c>
      <c r="AG36" s="211"/>
      <c r="AH36" s="53">
        <f t="shared" ref="AH36:AN36" si="2">$AF36*AH3</f>
        <v>0</v>
      </c>
      <c r="AI36" s="53">
        <f t="shared" si="2"/>
        <v>0</v>
      </c>
      <c r="AJ36" s="53">
        <f t="shared" si="2"/>
        <v>0</v>
      </c>
      <c r="AK36" s="53">
        <f t="shared" si="2"/>
        <v>0</v>
      </c>
      <c r="AL36" s="53">
        <f t="shared" si="2"/>
        <v>0</v>
      </c>
      <c r="AM36" s="53">
        <f t="shared" si="2"/>
        <v>0</v>
      </c>
      <c r="AN36" s="53">
        <f t="shared" si="2"/>
        <v>0</v>
      </c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</row>
    <row r="37" ht="15.75" customHeight="1">
      <c r="A37" s="237"/>
      <c r="B37" s="239"/>
      <c r="C37" s="239"/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  <c r="AD37" s="239"/>
      <c r="AE37" s="204"/>
      <c r="AF37" s="212">
        <v>0.0</v>
      </c>
      <c r="AG37" s="207"/>
      <c r="AH37" s="211"/>
      <c r="AI37" s="53">
        <f t="shared" ref="AI37:AO37" si="3">$AF37*AI4</f>
        <v>0</v>
      </c>
      <c r="AJ37" s="53">
        <f t="shared" si="3"/>
        <v>0</v>
      </c>
      <c r="AK37" s="53">
        <f t="shared" si="3"/>
        <v>0</v>
      </c>
      <c r="AL37" s="53">
        <f t="shared" si="3"/>
        <v>0</v>
      </c>
      <c r="AM37" s="53">
        <f t="shared" si="3"/>
        <v>0</v>
      </c>
      <c r="AN37" s="53">
        <f t="shared" si="3"/>
        <v>0</v>
      </c>
      <c r="AO37" s="53">
        <f t="shared" si="3"/>
        <v>0</v>
      </c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</row>
    <row r="38" ht="15.75" customHeight="1">
      <c r="A38" s="237"/>
      <c r="B38" s="239"/>
      <c r="C38" s="239"/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  <c r="AA38" s="239"/>
      <c r="AB38" s="239"/>
      <c r="AC38" s="239"/>
      <c r="AD38" s="239"/>
      <c r="AE38" s="204"/>
      <c r="AF38" s="212">
        <v>0.0</v>
      </c>
      <c r="AG38" s="207"/>
      <c r="AH38" s="211"/>
      <c r="AI38" s="211"/>
      <c r="AJ38" s="53">
        <f t="shared" ref="AJ38:AP38" si="4">$AF38*AJ5</f>
        <v>0</v>
      </c>
      <c r="AK38" s="53">
        <f t="shared" si="4"/>
        <v>0</v>
      </c>
      <c r="AL38" s="53">
        <f t="shared" si="4"/>
        <v>0</v>
      </c>
      <c r="AM38" s="53">
        <f t="shared" si="4"/>
        <v>0</v>
      </c>
      <c r="AN38" s="53">
        <f t="shared" si="4"/>
        <v>0</v>
      </c>
      <c r="AO38" s="53">
        <f t="shared" si="4"/>
        <v>0</v>
      </c>
      <c r="AP38" s="53">
        <f t="shared" si="4"/>
        <v>0</v>
      </c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</row>
    <row r="39" ht="15.75" customHeight="1">
      <c r="A39" s="237"/>
      <c r="B39" s="237"/>
      <c r="C39" s="237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  <c r="AA39" s="239"/>
      <c r="AB39" s="239"/>
      <c r="AC39" s="239"/>
      <c r="AD39" s="239"/>
      <c r="AE39" s="204"/>
      <c r="AF39" s="212">
        <v>0.0</v>
      </c>
      <c r="AG39" s="207"/>
      <c r="AH39" s="211"/>
      <c r="AI39" s="211"/>
      <c r="AJ39" s="211"/>
      <c r="AK39" s="53">
        <f t="shared" ref="AK39:AQ39" si="5">$AF39*AK6</f>
        <v>0</v>
      </c>
      <c r="AL39" s="53">
        <f t="shared" si="5"/>
        <v>0</v>
      </c>
      <c r="AM39" s="53">
        <f t="shared" si="5"/>
        <v>0</v>
      </c>
      <c r="AN39" s="53">
        <f t="shared" si="5"/>
        <v>0</v>
      </c>
      <c r="AO39" s="53">
        <f t="shared" si="5"/>
        <v>0</v>
      </c>
      <c r="AP39" s="53">
        <f t="shared" si="5"/>
        <v>0</v>
      </c>
      <c r="AQ39" s="53">
        <f t="shared" si="5"/>
        <v>0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</row>
    <row r="40" ht="15.75" customHeight="1">
      <c r="A40" s="237"/>
      <c r="B40" s="237"/>
      <c r="C40" s="238"/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  <c r="AA40" s="239"/>
      <c r="AB40" s="239"/>
      <c r="AC40" s="239"/>
      <c r="AD40" s="239"/>
      <c r="AE40" s="215"/>
      <c r="AF40" s="216">
        <f t="array" ref="AF40:AF66">transpose(D67:AD67)</f>
        <v>3</v>
      </c>
      <c r="AG40" s="207"/>
      <c r="AH40" s="211"/>
      <c r="AI40" s="211"/>
      <c r="AJ40" s="211"/>
      <c r="AK40" s="211"/>
      <c r="AL40" s="53">
        <f t="shared" ref="AL40:AR40" si="6">$AF40*AL7</f>
        <v>0.42</v>
      </c>
      <c r="AM40" s="53">
        <f t="shared" si="6"/>
        <v>0.99</v>
      </c>
      <c r="AN40" s="53">
        <f t="shared" si="6"/>
        <v>0.75</v>
      </c>
      <c r="AO40" s="53">
        <f t="shared" si="6"/>
        <v>0.45</v>
      </c>
      <c r="AP40" s="53">
        <f t="shared" si="6"/>
        <v>0.21</v>
      </c>
      <c r="AQ40" s="53">
        <f t="shared" si="6"/>
        <v>0.12</v>
      </c>
      <c r="AR40" s="53">
        <f t="shared" si="6"/>
        <v>0.06</v>
      </c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</row>
    <row r="41" ht="15.75" customHeight="1">
      <c r="A41" s="237"/>
      <c r="B41" s="237"/>
      <c r="C41" s="238"/>
      <c r="D41" s="239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  <c r="AA41" s="239"/>
      <c r="AB41" s="239"/>
      <c r="AC41" s="239"/>
      <c r="AD41" s="239"/>
      <c r="AE41" s="217"/>
      <c r="AF41" s="53">
        <v>3.0</v>
      </c>
      <c r="AG41" s="207"/>
      <c r="AH41" s="211"/>
      <c r="AI41" s="211"/>
      <c r="AJ41" s="211"/>
      <c r="AK41" s="211"/>
      <c r="AL41" s="211"/>
      <c r="AM41" s="53">
        <f t="shared" ref="AM41:AS41" si="7">$AF41*AM8</f>
        <v>0.42</v>
      </c>
      <c r="AN41" s="53">
        <f t="shared" si="7"/>
        <v>0.99</v>
      </c>
      <c r="AO41" s="53">
        <f t="shared" si="7"/>
        <v>0.75</v>
      </c>
      <c r="AP41" s="53">
        <f t="shared" si="7"/>
        <v>0.45</v>
      </c>
      <c r="AQ41" s="53">
        <f t="shared" si="7"/>
        <v>0.21</v>
      </c>
      <c r="AR41" s="53">
        <f t="shared" si="7"/>
        <v>0.12</v>
      </c>
      <c r="AS41" s="53">
        <f t="shared" si="7"/>
        <v>0.06</v>
      </c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</row>
    <row r="42" ht="15.75" customHeight="1">
      <c r="A42" s="237"/>
      <c r="B42" s="237"/>
      <c r="C42" s="238"/>
      <c r="D42" s="237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  <c r="AA42" s="239"/>
      <c r="AB42" s="239"/>
      <c r="AC42" s="239"/>
      <c r="AD42" s="239"/>
      <c r="AE42" s="217"/>
      <c r="AF42" s="53">
        <v>2.0</v>
      </c>
      <c r="AG42" s="207"/>
      <c r="AH42" s="211"/>
      <c r="AI42" s="211"/>
      <c r="AJ42" s="211"/>
      <c r="AK42" s="211"/>
      <c r="AL42" s="211"/>
      <c r="AM42" s="211"/>
      <c r="AN42" s="53">
        <f t="shared" ref="AN42:AT42" si="8">$AF42*AN9</f>
        <v>0.28</v>
      </c>
      <c r="AO42" s="53">
        <f t="shared" si="8"/>
        <v>0.66</v>
      </c>
      <c r="AP42" s="53">
        <f t="shared" si="8"/>
        <v>0.5</v>
      </c>
      <c r="AQ42" s="53">
        <f t="shared" si="8"/>
        <v>0.3</v>
      </c>
      <c r="AR42" s="53">
        <f t="shared" si="8"/>
        <v>0.14</v>
      </c>
      <c r="AS42" s="53">
        <f t="shared" si="8"/>
        <v>0.08</v>
      </c>
      <c r="AT42" s="53">
        <f t="shared" si="8"/>
        <v>0.04</v>
      </c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</row>
    <row r="43" ht="15.75" customHeight="1">
      <c r="A43" s="237"/>
      <c r="B43" s="237"/>
      <c r="C43" s="238"/>
      <c r="D43" s="237"/>
      <c r="E43" s="237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  <c r="AD43" s="239"/>
      <c r="AE43" s="217"/>
      <c r="AF43" s="53">
        <v>0.0</v>
      </c>
      <c r="AG43" s="207"/>
      <c r="AH43" s="211"/>
      <c r="AI43" s="211"/>
      <c r="AJ43" s="211"/>
      <c r="AK43" s="211"/>
      <c r="AL43" s="211"/>
      <c r="AM43" s="211"/>
      <c r="AN43" s="211"/>
      <c r="AO43" s="53">
        <f t="shared" ref="AO43:AU43" si="9">$AF43*AO10</f>
        <v>0</v>
      </c>
      <c r="AP43" s="53">
        <f t="shared" si="9"/>
        <v>0</v>
      </c>
      <c r="AQ43" s="53">
        <f t="shared" si="9"/>
        <v>0</v>
      </c>
      <c r="AR43" s="53">
        <f t="shared" si="9"/>
        <v>0</v>
      </c>
      <c r="AS43" s="53">
        <f t="shared" si="9"/>
        <v>0</v>
      </c>
      <c r="AT43" s="53">
        <f t="shared" si="9"/>
        <v>0</v>
      </c>
      <c r="AU43" s="53">
        <f t="shared" si="9"/>
        <v>0</v>
      </c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</row>
    <row r="44" ht="15.75" customHeight="1">
      <c r="A44" s="237"/>
      <c r="B44" s="237"/>
      <c r="C44" s="238"/>
      <c r="D44" s="237"/>
      <c r="E44" s="237"/>
      <c r="F44" s="237"/>
      <c r="G44" s="237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39"/>
      <c r="AC44" s="239"/>
      <c r="AD44" s="239"/>
      <c r="AE44" s="217"/>
      <c r="AF44" s="53">
        <v>3.0</v>
      </c>
      <c r="AG44" s="207"/>
      <c r="AH44" s="211"/>
      <c r="AI44" s="211"/>
      <c r="AJ44" s="211"/>
      <c r="AK44" s="211"/>
      <c r="AL44" s="211"/>
      <c r="AM44" s="211"/>
      <c r="AN44" s="211"/>
      <c r="AO44" s="211"/>
      <c r="AP44" s="53">
        <f t="shared" ref="AP44:AV44" si="10">$AF44*AP11</f>
        <v>0.42</v>
      </c>
      <c r="AQ44" s="53">
        <f t="shared" si="10"/>
        <v>0.99</v>
      </c>
      <c r="AR44" s="53">
        <f t="shared" si="10"/>
        <v>0.75</v>
      </c>
      <c r="AS44" s="53">
        <f t="shared" si="10"/>
        <v>0.45</v>
      </c>
      <c r="AT44" s="53">
        <f t="shared" si="10"/>
        <v>0.21</v>
      </c>
      <c r="AU44" s="53">
        <f t="shared" si="10"/>
        <v>0.12</v>
      </c>
      <c r="AV44" s="53">
        <f t="shared" si="10"/>
        <v>0.06</v>
      </c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</row>
    <row r="45" ht="15.75" customHeight="1">
      <c r="A45" s="237"/>
      <c r="B45" s="237"/>
      <c r="C45" s="238"/>
      <c r="D45" s="237"/>
      <c r="E45" s="237"/>
      <c r="F45" s="237"/>
      <c r="G45" s="237"/>
      <c r="H45" s="237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  <c r="AD45" s="239"/>
      <c r="AE45" s="217"/>
      <c r="AF45" s="53">
        <v>2.0</v>
      </c>
      <c r="AG45" s="207"/>
      <c r="AH45" s="211"/>
      <c r="AI45" s="211"/>
      <c r="AJ45" s="211"/>
      <c r="AK45" s="211"/>
      <c r="AL45" s="211"/>
      <c r="AM45" s="211"/>
      <c r="AN45" s="211"/>
      <c r="AO45" s="211"/>
      <c r="AP45" s="211"/>
      <c r="AQ45" s="53">
        <f t="shared" ref="AQ45:AW45" si="11">$AF45*AQ12</f>
        <v>0.28</v>
      </c>
      <c r="AR45" s="53">
        <f t="shared" si="11"/>
        <v>0.66</v>
      </c>
      <c r="AS45" s="53">
        <f t="shared" si="11"/>
        <v>0.5</v>
      </c>
      <c r="AT45" s="53">
        <f t="shared" si="11"/>
        <v>0.3</v>
      </c>
      <c r="AU45" s="53">
        <f t="shared" si="11"/>
        <v>0.14</v>
      </c>
      <c r="AV45" s="53">
        <f t="shared" si="11"/>
        <v>0.08</v>
      </c>
      <c r="AW45" s="53">
        <f t="shared" si="11"/>
        <v>0.04</v>
      </c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</row>
    <row r="46" ht="15.75" customHeight="1">
      <c r="A46" s="237"/>
      <c r="B46" s="240"/>
      <c r="C46" s="238"/>
      <c r="D46" s="237"/>
      <c r="E46" s="237"/>
      <c r="F46" s="237"/>
      <c r="G46" s="237"/>
      <c r="H46" s="237"/>
      <c r="I46" s="237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  <c r="AA46" s="239"/>
      <c r="AB46" s="239"/>
      <c r="AC46" s="239"/>
      <c r="AD46" s="239"/>
      <c r="AE46" s="217"/>
      <c r="AF46" s="53">
        <v>4.0</v>
      </c>
      <c r="AG46" s="207"/>
      <c r="AH46" s="211"/>
      <c r="AI46" s="211"/>
      <c r="AJ46" s="211"/>
      <c r="AK46" s="211"/>
      <c r="AL46" s="211"/>
      <c r="AM46" s="211"/>
      <c r="AN46" s="211"/>
      <c r="AO46" s="211"/>
      <c r="AP46" s="207"/>
      <c r="AQ46" s="211"/>
      <c r="AR46" s="53">
        <f t="shared" ref="AR46:AX46" si="12">$AF46*AR13</f>
        <v>0.56</v>
      </c>
      <c r="AS46" s="53">
        <f t="shared" si="12"/>
        <v>1.32</v>
      </c>
      <c r="AT46" s="53">
        <f t="shared" si="12"/>
        <v>1</v>
      </c>
      <c r="AU46" s="53">
        <f t="shared" si="12"/>
        <v>0.6</v>
      </c>
      <c r="AV46" s="53">
        <f t="shared" si="12"/>
        <v>0.28</v>
      </c>
      <c r="AW46" s="53">
        <f t="shared" si="12"/>
        <v>0.16</v>
      </c>
      <c r="AX46" s="53">
        <f t="shared" si="12"/>
        <v>0.08</v>
      </c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</row>
    <row r="47" ht="15.75" customHeight="1">
      <c r="A47" s="237"/>
      <c r="B47" s="240"/>
      <c r="C47" s="238"/>
      <c r="D47" s="237"/>
      <c r="E47" s="237"/>
      <c r="F47" s="237"/>
      <c r="G47" s="237"/>
      <c r="H47" s="237"/>
      <c r="I47" s="237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  <c r="AD47" s="239"/>
      <c r="AE47" s="217"/>
      <c r="AF47" s="53">
        <v>0.0</v>
      </c>
      <c r="AG47" s="207"/>
      <c r="AH47" s="211"/>
      <c r="AI47" s="211"/>
      <c r="AJ47" s="211"/>
      <c r="AK47" s="211"/>
      <c r="AL47" s="211"/>
      <c r="AM47" s="211"/>
      <c r="AN47" s="211"/>
      <c r="AO47" s="211"/>
      <c r="AP47" s="207"/>
      <c r="AQ47" s="211"/>
      <c r="AR47" s="211"/>
      <c r="AS47" s="53">
        <f t="shared" ref="AS47:AY47" si="13">$AF47*AS14</f>
        <v>0</v>
      </c>
      <c r="AT47" s="53">
        <f t="shared" si="13"/>
        <v>0</v>
      </c>
      <c r="AU47" s="53">
        <f t="shared" si="13"/>
        <v>0</v>
      </c>
      <c r="AV47" s="53">
        <f t="shared" si="13"/>
        <v>0</v>
      </c>
      <c r="AW47" s="53">
        <f t="shared" si="13"/>
        <v>0</v>
      </c>
      <c r="AX47" s="53">
        <f t="shared" si="13"/>
        <v>0</v>
      </c>
      <c r="AY47" s="53">
        <f t="shared" si="13"/>
        <v>0</v>
      </c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</row>
    <row r="48" ht="15.75" customHeight="1">
      <c r="A48" s="237"/>
      <c r="B48" s="240"/>
      <c r="C48" s="238"/>
      <c r="D48" s="237"/>
      <c r="E48" s="237"/>
      <c r="F48" s="237"/>
      <c r="G48" s="237"/>
      <c r="H48" s="237"/>
      <c r="I48" s="237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  <c r="V48" s="239"/>
      <c r="W48" s="239"/>
      <c r="X48" s="239"/>
      <c r="Y48" s="239"/>
      <c r="Z48" s="239"/>
      <c r="AA48" s="239"/>
      <c r="AB48" s="239"/>
      <c r="AC48" s="239"/>
      <c r="AD48" s="239"/>
      <c r="AE48" s="217"/>
      <c r="AF48" s="53">
        <v>1.0</v>
      </c>
      <c r="AG48" s="207"/>
      <c r="AH48" s="211"/>
      <c r="AI48" s="211"/>
      <c r="AJ48" s="211"/>
      <c r="AK48" s="211"/>
      <c r="AL48" s="211"/>
      <c r="AM48" s="211"/>
      <c r="AN48" s="211"/>
      <c r="AO48" s="211"/>
      <c r="AP48" s="207"/>
      <c r="AQ48" s="211"/>
      <c r="AR48" s="211"/>
      <c r="AS48" s="211"/>
      <c r="AT48" s="53">
        <f t="shared" ref="AT48:AZ48" si="14">$AF48*AT15</f>
        <v>0.14</v>
      </c>
      <c r="AU48" s="53">
        <f t="shared" si="14"/>
        <v>0.33</v>
      </c>
      <c r="AV48" s="53">
        <f t="shared" si="14"/>
        <v>0.25</v>
      </c>
      <c r="AW48" s="53">
        <f t="shared" si="14"/>
        <v>0.15</v>
      </c>
      <c r="AX48" s="53">
        <f t="shared" si="14"/>
        <v>0.07</v>
      </c>
      <c r="AY48" s="53">
        <f t="shared" si="14"/>
        <v>0.04</v>
      </c>
      <c r="AZ48" s="53">
        <f t="shared" si="14"/>
        <v>0.02</v>
      </c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</row>
    <row r="49" ht="15.75" customHeight="1">
      <c r="A49" s="237"/>
      <c r="B49" s="240"/>
      <c r="C49" s="238"/>
      <c r="D49" s="237"/>
      <c r="E49" s="237"/>
      <c r="F49" s="237"/>
      <c r="G49" s="237"/>
      <c r="H49" s="237"/>
      <c r="I49" s="237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  <c r="AE49" s="217"/>
      <c r="AF49" s="53">
        <v>0.0</v>
      </c>
      <c r="AG49" s="207"/>
      <c r="AH49" s="211"/>
      <c r="AI49" s="211"/>
      <c r="AJ49" s="211"/>
      <c r="AK49" s="211"/>
      <c r="AL49" s="211"/>
      <c r="AM49" s="211"/>
      <c r="AN49" s="211"/>
      <c r="AO49" s="211"/>
      <c r="AP49" s="207"/>
      <c r="AQ49" s="211"/>
      <c r="AR49" s="211"/>
      <c r="AS49" s="211"/>
      <c r="AT49" s="211"/>
      <c r="AU49" s="53">
        <f t="shared" ref="AU49:BA49" si="15">$AF49*AU16</f>
        <v>0</v>
      </c>
      <c r="AV49" s="53">
        <f t="shared" si="15"/>
        <v>0</v>
      </c>
      <c r="AW49" s="53">
        <f t="shared" si="15"/>
        <v>0</v>
      </c>
      <c r="AX49" s="53">
        <f t="shared" si="15"/>
        <v>0</v>
      </c>
      <c r="AY49" s="53">
        <f t="shared" si="15"/>
        <v>0</v>
      </c>
      <c r="AZ49" s="53">
        <f t="shared" si="15"/>
        <v>0</v>
      </c>
      <c r="BA49" s="53">
        <f t="shared" si="15"/>
        <v>0</v>
      </c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</row>
    <row r="50" ht="15.75" customHeight="1">
      <c r="A50" s="237"/>
      <c r="B50" s="240"/>
      <c r="C50" s="238"/>
      <c r="D50" s="237"/>
      <c r="E50" s="237"/>
      <c r="F50" s="237"/>
      <c r="G50" s="237"/>
      <c r="H50" s="237"/>
      <c r="I50" s="237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  <c r="AA50" s="239"/>
      <c r="AB50" s="239"/>
      <c r="AC50" s="239"/>
      <c r="AD50" s="239"/>
      <c r="AE50" s="217"/>
      <c r="AF50" s="53">
        <v>0.0</v>
      </c>
      <c r="AG50" s="207"/>
      <c r="AH50" s="211"/>
      <c r="AI50" s="211"/>
      <c r="AJ50" s="211"/>
      <c r="AK50" s="211"/>
      <c r="AL50" s="211"/>
      <c r="AM50" s="211"/>
      <c r="AN50" s="211"/>
      <c r="AO50" s="211"/>
      <c r="AP50" s="207"/>
      <c r="AQ50" s="211"/>
      <c r="AR50" s="211"/>
      <c r="AS50" s="211"/>
      <c r="AT50" s="211"/>
      <c r="AU50" s="211"/>
      <c r="AV50" s="53">
        <f t="shared" ref="AV50:BB50" si="16">$AF50*AV17</f>
        <v>0</v>
      </c>
      <c r="AW50" s="53">
        <f t="shared" si="16"/>
        <v>0</v>
      </c>
      <c r="AX50" s="53">
        <f t="shared" si="16"/>
        <v>0</v>
      </c>
      <c r="AY50" s="53">
        <f t="shared" si="16"/>
        <v>0</v>
      </c>
      <c r="AZ50" s="53">
        <f t="shared" si="16"/>
        <v>0</v>
      </c>
      <c r="BA50" s="53">
        <f t="shared" si="16"/>
        <v>0</v>
      </c>
      <c r="BB50" s="53">
        <f t="shared" si="16"/>
        <v>0</v>
      </c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</row>
    <row r="51" ht="15.75" customHeight="1">
      <c r="A51" s="237"/>
      <c r="B51" s="240"/>
      <c r="C51" s="238"/>
      <c r="D51" s="237"/>
      <c r="E51" s="237"/>
      <c r="F51" s="237"/>
      <c r="G51" s="237"/>
      <c r="H51" s="237"/>
      <c r="I51" s="237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  <c r="AD51" s="239"/>
      <c r="AE51" s="217"/>
      <c r="AF51" s="53">
        <v>1.0</v>
      </c>
      <c r="AG51" s="207"/>
      <c r="AH51" s="211"/>
      <c r="AI51" s="211"/>
      <c r="AJ51" s="211"/>
      <c r="AK51" s="211"/>
      <c r="AL51" s="211"/>
      <c r="AM51" s="211"/>
      <c r="AN51" s="211"/>
      <c r="AO51" s="211"/>
      <c r="AP51" s="207"/>
      <c r="AQ51" s="211"/>
      <c r="AR51" s="211"/>
      <c r="AS51" s="211"/>
      <c r="AT51" s="211"/>
      <c r="AU51" s="211"/>
      <c r="AV51" s="211"/>
      <c r="AW51" s="53">
        <f t="shared" ref="AW51:BC51" si="17">$AF51*AW18</f>
        <v>0.14</v>
      </c>
      <c r="AX51" s="53">
        <f t="shared" si="17"/>
        <v>0.33</v>
      </c>
      <c r="AY51" s="53">
        <f t="shared" si="17"/>
        <v>0.25</v>
      </c>
      <c r="AZ51" s="53">
        <f t="shared" si="17"/>
        <v>0.15</v>
      </c>
      <c r="BA51" s="53">
        <f t="shared" si="17"/>
        <v>0.07</v>
      </c>
      <c r="BB51" s="53">
        <f t="shared" si="17"/>
        <v>0.04</v>
      </c>
      <c r="BC51" s="53">
        <f t="shared" si="17"/>
        <v>0.02</v>
      </c>
      <c r="BD51" s="211"/>
      <c r="BE51" s="211"/>
      <c r="BF51" s="211"/>
      <c r="BG51" s="211"/>
      <c r="BH51" s="211"/>
      <c r="BI51" s="211"/>
      <c r="BJ51" s="211"/>
      <c r="BK51" s="211"/>
      <c r="BL51" s="211"/>
    </row>
    <row r="52" ht="15.75" customHeight="1">
      <c r="A52" s="237"/>
      <c r="B52" s="240"/>
      <c r="C52" s="238"/>
      <c r="D52" s="237"/>
      <c r="E52" s="237"/>
      <c r="F52" s="237"/>
      <c r="G52" s="237"/>
      <c r="H52" s="237"/>
      <c r="I52" s="237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  <c r="AA52" s="239"/>
      <c r="AB52" s="239"/>
      <c r="AC52" s="239"/>
      <c r="AD52" s="239"/>
      <c r="AE52" s="217"/>
      <c r="AF52" s="53">
        <v>1.0</v>
      </c>
      <c r="AG52" s="211"/>
      <c r="AH52" s="211"/>
      <c r="AI52" s="211"/>
      <c r="AJ52" s="211"/>
      <c r="AK52" s="211"/>
      <c r="AL52" s="211"/>
      <c r="AM52" s="211"/>
      <c r="AN52" s="211"/>
      <c r="AO52" s="211"/>
      <c r="AP52" s="207"/>
      <c r="AQ52" s="211"/>
      <c r="AR52" s="211"/>
      <c r="AS52" s="211"/>
      <c r="AT52" s="211"/>
      <c r="AU52" s="211"/>
      <c r="AV52" s="211"/>
      <c r="AW52" s="211"/>
      <c r="AX52" s="53">
        <f t="shared" ref="AX52:BD52" si="18">$AF52*AX19</f>
        <v>0.14</v>
      </c>
      <c r="AY52" s="53">
        <f t="shared" si="18"/>
        <v>0.33</v>
      </c>
      <c r="AZ52" s="53">
        <f t="shared" si="18"/>
        <v>0.25</v>
      </c>
      <c r="BA52" s="53">
        <f t="shared" si="18"/>
        <v>0.15</v>
      </c>
      <c r="BB52" s="53">
        <f t="shared" si="18"/>
        <v>0.07</v>
      </c>
      <c r="BC52" s="53">
        <f t="shared" si="18"/>
        <v>0.04</v>
      </c>
      <c r="BD52" s="53">
        <f t="shared" si="18"/>
        <v>0.02</v>
      </c>
      <c r="BE52" s="211"/>
      <c r="BF52" s="211"/>
      <c r="BG52" s="211"/>
      <c r="BH52" s="211"/>
      <c r="BI52" s="211"/>
      <c r="BJ52" s="211"/>
      <c r="BK52" s="211"/>
      <c r="BL52" s="211"/>
    </row>
    <row r="53" ht="15.75" customHeight="1">
      <c r="A53" s="237"/>
      <c r="B53" s="240"/>
      <c r="C53" s="238"/>
      <c r="D53" s="237"/>
      <c r="E53" s="237"/>
      <c r="F53" s="237"/>
      <c r="G53" s="237"/>
      <c r="H53" s="237"/>
      <c r="I53" s="237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  <c r="AD53" s="239"/>
      <c r="AE53" s="217"/>
      <c r="AF53" s="53">
        <v>1.07</v>
      </c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53">
        <f t="shared" ref="AY53:BE53" si="19">$AF53*AY20</f>
        <v>0.1498</v>
      </c>
      <c r="AZ53" s="53">
        <f t="shared" si="19"/>
        <v>0.3531</v>
      </c>
      <c r="BA53" s="53">
        <f t="shared" si="19"/>
        <v>0.2675</v>
      </c>
      <c r="BB53" s="53">
        <f t="shared" si="19"/>
        <v>0.1605</v>
      </c>
      <c r="BC53" s="53">
        <f t="shared" si="19"/>
        <v>0.0749</v>
      </c>
      <c r="BD53" s="53">
        <f t="shared" si="19"/>
        <v>0.0428</v>
      </c>
      <c r="BE53" s="53">
        <f t="shared" si="19"/>
        <v>0.0214</v>
      </c>
      <c r="BF53" s="211"/>
      <c r="BG53" s="211"/>
      <c r="BH53" s="211"/>
      <c r="BI53" s="211"/>
      <c r="BJ53" s="211"/>
      <c r="BK53" s="211"/>
      <c r="BL53" s="211"/>
    </row>
    <row r="54" ht="15.75" customHeight="1">
      <c r="A54" s="241"/>
      <c r="B54" s="240"/>
      <c r="C54" s="238"/>
      <c r="D54" s="237"/>
      <c r="E54" s="237"/>
      <c r="F54" s="237"/>
      <c r="G54" s="237"/>
      <c r="H54" s="237"/>
      <c r="I54" s="237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  <c r="AD54" s="239"/>
      <c r="AE54" s="217"/>
      <c r="AF54" s="53">
        <v>3.0</v>
      </c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53">
        <f t="shared" ref="AZ54:BF54" si="20">$AF54*AZ21</f>
        <v>0.42</v>
      </c>
      <c r="BA54" s="53">
        <f t="shared" si="20"/>
        <v>0.99</v>
      </c>
      <c r="BB54" s="53">
        <f t="shared" si="20"/>
        <v>0.75</v>
      </c>
      <c r="BC54" s="53">
        <f t="shared" si="20"/>
        <v>0.45</v>
      </c>
      <c r="BD54" s="53">
        <f t="shared" si="20"/>
        <v>0.21</v>
      </c>
      <c r="BE54" s="53">
        <f t="shared" si="20"/>
        <v>0.12</v>
      </c>
      <c r="BF54" s="53">
        <f t="shared" si="20"/>
        <v>0.06</v>
      </c>
      <c r="BG54" s="211"/>
      <c r="BH54" s="211"/>
      <c r="BI54" s="211"/>
      <c r="BJ54" s="211"/>
      <c r="BK54" s="211"/>
      <c r="BL54" s="211"/>
    </row>
    <row r="55" ht="15.75" customHeight="1">
      <c r="A55" s="237"/>
      <c r="B55" s="240"/>
      <c r="C55" s="238"/>
      <c r="D55" s="237"/>
      <c r="E55" s="237"/>
      <c r="F55" s="237"/>
      <c r="G55" s="237"/>
      <c r="H55" s="237"/>
      <c r="I55" s="237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  <c r="AD55" s="239"/>
      <c r="AE55" s="217"/>
      <c r="AF55" s="53">
        <v>3.21</v>
      </c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07"/>
      <c r="AZ55" s="211"/>
      <c r="BA55" s="53">
        <f t="shared" ref="BA55:BG55" si="21">$AF55*BA22</f>
        <v>0.4494</v>
      </c>
      <c r="BB55" s="53">
        <f t="shared" si="21"/>
        <v>1.0593</v>
      </c>
      <c r="BC55" s="53">
        <f t="shared" si="21"/>
        <v>0.8025</v>
      </c>
      <c r="BD55" s="53">
        <f t="shared" si="21"/>
        <v>0.4815</v>
      </c>
      <c r="BE55" s="53">
        <f t="shared" si="21"/>
        <v>0.2247</v>
      </c>
      <c r="BF55" s="53">
        <f t="shared" si="21"/>
        <v>0.1284</v>
      </c>
      <c r="BG55" s="53">
        <f t="shared" si="21"/>
        <v>0.0642</v>
      </c>
      <c r="BH55" s="211"/>
      <c r="BI55" s="211"/>
      <c r="BJ55" s="211"/>
      <c r="BK55" s="211"/>
      <c r="BL55" s="211"/>
    </row>
    <row r="56" ht="15.75" customHeight="1">
      <c r="A56" s="237"/>
      <c r="B56" s="240"/>
      <c r="C56" s="238"/>
      <c r="D56" s="237"/>
      <c r="E56" s="237"/>
      <c r="F56" s="237"/>
      <c r="G56" s="237"/>
      <c r="H56" s="237"/>
      <c r="I56" s="237"/>
      <c r="J56" s="239"/>
      <c r="K56" s="239"/>
      <c r="L56" s="239"/>
      <c r="M56" s="239"/>
      <c r="N56" s="239"/>
      <c r="O56" s="239"/>
      <c r="P56" s="239"/>
      <c r="Q56" s="239"/>
      <c r="R56" s="239"/>
      <c r="S56" s="237"/>
      <c r="T56" s="239"/>
      <c r="U56" s="239"/>
      <c r="V56" s="239"/>
      <c r="W56" s="239"/>
      <c r="X56" s="239"/>
      <c r="Y56" s="239"/>
      <c r="Z56" s="239"/>
      <c r="AA56" s="239"/>
      <c r="AB56" s="239"/>
      <c r="AC56" s="239"/>
      <c r="AD56" s="239"/>
      <c r="AE56" s="217"/>
      <c r="AF56" s="53">
        <v>3.4347000000000003</v>
      </c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07"/>
      <c r="AZ56" s="211"/>
      <c r="BA56" s="211"/>
      <c r="BB56" s="53">
        <f t="shared" ref="BB56:BH56" si="22">$AF56*BB23</f>
        <v>0.480858</v>
      </c>
      <c r="BC56" s="53">
        <f t="shared" si="22"/>
        <v>1.133451</v>
      </c>
      <c r="BD56" s="53">
        <f t="shared" si="22"/>
        <v>0.858675</v>
      </c>
      <c r="BE56" s="53">
        <f t="shared" si="22"/>
        <v>0.515205</v>
      </c>
      <c r="BF56" s="53">
        <f t="shared" si="22"/>
        <v>0.240429</v>
      </c>
      <c r="BG56" s="53">
        <f t="shared" si="22"/>
        <v>0.137388</v>
      </c>
      <c r="BH56" s="53">
        <f t="shared" si="22"/>
        <v>0.068694</v>
      </c>
      <c r="BI56" s="211"/>
      <c r="BJ56" s="211"/>
      <c r="BK56" s="211"/>
      <c r="BL56" s="211"/>
    </row>
    <row r="57" ht="15.75" customHeight="1">
      <c r="A57" s="237"/>
      <c r="B57" s="240"/>
      <c r="C57" s="238"/>
      <c r="D57" s="237"/>
      <c r="E57" s="237"/>
      <c r="F57" s="237"/>
      <c r="G57" s="237"/>
      <c r="H57" s="237"/>
      <c r="I57" s="237"/>
      <c r="J57" s="239"/>
      <c r="K57" s="239"/>
      <c r="L57" s="239"/>
      <c r="M57" s="239"/>
      <c r="N57" s="239"/>
      <c r="O57" s="239"/>
      <c r="P57" s="239"/>
      <c r="Q57" s="239"/>
      <c r="R57" s="239"/>
      <c r="S57" s="237"/>
      <c r="T57" s="237"/>
      <c r="U57" s="239"/>
      <c r="V57" s="239"/>
      <c r="W57" s="239"/>
      <c r="X57" s="239"/>
      <c r="Y57" s="239"/>
      <c r="Z57" s="239"/>
      <c r="AA57" s="239"/>
      <c r="AB57" s="239"/>
      <c r="AC57" s="239"/>
      <c r="AD57" s="239"/>
      <c r="AE57" s="217"/>
      <c r="AF57" s="53">
        <v>3.6751290000000005</v>
      </c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07"/>
      <c r="AZ57" s="211"/>
      <c r="BA57" s="211"/>
      <c r="BB57" s="211"/>
      <c r="BC57" s="53">
        <f t="shared" ref="BC57:BI57" si="23">$AF57*BC24</f>
        <v>0.51451806</v>
      </c>
      <c r="BD57" s="53">
        <f t="shared" si="23"/>
        <v>1.21279257</v>
      </c>
      <c r="BE57" s="53">
        <f t="shared" si="23"/>
        <v>0.91878225</v>
      </c>
      <c r="BF57" s="53">
        <f t="shared" si="23"/>
        <v>0.55126935</v>
      </c>
      <c r="BG57" s="53">
        <f t="shared" si="23"/>
        <v>0.25725903</v>
      </c>
      <c r="BH57" s="53">
        <f t="shared" si="23"/>
        <v>0.14700516</v>
      </c>
      <c r="BI57" s="53">
        <f t="shared" si="23"/>
        <v>0.07350258</v>
      </c>
      <c r="BJ57" s="211"/>
      <c r="BK57" s="211"/>
      <c r="BL57" s="211"/>
    </row>
    <row r="58" ht="15.75" customHeight="1">
      <c r="A58" s="237"/>
      <c r="B58" s="240"/>
      <c r="C58" s="238"/>
      <c r="D58" s="237"/>
      <c r="E58" s="237"/>
      <c r="F58" s="237"/>
      <c r="G58" s="237"/>
      <c r="H58" s="237"/>
      <c r="I58" s="237"/>
      <c r="J58" s="239"/>
      <c r="K58" s="239"/>
      <c r="L58" s="239"/>
      <c r="M58" s="239"/>
      <c r="N58" s="239"/>
      <c r="O58" s="239"/>
      <c r="P58" s="239"/>
      <c r="Q58" s="239"/>
      <c r="R58" s="239"/>
      <c r="S58" s="237"/>
      <c r="T58" s="237"/>
      <c r="U58" s="237"/>
      <c r="V58" s="239"/>
      <c r="W58" s="239"/>
      <c r="X58" s="239"/>
      <c r="Y58" s="239"/>
      <c r="Z58" s="239"/>
      <c r="AA58" s="239"/>
      <c r="AB58" s="239"/>
      <c r="AC58" s="239"/>
      <c r="AD58" s="239"/>
      <c r="AE58" s="217"/>
      <c r="AF58" s="53">
        <v>3.9323880300000007</v>
      </c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07"/>
      <c r="AZ58" s="211"/>
      <c r="BA58" s="211"/>
      <c r="BB58" s="211"/>
      <c r="BC58" s="211"/>
      <c r="BD58" s="53">
        <f t="shared" ref="BD58:BJ58" si="24">$AF58*BD25</f>
        <v>0.5505343242</v>
      </c>
      <c r="BE58" s="53">
        <f t="shared" si="24"/>
        <v>1.29768805</v>
      </c>
      <c r="BF58" s="53">
        <f t="shared" si="24"/>
        <v>0.9830970075</v>
      </c>
      <c r="BG58" s="53">
        <f t="shared" si="24"/>
        <v>0.5898582045</v>
      </c>
      <c r="BH58" s="53">
        <f t="shared" si="24"/>
        <v>0.2752671621</v>
      </c>
      <c r="BI58" s="53">
        <f t="shared" si="24"/>
        <v>0.1572955212</v>
      </c>
      <c r="BJ58" s="53">
        <f t="shared" si="24"/>
        <v>0.0786477606</v>
      </c>
      <c r="BK58" s="211"/>
      <c r="BL58" s="211"/>
    </row>
    <row r="59" ht="15.75" customHeight="1">
      <c r="A59" s="237"/>
      <c r="B59" s="240"/>
      <c r="C59" s="238"/>
      <c r="D59" s="237"/>
      <c r="E59" s="237"/>
      <c r="F59" s="237"/>
      <c r="G59" s="237"/>
      <c r="H59" s="237"/>
      <c r="I59" s="237"/>
      <c r="J59" s="239"/>
      <c r="K59" s="239"/>
      <c r="L59" s="239"/>
      <c r="M59" s="239"/>
      <c r="N59" s="239"/>
      <c r="O59" s="239"/>
      <c r="P59" s="239"/>
      <c r="Q59" s="239"/>
      <c r="R59" s="239"/>
      <c r="S59" s="237"/>
      <c r="T59" s="237"/>
      <c r="U59" s="237"/>
      <c r="V59" s="239"/>
      <c r="W59" s="239"/>
      <c r="X59" s="239"/>
      <c r="Y59" s="239"/>
      <c r="Z59" s="239"/>
      <c r="AA59" s="239"/>
      <c r="AB59" s="239"/>
      <c r="AC59" s="239"/>
      <c r="AD59" s="239"/>
      <c r="AE59" s="217"/>
      <c r="AF59" s="53">
        <v>4.207655192100001</v>
      </c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07"/>
      <c r="AZ59" s="211"/>
      <c r="BA59" s="211"/>
      <c r="BB59" s="211"/>
      <c r="BC59" s="211"/>
      <c r="BD59" s="211"/>
      <c r="BE59" s="53">
        <f t="shared" ref="BE59:BK59" si="25">$AF59*BE26</f>
        <v>0.5890717269</v>
      </c>
      <c r="BF59" s="53">
        <f t="shared" si="25"/>
        <v>1.388526213</v>
      </c>
      <c r="BG59" s="53">
        <f t="shared" si="25"/>
        <v>1.051913798</v>
      </c>
      <c r="BH59" s="53">
        <f t="shared" si="25"/>
        <v>0.6311482788</v>
      </c>
      <c r="BI59" s="53">
        <f t="shared" si="25"/>
        <v>0.2945358634</v>
      </c>
      <c r="BJ59" s="53">
        <f t="shared" si="25"/>
        <v>0.1683062077</v>
      </c>
      <c r="BK59" s="53">
        <f t="shared" si="25"/>
        <v>0.08415310384</v>
      </c>
      <c r="BL59" s="211"/>
    </row>
    <row r="60" ht="15.75" customHeight="1">
      <c r="A60" s="237"/>
      <c r="B60" s="240"/>
      <c r="C60" s="238"/>
      <c r="D60" s="237"/>
      <c r="E60" s="237"/>
      <c r="F60" s="237"/>
      <c r="G60" s="237"/>
      <c r="H60" s="237"/>
      <c r="I60" s="237"/>
      <c r="J60" s="239"/>
      <c r="K60" s="239"/>
      <c r="L60" s="239"/>
      <c r="M60" s="239"/>
      <c r="N60" s="239"/>
      <c r="O60" s="239"/>
      <c r="P60" s="239"/>
      <c r="Q60" s="239"/>
      <c r="R60" s="239"/>
      <c r="S60" s="237"/>
      <c r="T60" s="237"/>
      <c r="U60" s="237"/>
      <c r="V60" s="239"/>
      <c r="W60" s="239"/>
      <c r="X60" s="239"/>
      <c r="Y60" s="239"/>
      <c r="Z60" s="239"/>
      <c r="AA60" s="239"/>
      <c r="AB60" s="239"/>
      <c r="AC60" s="239"/>
      <c r="AD60" s="239"/>
      <c r="AE60" s="217"/>
      <c r="AF60" s="53">
        <v>4.502191055547001</v>
      </c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07"/>
      <c r="AZ60" s="211"/>
      <c r="BA60" s="211"/>
      <c r="BB60" s="211"/>
      <c r="BC60" s="211"/>
      <c r="BD60" s="211"/>
      <c r="BE60" s="211"/>
      <c r="BF60" s="53">
        <f t="shared" ref="BF60:BL60" si="26">$AF60*BF27</f>
        <v>0.6303067478</v>
      </c>
      <c r="BG60" s="53">
        <f t="shared" si="26"/>
        <v>1.485723048</v>
      </c>
      <c r="BH60" s="53">
        <f t="shared" si="26"/>
        <v>1.125547764</v>
      </c>
      <c r="BI60" s="53">
        <f t="shared" si="26"/>
        <v>0.6753286583</v>
      </c>
      <c r="BJ60" s="53">
        <f t="shared" si="26"/>
        <v>0.3151533739</v>
      </c>
      <c r="BK60" s="53">
        <f t="shared" si="26"/>
        <v>0.1800876422</v>
      </c>
      <c r="BL60" s="53">
        <f t="shared" si="26"/>
        <v>0.09004382111</v>
      </c>
    </row>
    <row r="61" ht="15.75" customHeight="1">
      <c r="A61" s="237"/>
      <c r="B61" s="240"/>
      <c r="C61" s="238"/>
      <c r="D61" s="237"/>
      <c r="E61" s="237"/>
      <c r="F61" s="237"/>
      <c r="G61" s="237"/>
      <c r="H61" s="237"/>
      <c r="I61" s="237"/>
      <c r="J61" s="239"/>
      <c r="K61" s="239"/>
      <c r="L61" s="239"/>
      <c r="M61" s="239"/>
      <c r="N61" s="239"/>
      <c r="O61" s="239"/>
      <c r="P61" s="239"/>
      <c r="Q61" s="239"/>
      <c r="R61" s="239"/>
      <c r="S61" s="237"/>
      <c r="T61" s="237"/>
      <c r="U61" s="237"/>
      <c r="V61" s="239"/>
      <c r="W61" s="239"/>
      <c r="X61" s="239"/>
      <c r="Y61" s="239"/>
      <c r="Z61" s="239"/>
      <c r="AA61" s="239"/>
      <c r="AB61" s="239"/>
      <c r="AC61" s="239"/>
      <c r="AD61" s="239"/>
      <c r="AE61" s="217"/>
      <c r="AF61" s="53">
        <v>4.817344429435291</v>
      </c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07"/>
      <c r="AZ61" s="211"/>
      <c r="BA61" s="211"/>
      <c r="BB61" s="211"/>
      <c r="BC61" s="211"/>
      <c r="BD61" s="211"/>
      <c r="BE61" s="211"/>
      <c r="BF61" s="211"/>
      <c r="BG61" s="53">
        <f t="shared" ref="BG61:BL61" si="27">$AF61*BG28</f>
        <v>0.6744282201</v>
      </c>
      <c r="BH61" s="53">
        <f t="shared" si="27"/>
        <v>1.589723662</v>
      </c>
      <c r="BI61" s="53">
        <f t="shared" si="27"/>
        <v>1.204336107</v>
      </c>
      <c r="BJ61" s="53">
        <f t="shared" si="27"/>
        <v>0.7226016644</v>
      </c>
      <c r="BK61" s="53">
        <f t="shared" si="27"/>
        <v>0.3372141101</v>
      </c>
      <c r="BL61" s="53">
        <f t="shared" si="27"/>
        <v>0.1926937772</v>
      </c>
    </row>
    <row r="62" ht="15.75" customHeight="1">
      <c r="A62" s="237"/>
      <c r="B62" s="240"/>
      <c r="C62" s="238"/>
      <c r="D62" s="237"/>
      <c r="E62" s="237"/>
      <c r="F62" s="237"/>
      <c r="G62" s="237"/>
      <c r="H62" s="237"/>
      <c r="I62" s="237"/>
      <c r="J62" s="239"/>
      <c r="K62" s="239"/>
      <c r="L62" s="239"/>
      <c r="M62" s="239"/>
      <c r="N62" s="239"/>
      <c r="O62" s="239"/>
      <c r="P62" s="239"/>
      <c r="Q62" s="239"/>
      <c r="R62" s="239"/>
      <c r="S62" s="237"/>
      <c r="T62" s="237"/>
      <c r="U62" s="237"/>
      <c r="V62" s="239"/>
      <c r="W62" s="239"/>
      <c r="X62" s="239"/>
      <c r="Y62" s="239"/>
      <c r="Z62" s="239"/>
      <c r="AA62" s="239"/>
      <c r="AB62" s="239"/>
      <c r="AC62" s="239"/>
      <c r="AD62" s="239"/>
      <c r="AE62" s="217"/>
      <c r="AF62" s="53">
        <v>5.154558539495762</v>
      </c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53">
        <f t="shared" ref="BH62:BL62" si="28">$AF62*BH29</f>
        <v>0.7216381955</v>
      </c>
      <c r="BI62" s="53">
        <f t="shared" si="28"/>
        <v>1.701004318</v>
      </c>
      <c r="BJ62" s="53">
        <f t="shared" si="28"/>
        <v>1.288639635</v>
      </c>
      <c r="BK62" s="53">
        <f t="shared" si="28"/>
        <v>0.7731837809</v>
      </c>
      <c r="BL62" s="53">
        <f t="shared" si="28"/>
        <v>0.3608190978</v>
      </c>
    </row>
    <row r="63" ht="15.75" customHeight="1">
      <c r="A63" s="237"/>
      <c r="B63" s="240"/>
      <c r="C63" s="238"/>
      <c r="D63" s="237"/>
      <c r="E63" s="237"/>
      <c r="F63" s="237"/>
      <c r="G63" s="237"/>
      <c r="H63" s="237"/>
      <c r="I63" s="237"/>
      <c r="J63" s="239"/>
      <c r="K63" s="239"/>
      <c r="L63" s="239"/>
      <c r="M63" s="239"/>
      <c r="N63" s="239"/>
      <c r="O63" s="239"/>
      <c r="P63" s="239"/>
      <c r="Q63" s="239"/>
      <c r="R63" s="239"/>
      <c r="S63" s="237"/>
      <c r="T63" s="237"/>
      <c r="U63" s="237"/>
      <c r="V63" s="239"/>
      <c r="W63" s="239"/>
      <c r="X63" s="239"/>
      <c r="Y63" s="239"/>
      <c r="Z63" s="239"/>
      <c r="AA63" s="239"/>
      <c r="AB63" s="239"/>
      <c r="AC63" s="239"/>
      <c r="AD63" s="239"/>
      <c r="AE63" s="217"/>
      <c r="AF63" s="53">
        <v>5.515377637260465</v>
      </c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53">
        <f t="shared" ref="BI63:BL63" si="29">$AF63*BI30</f>
        <v>0.7721528692</v>
      </c>
      <c r="BJ63" s="53">
        <f t="shared" si="29"/>
        <v>1.82007462</v>
      </c>
      <c r="BK63" s="53">
        <f t="shared" si="29"/>
        <v>1.378844409</v>
      </c>
      <c r="BL63" s="53">
        <f t="shared" si="29"/>
        <v>0.8273066456</v>
      </c>
    </row>
    <row r="64" ht="15.75" customHeight="1">
      <c r="A64" s="237"/>
      <c r="B64" s="240"/>
      <c r="C64" s="238"/>
      <c r="D64" s="237"/>
      <c r="E64" s="237"/>
      <c r="F64" s="237"/>
      <c r="G64" s="237"/>
      <c r="H64" s="237"/>
      <c r="I64" s="237"/>
      <c r="J64" s="239"/>
      <c r="K64" s="239"/>
      <c r="L64" s="239"/>
      <c r="M64" s="239"/>
      <c r="N64" s="239"/>
      <c r="O64" s="239"/>
      <c r="P64" s="239"/>
      <c r="Q64" s="239"/>
      <c r="R64" s="239"/>
      <c r="S64" s="237"/>
      <c r="T64" s="237"/>
      <c r="U64" s="237"/>
      <c r="V64" s="239"/>
      <c r="W64" s="239"/>
      <c r="X64" s="239"/>
      <c r="Y64" s="239"/>
      <c r="Z64" s="239"/>
      <c r="AA64" s="239"/>
      <c r="AB64" s="239"/>
      <c r="AC64" s="239"/>
      <c r="AD64" s="239"/>
      <c r="AE64" s="217"/>
      <c r="AF64" s="53">
        <v>5.901454071868698</v>
      </c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53">
        <f t="shared" ref="BJ64:BL64" si="30">$AF64*BJ31</f>
        <v>0.8262035701</v>
      </c>
      <c r="BK64" s="53">
        <f t="shared" si="30"/>
        <v>1.947479844</v>
      </c>
      <c r="BL64" s="53">
        <f t="shared" si="30"/>
        <v>1.475363518</v>
      </c>
    </row>
    <row r="65" ht="15.75" customHeight="1">
      <c r="A65" s="237"/>
      <c r="B65" s="240"/>
      <c r="C65" s="238"/>
      <c r="D65" s="237"/>
      <c r="E65" s="237"/>
      <c r="F65" s="237"/>
      <c r="G65" s="237"/>
      <c r="H65" s="237"/>
      <c r="I65" s="237"/>
      <c r="J65" s="239"/>
      <c r="K65" s="239"/>
      <c r="L65" s="239"/>
      <c r="M65" s="239"/>
      <c r="N65" s="239"/>
      <c r="O65" s="239"/>
      <c r="P65" s="239"/>
      <c r="Q65" s="239"/>
      <c r="R65" s="239"/>
      <c r="S65" s="237"/>
      <c r="T65" s="237"/>
      <c r="U65" s="237"/>
      <c r="V65" s="239"/>
      <c r="W65" s="239"/>
      <c r="X65" s="239"/>
      <c r="Y65" s="239"/>
      <c r="Z65" s="239"/>
      <c r="AA65" s="239"/>
      <c r="AB65" s="239"/>
      <c r="AC65" s="239"/>
      <c r="AD65" s="239"/>
      <c r="AE65" s="217"/>
      <c r="AF65" s="53">
        <v>6.314555856899507</v>
      </c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53">
        <f t="shared" ref="BK65:BL65" si="31">$AF65*BK32</f>
        <v>0.88403782</v>
      </c>
      <c r="BL65" s="53">
        <f t="shared" si="31"/>
        <v>2.083803433</v>
      </c>
    </row>
    <row r="66" ht="15.75" customHeight="1">
      <c r="A66" s="237"/>
      <c r="B66" s="240"/>
      <c r="C66" s="238"/>
      <c r="D66" s="242"/>
      <c r="E66" s="242"/>
      <c r="F66" s="242"/>
      <c r="G66" s="242"/>
      <c r="H66" s="242"/>
      <c r="I66" s="242"/>
      <c r="J66" s="243"/>
      <c r="K66" s="243"/>
      <c r="L66" s="243"/>
      <c r="M66" s="243"/>
      <c r="N66" s="243"/>
      <c r="O66" s="244"/>
      <c r="P66" s="244"/>
      <c r="Q66" s="244"/>
      <c r="R66" s="244"/>
      <c r="S66" s="237"/>
      <c r="T66" s="237"/>
      <c r="U66" s="237"/>
      <c r="V66" s="239"/>
      <c r="W66" s="239"/>
      <c r="X66" s="239"/>
      <c r="Y66" s="239"/>
      <c r="Z66" s="239"/>
      <c r="AA66" s="239"/>
      <c r="AB66" s="239"/>
      <c r="AC66" s="239"/>
      <c r="AD66" s="239"/>
      <c r="AE66" s="222"/>
      <c r="AF66" s="53">
        <v>6.756574766882474</v>
      </c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3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53">
        <f>$AF66*BL33</f>
        <v>0.9459204674</v>
      </c>
    </row>
    <row r="67" ht="15.75" customHeight="1">
      <c r="A67" s="224" t="s">
        <v>171</v>
      </c>
      <c r="B67" s="225"/>
      <c r="C67" s="225"/>
      <c r="D67" s="245">
        <v>3.0</v>
      </c>
      <c r="E67" s="245">
        <v>3.0</v>
      </c>
      <c r="F67" s="245">
        <v>2.0</v>
      </c>
      <c r="G67" s="245">
        <v>0.0</v>
      </c>
      <c r="H67" s="245">
        <v>3.0</v>
      </c>
      <c r="I67" s="245">
        <v>2.0</v>
      </c>
      <c r="J67" s="245">
        <v>4.0</v>
      </c>
      <c r="K67" s="245">
        <v>0.0</v>
      </c>
      <c r="L67" s="245">
        <v>1.0</v>
      </c>
      <c r="M67" s="245">
        <v>0.0</v>
      </c>
      <c r="N67" s="140">
        <v>0.0</v>
      </c>
      <c r="O67" s="140">
        <v>1.0</v>
      </c>
      <c r="P67" s="140">
        <v>1.0</v>
      </c>
      <c r="Q67" s="140">
        <f>P67*1.07</f>
        <v>1.07</v>
      </c>
      <c r="R67" s="140">
        <v>3.0</v>
      </c>
      <c r="S67" s="140">
        <f t="shared" ref="S67:AD67" si="32">R67*1.07</f>
        <v>3.21</v>
      </c>
      <c r="T67" s="140">
        <f t="shared" si="32"/>
        <v>3.4347</v>
      </c>
      <c r="U67" s="140">
        <f t="shared" si="32"/>
        <v>3.675129</v>
      </c>
      <c r="V67" s="140">
        <f t="shared" si="32"/>
        <v>3.93238803</v>
      </c>
      <c r="W67" s="140">
        <f t="shared" si="32"/>
        <v>4.207655192</v>
      </c>
      <c r="X67" s="140">
        <f t="shared" si="32"/>
        <v>4.502191056</v>
      </c>
      <c r="Y67" s="140">
        <f t="shared" si="32"/>
        <v>4.817344429</v>
      </c>
      <c r="Z67" s="140">
        <f t="shared" si="32"/>
        <v>5.154558539</v>
      </c>
      <c r="AA67" s="140">
        <f t="shared" si="32"/>
        <v>5.515377637</v>
      </c>
      <c r="AB67" s="140">
        <f t="shared" si="32"/>
        <v>5.901454072</v>
      </c>
      <c r="AC67" s="140">
        <f t="shared" si="32"/>
        <v>6.314555857</v>
      </c>
      <c r="AD67" s="140">
        <f t="shared" si="32"/>
        <v>6.756574767</v>
      </c>
      <c r="AE67" s="226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7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9"/>
    </row>
    <row r="68" ht="15.75" customHeight="1">
      <c r="A68" s="230" t="s">
        <v>172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2"/>
      <c r="AF68" s="231"/>
      <c r="AG68" s="60">
        <f t="shared" ref="AG68:BL68" si="33">sum(AG35:AG66)</f>
        <v>0</v>
      </c>
      <c r="AH68" s="60">
        <f t="shared" si="33"/>
        <v>0</v>
      </c>
      <c r="AI68" s="60">
        <f t="shared" si="33"/>
        <v>0</v>
      </c>
      <c r="AJ68" s="60">
        <f t="shared" si="33"/>
        <v>0</v>
      </c>
      <c r="AK68" s="60">
        <f t="shared" si="33"/>
        <v>0</v>
      </c>
      <c r="AL68" s="60">
        <f t="shared" si="33"/>
        <v>0.42</v>
      </c>
      <c r="AM68" s="60">
        <f t="shared" si="33"/>
        <v>1.41</v>
      </c>
      <c r="AN68" s="60">
        <f t="shared" si="33"/>
        <v>2.02</v>
      </c>
      <c r="AO68" s="60">
        <f t="shared" si="33"/>
        <v>1.86</v>
      </c>
      <c r="AP68" s="60">
        <f t="shared" si="33"/>
        <v>1.58</v>
      </c>
      <c r="AQ68" s="60">
        <f t="shared" si="33"/>
        <v>1.9</v>
      </c>
      <c r="AR68" s="60">
        <f t="shared" si="33"/>
        <v>2.29</v>
      </c>
      <c r="AS68" s="60">
        <f t="shared" si="33"/>
        <v>2.41</v>
      </c>
      <c r="AT68" s="60">
        <f t="shared" si="33"/>
        <v>1.69</v>
      </c>
      <c r="AU68" s="60">
        <f t="shared" si="33"/>
        <v>1.19</v>
      </c>
      <c r="AV68" s="60">
        <f t="shared" si="33"/>
        <v>0.67</v>
      </c>
      <c r="AW68" s="60">
        <f t="shared" si="33"/>
        <v>0.49</v>
      </c>
      <c r="AX68" s="60">
        <f t="shared" si="33"/>
        <v>0.62</v>
      </c>
      <c r="AY68" s="60">
        <f t="shared" si="33"/>
        <v>0.7698</v>
      </c>
      <c r="AZ68" s="60">
        <f t="shared" si="33"/>
        <v>1.1931</v>
      </c>
      <c r="BA68" s="60">
        <f t="shared" si="33"/>
        <v>1.9269</v>
      </c>
      <c r="BB68" s="60">
        <f t="shared" si="33"/>
        <v>2.560658</v>
      </c>
      <c r="BC68" s="60">
        <f t="shared" si="33"/>
        <v>3.03536906</v>
      </c>
      <c r="BD68" s="60">
        <f t="shared" si="33"/>
        <v>3.376301894</v>
      </c>
      <c r="BE68" s="60">
        <f t="shared" si="33"/>
        <v>3.686847027</v>
      </c>
      <c r="BF68" s="60">
        <f t="shared" si="33"/>
        <v>3.982028319</v>
      </c>
      <c r="BG68" s="60">
        <f t="shared" si="33"/>
        <v>4.260770301</v>
      </c>
      <c r="BH68" s="60">
        <f t="shared" si="33"/>
        <v>4.559024222</v>
      </c>
      <c r="BI68" s="60">
        <f t="shared" si="33"/>
        <v>4.878155918</v>
      </c>
      <c r="BJ68" s="60">
        <f t="shared" si="33"/>
        <v>5.219626832</v>
      </c>
      <c r="BK68" s="60">
        <f t="shared" si="33"/>
        <v>5.58500071</v>
      </c>
      <c r="BL68" s="60">
        <f t="shared" si="33"/>
        <v>5.97595076</v>
      </c>
    </row>
    <row r="69" ht="15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233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234">
        <v>0.0</v>
      </c>
      <c r="AX69" s="234">
        <v>1.0</v>
      </c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</row>
    <row r="70" ht="15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233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</row>
    <row r="71" ht="15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233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</row>
    <row r="72" ht="15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23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233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</row>
    <row r="73" ht="15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23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233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</row>
    <row r="74" ht="15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23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233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233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233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</row>
    <row r="77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233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</row>
    <row r="78" ht="15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233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</row>
    <row r="79" ht="15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233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</row>
    <row r="80" ht="15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233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</row>
    <row r="81" ht="15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233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</row>
    <row r="82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233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</row>
    <row r="83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233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</row>
    <row r="84" ht="15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233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</row>
    <row r="85" ht="15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233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</row>
    <row r="86" ht="15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233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</row>
    <row r="87" ht="15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233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</row>
    <row r="88" ht="15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233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</row>
    <row r="89" ht="15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233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</row>
    <row r="90" ht="15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233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</row>
    <row r="91" ht="15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233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</row>
    <row r="92" ht="15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233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</row>
    <row r="93" ht="15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233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</row>
    <row r="94" ht="15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233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</row>
    <row r="95" ht="15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233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</row>
    <row r="96" ht="15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233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</row>
    <row r="97" ht="15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233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</row>
    <row r="98" ht="15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233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</row>
    <row r="99" ht="15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233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</row>
    <row r="100" ht="15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233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</row>
    <row r="101" ht="15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233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</row>
    <row r="102" ht="15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233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</row>
    <row r="103" ht="15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233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</row>
    <row r="104" ht="15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233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</row>
    <row r="105" ht="15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233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</row>
    <row r="106" ht="15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233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</row>
    <row r="107" ht="15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233"/>
      <c r="AF107" s="185"/>
      <c r="AG107" s="185"/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</row>
    <row r="108" ht="15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233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</row>
    <row r="109" ht="15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233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</row>
    <row r="110" ht="15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233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</row>
    <row r="111" ht="15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233"/>
      <c r="AF111" s="185"/>
      <c r="AG111" s="185"/>
      <c r="AH111" s="185"/>
      <c r="AI111" s="185"/>
      <c r="AJ111" s="185"/>
      <c r="AK111" s="185"/>
      <c r="AL111" s="185"/>
      <c r="AM111" s="185"/>
      <c r="AN111" s="185"/>
      <c r="AO111" s="185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</row>
    <row r="112" ht="15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233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</row>
    <row r="113" ht="15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233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</row>
    <row r="114" ht="15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233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</row>
    <row r="115" ht="15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233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185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</row>
    <row r="116" ht="15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233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</row>
    <row r="117" ht="15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233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185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</row>
    <row r="118" ht="15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233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185"/>
      <c r="BI118" s="185"/>
      <c r="BJ118" s="185"/>
      <c r="BK118" s="185"/>
      <c r="BL118" s="185"/>
    </row>
    <row r="119" ht="15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233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5"/>
      <c r="BL119" s="185"/>
    </row>
    <row r="120" ht="15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233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  <c r="BK120" s="185"/>
      <c r="BL120" s="185"/>
    </row>
    <row r="121" ht="15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233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</row>
    <row r="122" ht="15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233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  <c r="BH122" s="185"/>
      <c r="BI122" s="185"/>
      <c r="BJ122" s="185"/>
      <c r="BK122" s="185"/>
      <c r="BL122" s="185"/>
    </row>
    <row r="123" ht="15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233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</row>
    <row r="124" ht="15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233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  <c r="BH124" s="185"/>
      <c r="BI124" s="185"/>
      <c r="BJ124" s="185"/>
      <c r="BK124" s="185"/>
      <c r="BL124" s="185"/>
    </row>
    <row r="125" ht="15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233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</row>
    <row r="126" ht="15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233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</row>
    <row r="127" ht="15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233"/>
      <c r="AF127" s="185"/>
      <c r="AG127" s="185"/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5"/>
    </row>
    <row r="128" ht="15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233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  <c r="BD128" s="185"/>
      <c r="BE128" s="185"/>
      <c r="BF128" s="185"/>
      <c r="BG128" s="185"/>
      <c r="BH128" s="185"/>
      <c r="BI128" s="185"/>
      <c r="BJ128" s="185"/>
      <c r="BK128" s="185"/>
      <c r="BL128" s="185"/>
    </row>
    <row r="129" ht="15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233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5"/>
      <c r="BF129" s="185"/>
      <c r="BG129" s="185"/>
      <c r="BH129" s="185"/>
      <c r="BI129" s="185"/>
      <c r="BJ129" s="185"/>
      <c r="BK129" s="185"/>
      <c r="BL129" s="185"/>
    </row>
    <row r="130" ht="15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233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233"/>
      <c r="AF131" s="185"/>
      <c r="AG131" s="185"/>
      <c r="AH131" s="185"/>
      <c r="AI131" s="185"/>
      <c r="AJ131" s="185"/>
      <c r="AK131" s="185"/>
      <c r="AL131" s="185"/>
      <c r="AM131" s="185"/>
      <c r="AN131" s="185"/>
      <c r="AO131" s="185"/>
      <c r="AP131" s="185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  <c r="BA131" s="185"/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233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  <c r="AP132" s="185"/>
      <c r="AQ132" s="185"/>
      <c r="AR132" s="185"/>
      <c r="AS132" s="185"/>
      <c r="AT132" s="185"/>
      <c r="AU132" s="185"/>
      <c r="AV132" s="185"/>
      <c r="AW132" s="185"/>
      <c r="AX132" s="185"/>
      <c r="AY132" s="185"/>
      <c r="AZ132" s="185"/>
      <c r="BA132" s="185"/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233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233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233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233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5"/>
      <c r="AP136" s="185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233"/>
      <c r="AF137" s="185"/>
      <c r="AG137" s="185"/>
      <c r="AH137" s="185"/>
      <c r="AI137" s="185"/>
      <c r="AJ137" s="185"/>
      <c r="AK137" s="185"/>
      <c r="AL137" s="185"/>
      <c r="AM137" s="185"/>
      <c r="AN137" s="185"/>
      <c r="AO137" s="185"/>
      <c r="AP137" s="185"/>
      <c r="AQ137" s="185"/>
      <c r="AR137" s="185"/>
      <c r="AS137" s="185"/>
      <c r="AT137" s="185"/>
      <c r="AU137" s="185"/>
      <c r="AV137" s="185"/>
      <c r="AW137" s="185"/>
      <c r="AX137" s="185"/>
      <c r="AY137" s="185"/>
      <c r="AZ137" s="185"/>
      <c r="BA137" s="185"/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233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/>
      <c r="AT138" s="185"/>
      <c r="AU138" s="185"/>
      <c r="AV138" s="185"/>
      <c r="AW138" s="185"/>
      <c r="AX138" s="185"/>
      <c r="AY138" s="185"/>
      <c r="AZ138" s="185"/>
      <c r="BA138" s="185"/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233"/>
      <c r="AF139" s="185"/>
      <c r="AG139" s="185"/>
      <c r="AH139" s="185"/>
      <c r="AI139" s="185"/>
      <c r="AJ139" s="185"/>
      <c r="AK139" s="185"/>
      <c r="AL139" s="185"/>
      <c r="AM139" s="185"/>
      <c r="AN139" s="185"/>
      <c r="AO139" s="185"/>
      <c r="AP139" s="185"/>
      <c r="AQ139" s="185"/>
      <c r="AR139" s="185"/>
      <c r="AS139" s="185"/>
      <c r="AT139" s="185"/>
      <c r="AU139" s="185"/>
      <c r="AV139" s="185"/>
      <c r="AW139" s="185"/>
      <c r="AX139" s="185"/>
      <c r="AY139" s="185"/>
      <c r="AZ139" s="185"/>
      <c r="BA139" s="185"/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233"/>
      <c r="AF140" s="185"/>
      <c r="AG140" s="185"/>
      <c r="AH140" s="185"/>
      <c r="AI140" s="185"/>
      <c r="AJ140" s="185"/>
      <c r="AK140" s="185"/>
      <c r="AL140" s="185"/>
      <c r="AM140" s="185"/>
      <c r="AN140" s="185"/>
      <c r="AO140" s="185"/>
      <c r="AP140" s="185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233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233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233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  <c r="AP143" s="185"/>
      <c r="AQ143" s="185"/>
      <c r="AR143" s="185"/>
      <c r="AS143" s="185"/>
      <c r="AT143" s="185"/>
      <c r="AU143" s="185"/>
      <c r="AV143" s="185"/>
      <c r="AW143" s="185"/>
      <c r="AX143" s="185"/>
      <c r="AY143" s="185"/>
      <c r="AZ143" s="185"/>
      <c r="BA143" s="185"/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233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  <c r="AP144" s="185"/>
      <c r="AQ144" s="185"/>
      <c r="AR144" s="185"/>
      <c r="AS144" s="185"/>
      <c r="AT144" s="185"/>
      <c r="AU144" s="185"/>
      <c r="AV144" s="185"/>
      <c r="AW144" s="185"/>
      <c r="AX144" s="185"/>
      <c r="AY144" s="185"/>
      <c r="AZ144" s="185"/>
      <c r="BA144" s="185"/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233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/>
      <c r="AT145" s="185"/>
      <c r="AU145" s="185"/>
      <c r="AV145" s="185"/>
      <c r="AW145" s="185"/>
      <c r="AX145" s="185"/>
      <c r="AY145" s="185"/>
      <c r="AZ145" s="185"/>
      <c r="BA145" s="185"/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233"/>
      <c r="AF146" s="185"/>
      <c r="AG146" s="185"/>
      <c r="AH146" s="185"/>
      <c r="AI146" s="185"/>
      <c r="AJ146" s="185"/>
      <c r="AK146" s="185"/>
      <c r="AL146" s="185"/>
      <c r="AM146" s="185"/>
      <c r="AN146" s="185"/>
      <c r="AO146" s="185"/>
      <c r="AP146" s="185"/>
      <c r="AQ146" s="185"/>
      <c r="AR146" s="185"/>
      <c r="AS146" s="185"/>
      <c r="AT146" s="185"/>
      <c r="AU146" s="185"/>
      <c r="AV146" s="185"/>
      <c r="AW146" s="185"/>
      <c r="AX146" s="185"/>
      <c r="AY146" s="185"/>
      <c r="AZ146" s="185"/>
      <c r="BA146" s="185"/>
      <c r="BB146" s="185"/>
      <c r="BC146" s="185"/>
      <c r="BD146" s="185"/>
      <c r="BE146" s="185"/>
      <c r="BF146" s="185"/>
      <c r="BG146" s="185"/>
      <c r="BH146" s="185"/>
      <c r="BI146" s="185"/>
      <c r="BJ146" s="185"/>
      <c r="BK146" s="185"/>
      <c r="BL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233"/>
      <c r="AF147" s="185"/>
      <c r="AG147" s="185"/>
      <c r="AH147" s="185"/>
      <c r="AI147" s="185"/>
      <c r="AJ147" s="185"/>
      <c r="AK147" s="185"/>
      <c r="AL147" s="185"/>
      <c r="AM147" s="185"/>
      <c r="AN147" s="185"/>
      <c r="AO147" s="185"/>
      <c r="AP147" s="185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  <c r="BA147" s="185"/>
      <c r="BB147" s="185"/>
      <c r="BC147" s="185"/>
      <c r="BD147" s="185"/>
      <c r="BE147" s="185"/>
      <c r="BF147" s="185"/>
      <c r="BG147" s="185"/>
      <c r="BH147" s="185"/>
      <c r="BI147" s="185"/>
      <c r="BJ147" s="185"/>
      <c r="BK147" s="185"/>
      <c r="BL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233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  <c r="AP148" s="185"/>
      <c r="AQ148" s="185"/>
      <c r="AR148" s="185"/>
      <c r="AS148" s="185"/>
      <c r="AT148" s="185"/>
      <c r="AU148" s="185"/>
      <c r="AV148" s="185"/>
      <c r="AW148" s="185"/>
      <c r="AX148" s="185"/>
      <c r="AY148" s="185"/>
      <c r="AZ148" s="185"/>
      <c r="BA148" s="185"/>
      <c r="BB148" s="185"/>
      <c r="BC148" s="185"/>
      <c r="BD148" s="185"/>
      <c r="BE148" s="185"/>
      <c r="BF148" s="185"/>
      <c r="BG148" s="185"/>
      <c r="BH148" s="185"/>
      <c r="BI148" s="185"/>
      <c r="BJ148" s="185"/>
      <c r="BK148" s="185"/>
      <c r="BL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233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185"/>
      <c r="BD149" s="185"/>
      <c r="BE149" s="185"/>
      <c r="BF149" s="185"/>
      <c r="BG149" s="185"/>
      <c r="BH149" s="185"/>
      <c r="BI149" s="185"/>
      <c r="BJ149" s="185"/>
      <c r="BK149" s="185"/>
      <c r="BL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233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185"/>
      <c r="BE150" s="185"/>
      <c r="BF150" s="185"/>
      <c r="BG150" s="185"/>
      <c r="BH150" s="185"/>
      <c r="BI150" s="185"/>
      <c r="BJ150" s="185"/>
      <c r="BK150" s="185"/>
      <c r="BL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233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5"/>
      <c r="BF151" s="185"/>
      <c r="BG151" s="185"/>
      <c r="BH151" s="185"/>
      <c r="BI151" s="185"/>
      <c r="BJ151" s="185"/>
      <c r="BK151" s="185"/>
      <c r="BL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233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185"/>
      <c r="BE152" s="185"/>
      <c r="BF152" s="185"/>
      <c r="BG152" s="185"/>
      <c r="BH152" s="185"/>
      <c r="BI152" s="185"/>
      <c r="BJ152" s="185"/>
      <c r="BK152" s="185"/>
      <c r="BL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233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185"/>
      <c r="BE153" s="185"/>
      <c r="BF153" s="185"/>
      <c r="BG153" s="185"/>
      <c r="BH153" s="185"/>
      <c r="BI153" s="185"/>
      <c r="BJ153" s="185"/>
      <c r="BK153" s="185"/>
      <c r="BL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233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185"/>
      <c r="BE154" s="185"/>
      <c r="BF154" s="185"/>
      <c r="BG154" s="185"/>
      <c r="BH154" s="185"/>
      <c r="BI154" s="185"/>
      <c r="BJ154" s="185"/>
      <c r="BK154" s="185"/>
      <c r="BL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233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185"/>
      <c r="BE155" s="185"/>
      <c r="BF155" s="185"/>
      <c r="BG155" s="185"/>
      <c r="BH155" s="185"/>
      <c r="BI155" s="185"/>
      <c r="BJ155" s="185"/>
      <c r="BK155" s="185"/>
      <c r="BL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233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233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185"/>
      <c r="BE157" s="185"/>
      <c r="BF157" s="185"/>
      <c r="BG157" s="185"/>
      <c r="BH157" s="185"/>
      <c r="BI157" s="185"/>
      <c r="BJ157" s="185"/>
      <c r="BK157" s="185"/>
      <c r="BL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233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185"/>
      <c r="BE158" s="185"/>
      <c r="BF158" s="185"/>
      <c r="BG158" s="185"/>
      <c r="BH158" s="185"/>
      <c r="BI158" s="185"/>
      <c r="BJ158" s="185"/>
      <c r="BK158" s="185"/>
      <c r="BL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233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185"/>
      <c r="BE159" s="185"/>
      <c r="BF159" s="185"/>
      <c r="BG159" s="185"/>
      <c r="BH159" s="185"/>
      <c r="BI159" s="185"/>
      <c r="BJ159" s="185"/>
      <c r="BK159" s="185"/>
      <c r="BL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233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185"/>
      <c r="BE160" s="185"/>
      <c r="BF160" s="185"/>
      <c r="BG160" s="185"/>
      <c r="BH160" s="185"/>
      <c r="BI160" s="185"/>
      <c r="BJ160" s="185"/>
      <c r="BK160" s="185"/>
      <c r="BL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233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5"/>
      <c r="BF161" s="185"/>
      <c r="BG161" s="185"/>
      <c r="BH161" s="185"/>
      <c r="BI161" s="185"/>
      <c r="BJ161" s="185"/>
      <c r="BK161" s="185"/>
      <c r="BL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233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233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233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233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233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233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233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233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233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233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233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233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233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233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233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233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233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185"/>
      <c r="BE178" s="185"/>
      <c r="BF178" s="185"/>
      <c r="BG178" s="185"/>
      <c r="BH178" s="185"/>
      <c r="BI178" s="185"/>
      <c r="BJ178" s="185"/>
      <c r="BK178" s="185"/>
      <c r="BL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233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185"/>
      <c r="BI179" s="185"/>
      <c r="BJ179" s="185"/>
      <c r="BK179" s="185"/>
      <c r="BL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233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185"/>
      <c r="BI180" s="185"/>
      <c r="BJ180" s="185"/>
      <c r="BK180" s="185"/>
      <c r="BL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233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5"/>
      <c r="BF181" s="185"/>
      <c r="BG181" s="185"/>
      <c r="BH181" s="185"/>
      <c r="BI181" s="185"/>
      <c r="BJ181" s="185"/>
      <c r="BK181" s="185"/>
      <c r="BL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233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185"/>
      <c r="BI182" s="185"/>
      <c r="BJ182" s="185"/>
      <c r="BK182" s="185"/>
      <c r="BL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233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185"/>
      <c r="BI183" s="185"/>
      <c r="BJ183" s="185"/>
      <c r="BK183" s="185"/>
      <c r="BL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233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185"/>
      <c r="BI184" s="185"/>
      <c r="BJ184" s="185"/>
      <c r="BK184" s="185"/>
      <c r="BL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233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233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233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185"/>
      <c r="BE187" s="185"/>
      <c r="BF187" s="185"/>
      <c r="BG187" s="185"/>
      <c r="BH187" s="185"/>
      <c r="BI187" s="185"/>
      <c r="BJ187" s="185"/>
      <c r="BK187" s="185"/>
      <c r="BL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233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185"/>
      <c r="BE188" s="185"/>
      <c r="BF188" s="185"/>
      <c r="BG188" s="185"/>
      <c r="BH188" s="185"/>
      <c r="BI188" s="185"/>
      <c r="BJ188" s="185"/>
      <c r="BK188" s="185"/>
      <c r="BL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233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185"/>
      <c r="BE189" s="185"/>
      <c r="BF189" s="185"/>
      <c r="BG189" s="185"/>
      <c r="BH189" s="185"/>
      <c r="BI189" s="185"/>
      <c r="BJ189" s="185"/>
      <c r="BK189" s="185"/>
      <c r="BL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233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185"/>
      <c r="BE190" s="185"/>
      <c r="BF190" s="185"/>
      <c r="BG190" s="185"/>
      <c r="BH190" s="185"/>
      <c r="BI190" s="185"/>
      <c r="BJ190" s="185"/>
      <c r="BK190" s="185"/>
      <c r="BL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233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5"/>
      <c r="BF191" s="185"/>
      <c r="BG191" s="185"/>
      <c r="BH191" s="185"/>
      <c r="BI191" s="185"/>
      <c r="BJ191" s="185"/>
      <c r="BK191" s="185"/>
      <c r="BL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233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185"/>
      <c r="BE192" s="185"/>
      <c r="BF192" s="185"/>
      <c r="BG192" s="185"/>
      <c r="BH192" s="185"/>
      <c r="BI192" s="185"/>
      <c r="BJ192" s="185"/>
      <c r="BK192" s="185"/>
      <c r="BL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233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185"/>
      <c r="BE193" s="185"/>
      <c r="BF193" s="185"/>
      <c r="BG193" s="185"/>
      <c r="BH193" s="185"/>
      <c r="BI193" s="185"/>
      <c r="BJ193" s="185"/>
      <c r="BK193" s="185"/>
      <c r="BL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233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233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233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233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233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233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233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</row>
    <row r="201" ht="15.7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/>
      <c r="AD201" s="185"/>
      <c r="AE201" s="233"/>
      <c r="AF201" s="185"/>
      <c r="AG201" s="185"/>
      <c r="AH201" s="185"/>
      <c r="AI201" s="185"/>
      <c r="AJ201" s="185"/>
      <c r="AK201" s="185"/>
      <c r="AL201" s="185"/>
      <c r="AM201" s="185"/>
      <c r="AN201" s="185"/>
      <c r="AO201" s="185"/>
      <c r="AP201" s="185"/>
      <c r="AQ201" s="185"/>
      <c r="AR201" s="185"/>
      <c r="AS201" s="185"/>
      <c r="AT201" s="185"/>
      <c r="AU201" s="185"/>
      <c r="AV201" s="185"/>
      <c r="AW201" s="185"/>
      <c r="AX201" s="185"/>
      <c r="AY201" s="185"/>
      <c r="AZ201" s="185"/>
      <c r="BA201" s="185"/>
      <c r="BB201" s="185"/>
      <c r="BC201" s="185"/>
      <c r="BD201" s="185"/>
      <c r="BE201" s="185"/>
      <c r="BF201" s="185"/>
      <c r="BG201" s="185"/>
      <c r="BH201" s="185"/>
      <c r="BI201" s="185"/>
      <c r="BJ201" s="185"/>
      <c r="BK201" s="185"/>
      <c r="BL201" s="185"/>
    </row>
    <row r="202" ht="15.7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233"/>
      <c r="AF202" s="185"/>
      <c r="AG202" s="185"/>
      <c r="AH202" s="185"/>
      <c r="AI202" s="185"/>
      <c r="AJ202" s="185"/>
      <c r="AK202" s="185"/>
      <c r="AL202" s="185"/>
      <c r="AM202" s="185"/>
      <c r="AN202" s="185"/>
      <c r="AO202" s="185"/>
      <c r="AP202" s="185"/>
      <c r="AQ202" s="185"/>
      <c r="AR202" s="185"/>
      <c r="AS202" s="185"/>
      <c r="AT202" s="185"/>
      <c r="AU202" s="185"/>
      <c r="AV202" s="185"/>
      <c r="AW202" s="185"/>
      <c r="AX202" s="185"/>
      <c r="AY202" s="185"/>
      <c r="AZ202" s="185"/>
      <c r="BA202" s="185"/>
      <c r="BB202" s="185"/>
      <c r="BC202" s="185"/>
      <c r="BD202" s="185"/>
      <c r="BE202" s="185"/>
      <c r="BF202" s="185"/>
      <c r="BG202" s="185"/>
      <c r="BH202" s="185"/>
      <c r="BI202" s="185"/>
      <c r="BJ202" s="185"/>
      <c r="BK202" s="185"/>
      <c r="BL202" s="185"/>
    </row>
    <row r="203" ht="15.7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/>
      <c r="AD203" s="185"/>
      <c r="AE203" s="233"/>
      <c r="AF203" s="185"/>
      <c r="AG203" s="185"/>
      <c r="AH203" s="185"/>
      <c r="AI203" s="185"/>
      <c r="AJ203" s="185"/>
      <c r="AK203" s="185"/>
      <c r="AL203" s="185"/>
      <c r="AM203" s="185"/>
      <c r="AN203" s="185"/>
      <c r="AO203" s="185"/>
      <c r="AP203" s="185"/>
      <c r="AQ203" s="185"/>
      <c r="AR203" s="185"/>
      <c r="AS203" s="185"/>
      <c r="AT203" s="185"/>
      <c r="AU203" s="185"/>
      <c r="AV203" s="185"/>
      <c r="AW203" s="185"/>
      <c r="AX203" s="185"/>
      <c r="AY203" s="185"/>
      <c r="AZ203" s="185"/>
      <c r="BA203" s="185"/>
      <c r="BB203" s="185"/>
      <c r="BC203" s="185"/>
      <c r="BD203" s="185"/>
      <c r="BE203" s="185"/>
      <c r="BF203" s="185"/>
      <c r="BG203" s="185"/>
      <c r="BH203" s="185"/>
      <c r="BI203" s="185"/>
      <c r="BJ203" s="185"/>
      <c r="BK203" s="185"/>
      <c r="BL203" s="185"/>
    </row>
    <row r="204" ht="15.7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233"/>
      <c r="AF204" s="185"/>
      <c r="AG204" s="185"/>
      <c r="AH204" s="185"/>
      <c r="AI204" s="185"/>
      <c r="AJ204" s="185"/>
      <c r="AK204" s="185"/>
      <c r="AL204" s="185"/>
      <c r="AM204" s="185"/>
      <c r="AN204" s="185"/>
      <c r="AO204" s="185"/>
      <c r="AP204" s="185"/>
      <c r="AQ204" s="185"/>
      <c r="AR204" s="185"/>
      <c r="AS204" s="185"/>
      <c r="AT204" s="185"/>
      <c r="AU204" s="185"/>
      <c r="AV204" s="185"/>
      <c r="AW204" s="185"/>
      <c r="AX204" s="185"/>
      <c r="AY204" s="185"/>
      <c r="AZ204" s="185"/>
      <c r="BA204" s="185"/>
      <c r="BB204" s="185"/>
      <c r="BC204" s="185"/>
      <c r="BD204" s="185"/>
      <c r="BE204" s="185"/>
      <c r="BF204" s="185"/>
      <c r="BG204" s="185"/>
      <c r="BH204" s="185"/>
      <c r="BI204" s="185"/>
      <c r="BJ204" s="185"/>
      <c r="BK204" s="185"/>
      <c r="BL204" s="185"/>
    </row>
    <row r="205" ht="15.7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/>
      <c r="AD205" s="185"/>
      <c r="AE205" s="233"/>
      <c r="AF205" s="185"/>
      <c r="AG205" s="185"/>
      <c r="AH205" s="185"/>
      <c r="AI205" s="185"/>
      <c r="AJ205" s="185"/>
      <c r="AK205" s="185"/>
      <c r="AL205" s="185"/>
      <c r="AM205" s="185"/>
      <c r="AN205" s="185"/>
      <c r="AO205" s="185"/>
      <c r="AP205" s="185"/>
      <c r="AQ205" s="185"/>
      <c r="AR205" s="185"/>
      <c r="AS205" s="185"/>
      <c r="AT205" s="185"/>
      <c r="AU205" s="185"/>
      <c r="AV205" s="185"/>
      <c r="AW205" s="185"/>
      <c r="AX205" s="185"/>
      <c r="AY205" s="185"/>
      <c r="AZ205" s="185"/>
      <c r="BA205" s="185"/>
      <c r="BB205" s="185"/>
      <c r="BC205" s="185"/>
      <c r="BD205" s="185"/>
      <c r="BE205" s="185"/>
      <c r="BF205" s="185"/>
      <c r="BG205" s="185"/>
      <c r="BH205" s="185"/>
      <c r="BI205" s="185"/>
      <c r="BJ205" s="185"/>
      <c r="BK205" s="185"/>
      <c r="BL205" s="185"/>
    </row>
    <row r="206" ht="15.7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233"/>
      <c r="AF206" s="185"/>
      <c r="AG206" s="185"/>
      <c r="AH206" s="185"/>
      <c r="AI206" s="185"/>
      <c r="AJ206" s="185"/>
      <c r="AK206" s="185"/>
      <c r="AL206" s="185"/>
      <c r="AM206" s="185"/>
      <c r="AN206" s="185"/>
      <c r="AO206" s="185"/>
      <c r="AP206" s="185"/>
      <c r="AQ206" s="185"/>
      <c r="AR206" s="185"/>
      <c r="AS206" s="185"/>
      <c r="AT206" s="185"/>
      <c r="AU206" s="185"/>
      <c r="AV206" s="185"/>
      <c r="AW206" s="185"/>
      <c r="AX206" s="185"/>
      <c r="AY206" s="185"/>
      <c r="AZ206" s="185"/>
      <c r="BA206" s="185"/>
      <c r="BB206" s="185"/>
      <c r="BC206" s="185"/>
      <c r="BD206" s="185"/>
      <c r="BE206" s="185"/>
      <c r="BF206" s="185"/>
      <c r="BG206" s="185"/>
      <c r="BH206" s="185"/>
      <c r="BI206" s="185"/>
      <c r="BJ206" s="185"/>
      <c r="BK206" s="185"/>
      <c r="BL206" s="185"/>
    </row>
    <row r="207" ht="15.7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/>
      <c r="AD207" s="185"/>
      <c r="AE207" s="233"/>
      <c r="AF207" s="185"/>
      <c r="AG207" s="185"/>
      <c r="AH207" s="185"/>
      <c r="AI207" s="185"/>
      <c r="AJ207" s="185"/>
      <c r="AK207" s="185"/>
      <c r="AL207" s="185"/>
      <c r="AM207" s="185"/>
      <c r="AN207" s="185"/>
      <c r="AO207" s="185"/>
      <c r="AP207" s="185"/>
      <c r="AQ207" s="185"/>
      <c r="AR207" s="185"/>
      <c r="AS207" s="185"/>
      <c r="AT207" s="185"/>
      <c r="AU207" s="185"/>
      <c r="AV207" s="185"/>
      <c r="AW207" s="185"/>
      <c r="AX207" s="185"/>
      <c r="AY207" s="185"/>
      <c r="AZ207" s="185"/>
      <c r="BA207" s="185"/>
      <c r="BB207" s="185"/>
      <c r="BC207" s="185"/>
      <c r="BD207" s="185"/>
      <c r="BE207" s="185"/>
      <c r="BF207" s="185"/>
      <c r="BG207" s="185"/>
      <c r="BH207" s="185"/>
      <c r="BI207" s="185"/>
      <c r="BJ207" s="185"/>
      <c r="BK207" s="185"/>
      <c r="BL207" s="185"/>
    </row>
    <row r="208" ht="15.7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/>
      <c r="AD208" s="185"/>
      <c r="AE208" s="233"/>
      <c r="AF208" s="185"/>
      <c r="AG208" s="185"/>
      <c r="AH208" s="185"/>
      <c r="AI208" s="185"/>
      <c r="AJ208" s="185"/>
      <c r="AK208" s="185"/>
      <c r="AL208" s="185"/>
      <c r="AM208" s="185"/>
      <c r="AN208" s="185"/>
      <c r="AO208" s="185"/>
      <c r="AP208" s="185"/>
      <c r="AQ208" s="185"/>
      <c r="AR208" s="185"/>
      <c r="AS208" s="185"/>
      <c r="AT208" s="185"/>
      <c r="AU208" s="185"/>
      <c r="AV208" s="185"/>
      <c r="AW208" s="185"/>
      <c r="AX208" s="185"/>
      <c r="AY208" s="185"/>
      <c r="AZ208" s="185"/>
      <c r="BA208" s="185"/>
      <c r="BB208" s="185"/>
      <c r="BC208" s="185"/>
      <c r="BD208" s="185"/>
      <c r="BE208" s="185"/>
      <c r="BF208" s="185"/>
      <c r="BG208" s="185"/>
      <c r="BH208" s="185"/>
      <c r="BI208" s="185"/>
      <c r="BJ208" s="185"/>
      <c r="BK208" s="185"/>
      <c r="BL208" s="185"/>
    </row>
    <row r="209" ht="15.7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/>
      <c r="AD209" s="185"/>
      <c r="AE209" s="233"/>
      <c r="AF209" s="185"/>
      <c r="AG209" s="185"/>
      <c r="AH209" s="185"/>
      <c r="AI209" s="185"/>
      <c r="AJ209" s="185"/>
      <c r="AK209" s="185"/>
      <c r="AL209" s="185"/>
      <c r="AM209" s="185"/>
      <c r="AN209" s="185"/>
      <c r="AO209" s="185"/>
      <c r="AP209" s="185"/>
      <c r="AQ209" s="185"/>
      <c r="AR209" s="185"/>
      <c r="AS209" s="185"/>
      <c r="AT209" s="185"/>
      <c r="AU209" s="185"/>
      <c r="AV209" s="185"/>
      <c r="AW209" s="185"/>
      <c r="AX209" s="185"/>
      <c r="AY209" s="185"/>
      <c r="AZ209" s="185"/>
      <c r="BA209" s="185"/>
      <c r="BB209" s="185"/>
      <c r="BC209" s="185"/>
      <c r="BD209" s="185"/>
      <c r="BE209" s="185"/>
      <c r="BF209" s="185"/>
      <c r="BG209" s="185"/>
      <c r="BH209" s="185"/>
      <c r="BI209" s="185"/>
      <c r="BJ209" s="185"/>
      <c r="BK209" s="185"/>
      <c r="BL209" s="185"/>
    </row>
    <row r="210" ht="15.7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/>
      <c r="AD210" s="185"/>
      <c r="AE210" s="233"/>
      <c r="AF210" s="185"/>
      <c r="AG210" s="185"/>
      <c r="AH210" s="185"/>
      <c r="AI210" s="185"/>
      <c r="AJ210" s="185"/>
      <c r="AK210" s="185"/>
      <c r="AL210" s="185"/>
      <c r="AM210" s="185"/>
      <c r="AN210" s="185"/>
      <c r="AO210" s="185"/>
      <c r="AP210" s="185"/>
      <c r="AQ210" s="185"/>
      <c r="AR210" s="185"/>
      <c r="AS210" s="185"/>
      <c r="AT210" s="185"/>
      <c r="AU210" s="185"/>
      <c r="AV210" s="185"/>
      <c r="AW210" s="185"/>
      <c r="AX210" s="185"/>
      <c r="AY210" s="185"/>
      <c r="AZ210" s="185"/>
      <c r="BA210" s="185"/>
      <c r="BB210" s="185"/>
      <c r="BC210" s="185"/>
      <c r="BD210" s="185"/>
      <c r="BE210" s="185"/>
      <c r="BF210" s="185"/>
      <c r="BG210" s="185"/>
      <c r="BH210" s="185"/>
      <c r="BI210" s="185"/>
      <c r="BJ210" s="185"/>
      <c r="BK210" s="185"/>
      <c r="BL210" s="185"/>
    </row>
    <row r="211" ht="15.7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/>
      <c r="AD211" s="185"/>
      <c r="AE211" s="233"/>
      <c r="AF211" s="185"/>
      <c r="AG211" s="185"/>
      <c r="AH211" s="185"/>
      <c r="AI211" s="185"/>
      <c r="AJ211" s="185"/>
      <c r="AK211" s="185"/>
      <c r="AL211" s="185"/>
      <c r="AM211" s="185"/>
      <c r="AN211" s="185"/>
      <c r="AO211" s="185"/>
      <c r="AP211" s="185"/>
      <c r="AQ211" s="185"/>
      <c r="AR211" s="185"/>
      <c r="AS211" s="185"/>
      <c r="AT211" s="185"/>
      <c r="AU211" s="185"/>
      <c r="AV211" s="185"/>
      <c r="AW211" s="185"/>
      <c r="AX211" s="185"/>
      <c r="AY211" s="185"/>
      <c r="AZ211" s="185"/>
      <c r="BA211" s="185"/>
      <c r="BB211" s="185"/>
      <c r="BC211" s="185"/>
      <c r="BD211" s="185"/>
      <c r="BE211" s="185"/>
      <c r="BF211" s="185"/>
      <c r="BG211" s="185"/>
      <c r="BH211" s="185"/>
      <c r="BI211" s="185"/>
      <c r="BJ211" s="185"/>
      <c r="BK211" s="185"/>
      <c r="BL211" s="185"/>
    </row>
    <row r="212" ht="15.7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/>
      <c r="AD212" s="185"/>
      <c r="AE212" s="233"/>
      <c r="AF212" s="185"/>
      <c r="AG212" s="185"/>
      <c r="AH212" s="185"/>
      <c r="AI212" s="185"/>
      <c r="AJ212" s="185"/>
      <c r="AK212" s="185"/>
      <c r="AL212" s="185"/>
      <c r="AM212" s="185"/>
      <c r="AN212" s="185"/>
      <c r="AO212" s="185"/>
      <c r="AP212" s="185"/>
      <c r="AQ212" s="185"/>
      <c r="AR212" s="185"/>
      <c r="AS212" s="185"/>
      <c r="AT212" s="185"/>
      <c r="AU212" s="185"/>
      <c r="AV212" s="185"/>
      <c r="AW212" s="185"/>
      <c r="AX212" s="185"/>
      <c r="AY212" s="185"/>
      <c r="AZ212" s="185"/>
      <c r="BA212" s="185"/>
      <c r="BB212" s="185"/>
      <c r="BC212" s="185"/>
      <c r="BD212" s="185"/>
      <c r="BE212" s="185"/>
      <c r="BF212" s="185"/>
      <c r="BG212" s="185"/>
      <c r="BH212" s="185"/>
      <c r="BI212" s="185"/>
      <c r="BJ212" s="185"/>
      <c r="BK212" s="185"/>
      <c r="BL212" s="185"/>
    </row>
    <row r="213" ht="15.7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/>
      <c r="AD213" s="185"/>
      <c r="AE213" s="233"/>
      <c r="AF213" s="185"/>
      <c r="AG213" s="185"/>
      <c r="AH213" s="185"/>
      <c r="AI213" s="185"/>
      <c r="AJ213" s="185"/>
      <c r="AK213" s="185"/>
      <c r="AL213" s="185"/>
      <c r="AM213" s="185"/>
      <c r="AN213" s="185"/>
      <c r="AO213" s="185"/>
      <c r="AP213" s="185"/>
      <c r="AQ213" s="185"/>
      <c r="AR213" s="185"/>
      <c r="AS213" s="185"/>
      <c r="AT213" s="185"/>
      <c r="AU213" s="185"/>
      <c r="AV213" s="185"/>
      <c r="AW213" s="185"/>
      <c r="AX213" s="185"/>
      <c r="AY213" s="185"/>
      <c r="AZ213" s="185"/>
      <c r="BA213" s="185"/>
      <c r="BB213" s="185"/>
      <c r="BC213" s="185"/>
      <c r="BD213" s="185"/>
      <c r="BE213" s="185"/>
      <c r="BF213" s="185"/>
      <c r="BG213" s="185"/>
      <c r="BH213" s="185"/>
      <c r="BI213" s="185"/>
      <c r="BJ213" s="185"/>
      <c r="BK213" s="185"/>
      <c r="BL213" s="185"/>
    </row>
    <row r="214" ht="15.7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/>
      <c r="AD214" s="185"/>
      <c r="AE214" s="233"/>
      <c r="AF214" s="185"/>
      <c r="AG214" s="185"/>
      <c r="AH214" s="185"/>
      <c r="AI214" s="185"/>
      <c r="AJ214" s="185"/>
      <c r="AK214" s="185"/>
      <c r="AL214" s="185"/>
      <c r="AM214" s="185"/>
      <c r="AN214" s="185"/>
      <c r="AO214" s="185"/>
      <c r="AP214" s="185"/>
      <c r="AQ214" s="185"/>
      <c r="AR214" s="185"/>
      <c r="AS214" s="185"/>
      <c r="AT214" s="185"/>
      <c r="AU214" s="185"/>
      <c r="AV214" s="185"/>
      <c r="AW214" s="185"/>
      <c r="AX214" s="185"/>
      <c r="AY214" s="185"/>
      <c r="AZ214" s="185"/>
      <c r="BA214" s="185"/>
      <c r="BB214" s="185"/>
      <c r="BC214" s="185"/>
      <c r="BD214" s="185"/>
      <c r="BE214" s="185"/>
      <c r="BF214" s="185"/>
      <c r="BG214" s="185"/>
      <c r="BH214" s="185"/>
      <c r="BI214" s="185"/>
      <c r="BJ214" s="185"/>
      <c r="BK214" s="185"/>
      <c r="BL214" s="185"/>
    </row>
    <row r="215" ht="15.7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/>
      <c r="AD215" s="185"/>
      <c r="AE215" s="233"/>
      <c r="AF215" s="185"/>
      <c r="AG215" s="185"/>
      <c r="AH215" s="185"/>
      <c r="AI215" s="185"/>
      <c r="AJ215" s="185"/>
      <c r="AK215" s="185"/>
      <c r="AL215" s="185"/>
      <c r="AM215" s="185"/>
      <c r="AN215" s="185"/>
      <c r="AO215" s="185"/>
      <c r="AP215" s="185"/>
      <c r="AQ215" s="185"/>
      <c r="AR215" s="185"/>
      <c r="AS215" s="185"/>
      <c r="AT215" s="185"/>
      <c r="AU215" s="185"/>
      <c r="AV215" s="185"/>
      <c r="AW215" s="185"/>
      <c r="AX215" s="185"/>
      <c r="AY215" s="185"/>
      <c r="AZ215" s="185"/>
      <c r="BA215" s="185"/>
      <c r="BB215" s="185"/>
      <c r="BC215" s="185"/>
      <c r="BD215" s="185"/>
      <c r="BE215" s="185"/>
      <c r="BF215" s="185"/>
      <c r="BG215" s="185"/>
      <c r="BH215" s="185"/>
      <c r="BI215" s="185"/>
      <c r="BJ215" s="185"/>
      <c r="BK215" s="185"/>
      <c r="BL215" s="185"/>
    </row>
    <row r="216" ht="15.7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/>
      <c r="AD216" s="185"/>
      <c r="AE216" s="233"/>
      <c r="AF216" s="185"/>
      <c r="AG216" s="185"/>
      <c r="AH216" s="185"/>
      <c r="AI216" s="185"/>
      <c r="AJ216" s="185"/>
      <c r="AK216" s="185"/>
      <c r="AL216" s="185"/>
      <c r="AM216" s="185"/>
      <c r="AN216" s="185"/>
      <c r="AO216" s="185"/>
      <c r="AP216" s="185"/>
      <c r="AQ216" s="185"/>
      <c r="AR216" s="185"/>
      <c r="AS216" s="185"/>
      <c r="AT216" s="185"/>
      <c r="AU216" s="185"/>
      <c r="AV216" s="185"/>
      <c r="AW216" s="185"/>
      <c r="AX216" s="185"/>
      <c r="AY216" s="185"/>
      <c r="AZ216" s="185"/>
      <c r="BA216" s="185"/>
      <c r="BB216" s="185"/>
      <c r="BC216" s="185"/>
      <c r="BD216" s="185"/>
      <c r="BE216" s="185"/>
      <c r="BF216" s="185"/>
      <c r="BG216" s="185"/>
      <c r="BH216" s="185"/>
      <c r="BI216" s="185"/>
      <c r="BJ216" s="185"/>
      <c r="BK216" s="185"/>
      <c r="BL216" s="185"/>
    </row>
    <row r="217" ht="15.7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/>
      <c r="AD217" s="185"/>
      <c r="AE217" s="233"/>
      <c r="AF217" s="185"/>
      <c r="AG217" s="185"/>
      <c r="AH217" s="185"/>
      <c r="AI217" s="185"/>
      <c r="AJ217" s="185"/>
      <c r="AK217" s="185"/>
      <c r="AL217" s="185"/>
      <c r="AM217" s="185"/>
      <c r="AN217" s="185"/>
      <c r="AO217" s="185"/>
      <c r="AP217" s="185"/>
      <c r="AQ217" s="185"/>
      <c r="AR217" s="185"/>
      <c r="AS217" s="185"/>
      <c r="AT217" s="185"/>
      <c r="AU217" s="185"/>
      <c r="AV217" s="185"/>
      <c r="AW217" s="185"/>
      <c r="AX217" s="185"/>
      <c r="AY217" s="185"/>
      <c r="AZ217" s="185"/>
      <c r="BA217" s="185"/>
      <c r="BB217" s="185"/>
      <c r="BC217" s="185"/>
      <c r="BD217" s="185"/>
      <c r="BE217" s="185"/>
      <c r="BF217" s="185"/>
      <c r="BG217" s="185"/>
      <c r="BH217" s="185"/>
      <c r="BI217" s="185"/>
      <c r="BJ217" s="185"/>
      <c r="BK217" s="185"/>
      <c r="BL217" s="185"/>
    </row>
    <row r="218" ht="15.7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/>
      <c r="AD218" s="185"/>
      <c r="AE218" s="233"/>
      <c r="AF218" s="185"/>
      <c r="AG218" s="185"/>
      <c r="AH218" s="185"/>
      <c r="AI218" s="185"/>
      <c r="AJ218" s="185"/>
      <c r="AK218" s="185"/>
      <c r="AL218" s="185"/>
      <c r="AM218" s="185"/>
      <c r="AN218" s="185"/>
      <c r="AO218" s="185"/>
      <c r="AP218" s="185"/>
      <c r="AQ218" s="185"/>
      <c r="AR218" s="185"/>
      <c r="AS218" s="185"/>
      <c r="AT218" s="185"/>
      <c r="AU218" s="185"/>
      <c r="AV218" s="185"/>
      <c r="AW218" s="185"/>
      <c r="AX218" s="185"/>
      <c r="AY218" s="185"/>
      <c r="AZ218" s="185"/>
      <c r="BA218" s="185"/>
      <c r="BB218" s="185"/>
      <c r="BC218" s="185"/>
      <c r="BD218" s="185"/>
      <c r="BE218" s="185"/>
      <c r="BF218" s="185"/>
      <c r="BG218" s="185"/>
      <c r="BH218" s="185"/>
      <c r="BI218" s="185"/>
      <c r="BJ218" s="185"/>
      <c r="BK218" s="185"/>
      <c r="BL218" s="185"/>
    </row>
    <row r="219" ht="15.7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/>
      <c r="AD219" s="185"/>
      <c r="AE219" s="233"/>
      <c r="AF219" s="185"/>
      <c r="AG219" s="185"/>
      <c r="AH219" s="185"/>
      <c r="AI219" s="185"/>
      <c r="AJ219" s="185"/>
      <c r="AK219" s="185"/>
      <c r="AL219" s="185"/>
      <c r="AM219" s="185"/>
      <c r="AN219" s="185"/>
      <c r="AO219" s="185"/>
      <c r="AP219" s="185"/>
      <c r="AQ219" s="185"/>
      <c r="AR219" s="185"/>
      <c r="AS219" s="185"/>
      <c r="AT219" s="185"/>
      <c r="AU219" s="185"/>
      <c r="AV219" s="185"/>
      <c r="AW219" s="185"/>
      <c r="AX219" s="185"/>
      <c r="AY219" s="185"/>
      <c r="AZ219" s="185"/>
      <c r="BA219" s="185"/>
      <c r="BB219" s="185"/>
      <c r="BC219" s="185"/>
      <c r="BD219" s="185"/>
      <c r="BE219" s="185"/>
      <c r="BF219" s="185"/>
      <c r="BG219" s="185"/>
      <c r="BH219" s="185"/>
      <c r="BI219" s="185"/>
      <c r="BJ219" s="185"/>
      <c r="BK219" s="185"/>
      <c r="BL219" s="185"/>
    </row>
    <row r="220" ht="15.7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/>
      <c r="AD220" s="185"/>
      <c r="AE220" s="233"/>
      <c r="AF220" s="185"/>
      <c r="AG220" s="185"/>
      <c r="AH220" s="185"/>
      <c r="AI220" s="185"/>
      <c r="AJ220" s="185"/>
      <c r="AK220" s="185"/>
      <c r="AL220" s="185"/>
      <c r="AM220" s="185"/>
      <c r="AN220" s="185"/>
      <c r="AO220" s="185"/>
      <c r="AP220" s="185"/>
      <c r="AQ220" s="185"/>
      <c r="AR220" s="185"/>
      <c r="AS220" s="185"/>
      <c r="AT220" s="185"/>
      <c r="AU220" s="185"/>
      <c r="AV220" s="185"/>
      <c r="AW220" s="185"/>
      <c r="AX220" s="185"/>
      <c r="AY220" s="185"/>
      <c r="AZ220" s="185"/>
      <c r="BA220" s="185"/>
      <c r="BB220" s="185"/>
      <c r="BC220" s="185"/>
      <c r="BD220" s="185"/>
      <c r="BE220" s="185"/>
      <c r="BF220" s="185"/>
      <c r="BG220" s="185"/>
      <c r="BH220" s="185"/>
      <c r="BI220" s="185"/>
      <c r="BJ220" s="185"/>
      <c r="BK220" s="185"/>
      <c r="BL220" s="185"/>
    </row>
    <row r="221" ht="15.7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/>
      <c r="AD221" s="185"/>
      <c r="AE221" s="233"/>
      <c r="AF221" s="185"/>
      <c r="AG221" s="185"/>
      <c r="AH221" s="185"/>
      <c r="AI221" s="185"/>
      <c r="AJ221" s="185"/>
      <c r="AK221" s="185"/>
      <c r="AL221" s="185"/>
      <c r="AM221" s="185"/>
      <c r="AN221" s="185"/>
      <c r="AO221" s="185"/>
      <c r="AP221" s="185"/>
      <c r="AQ221" s="185"/>
      <c r="AR221" s="185"/>
      <c r="AS221" s="185"/>
      <c r="AT221" s="185"/>
      <c r="AU221" s="185"/>
      <c r="AV221" s="185"/>
      <c r="AW221" s="185"/>
      <c r="AX221" s="185"/>
      <c r="AY221" s="185"/>
      <c r="AZ221" s="185"/>
      <c r="BA221" s="185"/>
      <c r="BB221" s="185"/>
      <c r="BC221" s="185"/>
      <c r="BD221" s="185"/>
      <c r="BE221" s="185"/>
      <c r="BF221" s="185"/>
      <c r="BG221" s="185"/>
      <c r="BH221" s="185"/>
      <c r="BI221" s="185"/>
      <c r="BJ221" s="185"/>
      <c r="BK221" s="185"/>
      <c r="BL221" s="185"/>
    </row>
    <row r="222" ht="15.7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/>
      <c r="AD222" s="185"/>
      <c r="AE222" s="233"/>
      <c r="AF222" s="185"/>
      <c r="AG222" s="185"/>
      <c r="AH222" s="185"/>
      <c r="AI222" s="185"/>
      <c r="AJ222" s="185"/>
      <c r="AK222" s="185"/>
      <c r="AL222" s="185"/>
      <c r="AM222" s="185"/>
      <c r="AN222" s="185"/>
      <c r="AO222" s="185"/>
      <c r="AP222" s="185"/>
      <c r="AQ222" s="185"/>
      <c r="AR222" s="185"/>
      <c r="AS222" s="185"/>
      <c r="AT222" s="185"/>
      <c r="AU222" s="185"/>
      <c r="AV222" s="185"/>
      <c r="AW222" s="185"/>
      <c r="AX222" s="185"/>
      <c r="AY222" s="185"/>
      <c r="AZ222" s="185"/>
      <c r="BA222" s="185"/>
      <c r="BB222" s="185"/>
      <c r="BC222" s="185"/>
      <c r="BD222" s="185"/>
      <c r="BE222" s="185"/>
      <c r="BF222" s="185"/>
      <c r="BG222" s="185"/>
      <c r="BH222" s="185"/>
      <c r="BI222" s="185"/>
      <c r="BJ222" s="185"/>
      <c r="BK222" s="185"/>
      <c r="BL222" s="185"/>
    </row>
    <row r="223" ht="15.7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/>
      <c r="AD223" s="185"/>
      <c r="AE223" s="233"/>
      <c r="AF223" s="185"/>
      <c r="AG223" s="185"/>
      <c r="AH223" s="185"/>
      <c r="AI223" s="185"/>
      <c r="AJ223" s="185"/>
      <c r="AK223" s="185"/>
      <c r="AL223" s="185"/>
      <c r="AM223" s="185"/>
      <c r="AN223" s="185"/>
      <c r="AO223" s="185"/>
      <c r="AP223" s="185"/>
      <c r="AQ223" s="185"/>
      <c r="AR223" s="185"/>
      <c r="AS223" s="185"/>
      <c r="AT223" s="185"/>
      <c r="AU223" s="185"/>
      <c r="AV223" s="185"/>
      <c r="AW223" s="185"/>
      <c r="AX223" s="185"/>
      <c r="AY223" s="185"/>
      <c r="AZ223" s="185"/>
      <c r="BA223" s="185"/>
      <c r="BB223" s="185"/>
      <c r="BC223" s="185"/>
      <c r="BD223" s="185"/>
      <c r="BE223" s="185"/>
      <c r="BF223" s="185"/>
      <c r="BG223" s="185"/>
      <c r="BH223" s="185"/>
      <c r="BI223" s="185"/>
      <c r="BJ223" s="185"/>
      <c r="BK223" s="185"/>
      <c r="BL223" s="185"/>
    </row>
    <row r="224" ht="15.7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/>
      <c r="AD224" s="185"/>
      <c r="AE224" s="233"/>
      <c r="AF224" s="185"/>
      <c r="AG224" s="185"/>
      <c r="AH224" s="185"/>
      <c r="AI224" s="185"/>
      <c r="AJ224" s="185"/>
      <c r="AK224" s="185"/>
      <c r="AL224" s="185"/>
      <c r="AM224" s="185"/>
      <c r="AN224" s="185"/>
      <c r="AO224" s="185"/>
      <c r="AP224" s="185"/>
      <c r="AQ224" s="185"/>
      <c r="AR224" s="185"/>
      <c r="AS224" s="185"/>
      <c r="AT224" s="185"/>
      <c r="AU224" s="185"/>
      <c r="AV224" s="185"/>
      <c r="AW224" s="185"/>
      <c r="AX224" s="185"/>
      <c r="AY224" s="185"/>
      <c r="AZ224" s="185"/>
      <c r="BA224" s="185"/>
      <c r="BB224" s="185"/>
      <c r="BC224" s="185"/>
      <c r="BD224" s="185"/>
      <c r="BE224" s="185"/>
      <c r="BF224" s="185"/>
      <c r="BG224" s="185"/>
      <c r="BH224" s="185"/>
      <c r="BI224" s="185"/>
      <c r="BJ224" s="185"/>
      <c r="BK224" s="185"/>
      <c r="BL224" s="185"/>
    </row>
    <row r="225" ht="15.7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/>
      <c r="AD225" s="185"/>
      <c r="AE225" s="233"/>
      <c r="AF225" s="185"/>
      <c r="AG225" s="185"/>
      <c r="AH225" s="185"/>
      <c r="AI225" s="185"/>
      <c r="AJ225" s="185"/>
      <c r="AK225" s="185"/>
      <c r="AL225" s="185"/>
      <c r="AM225" s="185"/>
      <c r="AN225" s="185"/>
      <c r="AO225" s="185"/>
      <c r="AP225" s="185"/>
      <c r="AQ225" s="185"/>
      <c r="AR225" s="185"/>
      <c r="AS225" s="185"/>
      <c r="AT225" s="185"/>
      <c r="AU225" s="185"/>
      <c r="AV225" s="185"/>
      <c r="AW225" s="185"/>
      <c r="AX225" s="185"/>
      <c r="AY225" s="185"/>
      <c r="AZ225" s="185"/>
      <c r="BA225" s="185"/>
      <c r="BB225" s="185"/>
      <c r="BC225" s="185"/>
      <c r="BD225" s="185"/>
      <c r="BE225" s="185"/>
      <c r="BF225" s="185"/>
      <c r="BG225" s="185"/>
      <c r="BH225" s="185"/>
      <c r="BI225" s="185"/>
      <c r="BJ225" s="185"/>
      <c r="BK225" s="185"/>
      <c r="BL225" s="185"/>
    </row>
    <row r="226" ht="15.7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/>
      <c r="AD226" s="185"/>
      <c r="AE226" s="233"/>
      <c r="AF226" s="185"/>
      <c r="AG226" s="185"/>
      <c r="AH226" s="185"/>
      <c r="AI226" s="185"/>
      <c r="AJ226" s="185"/>
      <c r="AK226" s="185"/>
      <c r="AL226" s="185"/>
      <c r="AM226" s="185"/>
      <c r="AN226" s="185"/>
      <c r="AO226" s="185"/>
      <c r="AP226" s="185"/>
      <c r="AQ226" s="185"/>
      <c r="AR226" s="185"/>
      <c r="AS226" s="185"/>
      <c r="AT226" s="185"/>
      <c r="AU226" s="185"/>
      <c r="AV226" s="185"/>
      <c r="AW226" s="185"/>
      <c r="AX226" s="185"/>
      <c r="AY226" s="185"/>
      <c r="AZ226" s="185"/>
      <c r="BA226" s="185"/>
      <c r="BB226" s="185"/>
      <c r="BC226" s="185"/>
      <c r="BD226" s="185"/>
      <c r="BE226" s="185"/>
      <c r="BF226" s="185"/>
      <c r="BG226" s="185"/>
      <c r="BH226" s="185"/>
      <c r="BI226" s="185"/>
      <c r="BJ226" s="185"/>
      <c r="BK226" s="185"/>
      <c r="BL226" s="185"/>
    </row>
    <row r="227" ht="15.7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/>
      <c r="AD227" s="185"/>
      <c r="AE227" s="233"/>
      <c r="AF227" s="185"/>
      <c r="AG227" s="185"/>
      <c r="AH227" s="185"/>
      <c r="AI227" s="185"/>
      <c r="AJ227" s="185"/>
      <c r="AK227" s="185"/>
      <c r="AL227" s="185"/>
      <c r="AM227" s="185"/>
      <c r="AN227" s="185"/>
      <c r="AO227" s="185"/>
      <c r="AP227" s="185"/>
      <c r="AQ227" s="185"/>
      <c r="AR227" s="185"/>
      <c r="AS227" s="185"/>
      <c r="AT227" s="185"/>
      <c r="AU227" s="185"/>
      <c r="AV227" s="185"/>
      <c r="AW227" s="185"/>
      <c r="AX227" s="185"/>
      <c r="AY227" s="185"/>
      <c r="AZ227" s="185"/>
      <c r="BA227" s="185"/>
      <c r="BB227" s="185"/>
      <c r="BC227" s="185"/>
      <c r="BD227" s="185"/>
      <c r="BE227" s="185"/>
      <c r="BF227" s="185"/>
      <c r="BG227" s="185"/>
      <c r="BH227" s="185"/>
      <c r="BI227" s="185"/>
      <c r="BJ227" s="185"/>
      <c r="BK227" s="185"/>
      <c r="BL227" s="185"/>
    </row>
    <row r="228" ht="15.7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/>
      <c r="AD228" s="185"/>
      <c r="AE228" s="233"/>
      <c r="AF228" s="185"/>
      <c r="AG228" s="185"/>
      <c r="AH228" s="185"/>
      <c r="AI228" s="185"/>
      <c r="AJ228" s="185"/>
      <c r="AK228" s="185"/>
      <c r="AL228" s="185"/>
      <c r="AM228" s="185"/>
      <c r="AN228" s="185"/>
      <c r="AO228" s="185"/>
      <c r="AP228" s="185"/>
      <c r="AQ228" s="185"/>
      <c r="AR228" s="185"/>
      <c r="AS228" s="185"/>
      <c r="AT228" s="185"/>
      <c r="AU228" s="185"/>
      <c r="AV228" s="185"/>
      <c r="AW228" s="185"/>
      <c r="AX228" s="185"/>
      <c r="AY228" s="185"/>
      <c r="AZ228" s="185"/>
      <c r="BA228" s="185"/>
      <c r="BB228" s="185"/>
      <c r="BC228" s="185"/>
      <c r="BD228" s="185"/>
      <c r="BE228" s="185"/>
      <c r="BF228" s="185"/>
      <c r="BG228" s="185"/>
      <c r="BH228" s="185"/>
      <c r="BI228" s="185"/>
      <c r="BJ228" s="185"/>
      <c r="BK228" s="185"/>
      <c r="BL228" s="185"/>
    </row>
    <row r="229" ht="15.7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/>
      <c r="AD229" s="185"/>
      <c r="AE229" s="233"/>
      <c r="AF229" s="185"/>
      <c r="AG229" s="185"/>
      <c r="AH229" s="185"/>
      <c r="AI229" s="185"/>
      <c r="AJ229" s="185"/>
      <c r="AK229" s="185"/>
      <c r="AL229" s="185"/>
      <c r="AM229" s="185"/>
      <c r="AN229" s="185"/>
      <c r="AO229" s="185"/>
      <c r="AP229" s="185"/>
      <c r="AQ229" s="185"/>
      <c r="AR229" s="185"/>
      <c r="AS229" s="185"/>
      <c r="AT229" s="185"/>
      <c r="AU229" s="185"/>
      <c r="AV229" s="185"/>
      <c r="AW229" s="185"/>
      <c r="AX229" s="185"/>
      <c r="AY229" s="185"/>
      <c r="AZ229" s="185"/>
      <c r="BA229" s="185"/>
      <c r="BB229" s="185"/>
      <c r="BC229" s="185"/>
      <c r="BD229" s="185"/>
      <c r="BE229" s="185"/>
      <c r="BF229" s="185"/>
      <c r="BG229" s="185"/>
      <c r="BH229" s="185"/>
      <c r="BI229" s="185"/>
      <c r="BJ229" s="185"/>
      <c r="BK229" s="185"/>
      <c r="BL229" s="185"/>
    </row>
    <row r="230" ht="15.7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/>
      <c r="AD230" s="185"/>
      <c r="AE230" s="233"/>
      <c r="AF230" s="185"/>
      <c r="AG230" s="185"/>
      <c r="AH230" s="185"/>
      <c r="AI230" s="185"/>
      <c r="AJ230" s="185"/>
      <c r="AK230" s="185"/>
      <c r="AL230" s="185"/>
      <c r="AM230" s="185"/>
      <c r="AN230" s="185"/>
      <c r="AO230" s="185"/>
      <c r="AP230" s="185"/>
      <c r="AQ230" s="185"/>
      <c r="AR230" s="185"/>
      <c r="AS230" s="185"/>
      <c r="AT230" s="185"/>
      <c r="AU230" s="185"/>
      <c r="AV230" s="185"/>
      <c r="AW230" s="185"/>
      <c r="AX230" s="185"/>
      <c r="AY230" s="185"/>
      <c r="AZ230" s="185"/>
      <c r="BA230" s="185"/>
      <c r="BB230" s="185"/>
      <c r="BC230" s="185"/>
      <c r="BD230" s="185"/>
      <c r="BE230" s="185"/>
      <c r="BF230" s="185"/>
      <c r="BG230" s="185"/>
      <c r="BH230" s="185"/>
      <c r="BI230" s="185"/>
      <c r="BJ230" s="185"/>
      <c r="BK230" s="185"/>
      <c r="BL230" s="185"/>
    </row>
    <row r="231" ht="15.7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/>
      <c r="AD231" s="185"/>
      <c r="AE231" s="233"/>
      <c r="AF231" s="185"/>
      <c r="AG231" s="185"/>
      <c r="AH231" s="185"/>
      <c r="AI231" s="185"/>
      <c r="AJ231" s="185"/>
      <c r="AK231" s="185"/>
      <c r="AL231" s="185"/>
      <c r="AM231" s="185"/>
      <c r="AN231" s="185"/>
      <c r="AO231" s="185"/>
      <c r="AP231" s="185"/>
      <c r="AQ231" s="185"/>
      <c r="AR231" s="185"/>
      <c r="AS231" s="185"/>
      <c r="AT231" s="185"/>
      <c r="AU231" s="185"/>
      <c r="AV231" s="185"/>
      <c r="AW231" s="185"/>
      <c r="AX231" s="185"/>
      <c r="AY231" s="185"/>
      <c r="AZ231" s="185"/>
      <c r="BA231" s="185"/>
      <c r="BB231" s="185"/>
      <c r="BC231" s="185"/>
      <c r="BD231" s="185"/>
      <c r="BE231" s="185"/>
      <c r="BF231" s="185"/>
      <c r="BG231" s="185"/>
      <c r="BH231" s="185"/>
      <c r="BI231" s="185"/>
      <c r="BJ231" s="185"/>
      <c r="BK231" s="185"/>
      <c r="BL231" s="185"/>
    </row>
    <row r="232" ht="15.7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/>
      <c r="AD232" s="185"/>
      <c r="AE232" s="233"/>
      <c r="AF232" s="185"/>
      <c r="AG232" s="185"/>
      <c r="AH232" s="185"/>
      <c r="AI232" s="185"/>
      <c r="AJ232" s="185"/>
      <c r="AK232" s="185"/>
      <c r="AL232" s="185"/>
      <c r="AM232" s="185"/>
      <c r="AN232" s="185"/>
      <c r="AO232" s="185"/>
      <c r="AP232" s="185"/>
      <c r="AQ232" s="185"/>
      <c r="AR232" s="185"/>
      <c r="AS232" s="185"/>
      <c r="AT232" s="185"/>
      <c r="AU232" s="185"/>
      <c r="AV232" s="185"/>
      <c r="AW232" s="185"/>
      <c r="AX232" s="185"/>
      <c r="AY232" s="185"/>
      <c r="AZ232" s="185"/>
      <c r="BA232" s="185"/>
      <c r="BB232" s="185"/>
      <c r="BC232" s="185"/>
      <c r="BD232" s="185"/>
      <c r="BE232" s="185"/>
      <c r="BF232" s="185"/>
      <c r="BG232" s="185"/>
      <c r="BH232" s="185"/>
      <c r="BI232" s="185"/>
      <c r="BJ232" s="185"/>
      <c r="BK232" s="185"/>
      <c r="BL232" s="185"/>
    </row>
    <row r="233" ht="15.7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/>
      <c r="AD233" s="185"/>
      <c r="AE233" s="233"/>
      <c r="AF233" s="185"/>
      <c r="AG233" s="185"/>
      <c r="AH233" s="185"/>
      <c r="AI233" s="185"/>
      <c r="AJ233" s="185"/>
      <c r="AK233" s="185"/>
      <c r="AL233" s="185"/>
      <c r="AM233" s="185"/>
      <c r="AN233" s="185"/>
      <c r="AO233" s="185"/>
      <c r="AP233" s="185"/>
      <c r="AQ233" s="185"/>
      <c r="AR233" s="185"/>
      <c r="AS233" s="185"/>
      <c r="AT233" s="185"/>
      <c r="AU233" s="185"/>
      <c r="AV233" s="185"/>
      <c r="AW233" s="185"/>
      <c r="AX233" s="185"/>
      <c r="AY233" s="185"/>
      <c r="AZ233" s="185"/>
      <c r="BA233" s="185"/>
      <c r="BB233" s="185"/>
      <c r="BC233" s="185"/>
      <c r="BD233" s="185"/>
      <c r="BE233" s="185"/>
      <c r="BF233" s="185"/>
      <c r="BG233" s="185"/>
      <c r="BH233" s="185"/>
      <c r="BI233" s="185"/>
      <c r="BJ233" s="185"/>
      <c r="BK233" s="185"/>
      <c r="BL233" s="185"/>
    </row>
    <row r="234" ht="15.7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/>
      <c r="AD234" s="185"/>
      <c r="AE234" s="233"/>
      <c r="AF234" s="185"/>
      <c r="AG234" s="185"/>
      <c r="AH234" s="185"/>
      <c r="AI234" s="185"/>
      <c r="AJ234" s="185"/>
      <c r="AK234" s="185"/>
      <c r="AL234" s="185"/>
      <c r="AM234" s="185"/>
      <c r="AN234" s="185"/>
      <c r="AO234" s="185"/>
      <c r="AP234" s="185"/>
      <c r="AQ234" s="185"/>
      <c r="AR234" s="185"/>
      <c r="AS234" s="185"/>
      <c r="AT234" s="185"/>
      <c r="AU234" s="185"/>
      <c r="AV234" s="185"/>
      <c r="AW234" s="185"/>
      <c r="AX234" s="185"/>
      <c r="AY234" s="185"/>
      <c r="AZ234" s="185"/>
      <c r="BA234" s="185"/>
      <c r="BB234" s="185"/>
      <c r="BC234" s="185"/>
      <c r="BD234" s="185"/>
      <c r="BE234" s="185"/>
      <c r="BF234" s="185"/>
      <c r="BG234" s="185"/>
      <c r="BH234" s="185"/>
      <c r="BI234" s="185"/>
      <c r="BJ234" s="185"/>
      <c r="BK234" s="185"/>
      <c r="BL234" s="185"/>
    </row>
    <row r="235" ht="15.7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  <c r="AA235" s="185"/>
      <c r="AB235" s="185"/>
      <c r="AC235" s="185"/>
      <c r="AD235" s="185"/>
      <c r="AE235" s="233"/>
      <c r="AF235" s="185"/>
      <c r="AG235" s="185"/>
      <c r="AH235" s="185"/>
      <c r="AI235" s="185"/>
      <c r="AJ235" s="185"/>
      <c r="AK235" s="185"/>
      <c r="AL235" s="185"/>
      <c r="AM235" s="185"/>
      <c r="AN235" s="185"/>
      <c r="AO235" s="185"/>
      <c r="AP235" s="185"/>
      <c r="AQ235" s="185"/>
      <c r="AR235" s="185"/>
      <c r="AS235" s="185"/>
      <c r="AT235" s="185"/>
      <c r="AU235" s="185"/>
      <c r="AV235" s="185"/>
      <c r="AW235" s="185"/>
      <c r="AX235" s="185"/>
      <c r="AY235" s="185"/>
      <c r="AZ235" s="185"/>
      <c r="BA235" s="185"/>
      <c r="BB235" s="185"/>
      <c r="BC235" s="185"/>
      <c r="BD235" s="185"/>
      <c r="BE235" s="185"/>
      <c r="BF235" s="185"/>
      <c r="BG235" s="185"/>
      <c r="BH235" s="185"/>
      <c r="BI235" s="185"/>
      <c r="BJ235" s="185"/>
      <c r="BK235" s="185"/>
      <c r="BL235" s="185"/>
    </row>
    <row r="236" ht="15.7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/>
      <c r="AD236" s="185"/>
      <c r="AE236" s="233"/>
      <c r="AF236" s="185"/>
      <c r="AG236" s="185"/>
      <c r="AH236" s="185"/>
      <c r="AI236" s="185"/>
      <c r="AJ236" s="185"/>
      <c r="AK236" s="185"/>
      <c r="AL236" s="185"/>
      <c r="AM236" s="185"/>
      <c r="AN236" s="185"/>
      <c r="AO236" s="185"/>
      <c r="AP236" s="185"/>
      <c r="AQ236" s="185"/>
      <c r="AR236" s="185"/>
      <c r="AS236" s="185"/>
      <c r="AT236" s="185"/>
      <c r="AU236" s="185"/>
      <c r="AV236" s="185"/>
      <c r="AW236" s="185"/>
      <c r="AX236" s="185"/>
      <c r="AY236" s="185"/>
      <c r="AZ236" s="185"/>
      <c r="BA236" s="185"/>
      <c r="BB236" s="185"/>
      <c r="BC236" s="185"/>
      <c r="BD236" s="185"/>
      <c r="BE236" s="185"/>
      <c r="BF236" s="185"/>
      <c r="BG236" s="185"/>
      <c r="BH236" s="185"/>
      <c r="BI236" s="185"/>
      <c r="BJ236" s="185"/>
      <c r="BK236" s="185"/>
      <c r="BL236" s="185"/>
    </row>
    <row r="237" ht="15.7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/>
      <c r="AD237" s="185"/>
      <c r="AE237" s="233"/>
      <c r="AF237" s="185"/>
      <c r="AG237" s="185"/>
      <c r="AH237" s="185"/>
      <c r="AI237" s="185"/>
      <c r="AJ237" s="185"/>
      <c r="AK237" s="185"/>
      <c r="AL237" s="185"/>
      <c r="AM237" s="185"/>
      <c r="AN237" s="185"/>
      <c r="AO237" s="185"/>
      <c r="AP237" s="185"/>
      <c r="AQ237" s="185"/>
      <c r="AR237" s="185"/>
      <c r="AS237" s="185"/>
      <c r="AT237" s="185"/>
      <c r="AU237" s="185"/>
      <c r="AV237" s="185"/>
      <c r="AW237" s="185"/>
      <c r="AX237" s="185"/>
      <c r="AY237" s="185"/>
      <c r="AZ237" s="185"/>
      <c r="BA237" s="185"/>
      <c r="BB237" s="185"/>
      <c r="BC237" s="185"/>
      <c r="BD237" s="185"/>
      <c r="BE237" s="185"/>
      <c r="BF237" s="185"/>
      <c r="BG237" s="185"/>
      <c r="BH237" s="185"/>
      <c r="BI237" s="185"/>
      <c r="BJ237" s="185"/>
      <c r="BK237" s="185"/>
      <c r="BL237" s="185"/>
    </row>
    <row r="238" ht="15.7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/>
      <c r="AD238" s="185"/>
      <c r="AE238" s="233"/>
      <c r="AF238" s="185"/>
      <c r="AG238" s="185"/>
      <c r="AH238" s="185"/>
      <c r="AI238" s="185"/>
      <c r="AJ238" s="185"/>
      <c r="AK238" s="185"/>
      <c r="AL238" s="185"/>
      <c r="AM238" s="185"/>
      <c r="AN238" s="185"/>
      <c r="AO238" s="185"/>
      <c r="AP238" s="185"/>
      <c r="AQ238" s="185"/>
      <c r="AR238" s="185"/>
      <c r="AS238" s="185"/>
      <c r="AT238" s="185"/>
      <c r="AU238" s="185"/>
      <c r="AV238" s="185"/>
      <c r="AW238" s="185"/>
      <c r="AX238" s="185"/>
      <c r="AY238" s="185"/>
      <c r="AZ238" s="185"/>
      <c r="BA238" s="185"/>
      <c r="BB238" s="185"/>
      <c r="BC238" s="185"/>
      <c r="BD238" s="185"/>
      <c r="BE238" s="185"/>
      <c r="BF238" s="185"/>
      <c r="BG238" s="185"/>
      <c r="BH238" s="185"/>
      <c r="BI238" s="185"/>
      <c r="BJ238" s="185"/>
      <c r="BK238" s="185"/>
      <c r="BL238" s="185"/>
    </row>
    <row r="239" ht="15.7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/>
      <c r="AD239" s="185"/>
      <c r="AE239" s="233"/>
      <c r="AF239" s="185"/>
      <c r="AG239" s="185"/>
      <c r="AH239" s="185"/>
      <c r="AI239" s="185"/>
      <c r="AJ239" s="185"/>
      <c r="AK239" s="185"/>
      <c r="AL239" s="185"/>
      <c r="AM239" s="185"/>
      <c r="AN239" s="185"/>
      <c r="AO239" s="185"/>
      <c r="AP239" s="185"/>
      <c r="AQ239" s="185"/>
      <c r="AR239" s="185"/>
      <c r="AS239" s="185"/>
      <c r="AT239" s="185"/>
      <c r="AU239" s="185"/>
      <c r="AV239" s="185"/>
      <c r="AW239" s="185"/>
      <c r="AX239" s="185"/>
      <c r="AY239" s="185"/>
      <c r="AZ239" s="185"/>
      <c r="BA239" s="185"/>
      <c r="BB239" s="185"/>
      <c r="BC239" s="185"/>
      <c r="BD239" s="185"/>
      <c r="BE239" s="185"/>
      <c r="BF239" s="185"/>
      <c r="BG239" s="185"/>
      <c r="BH239" s="185"/>
      <c r="BI239" s="185"/>
      <c r="BJ239" s="185"/>
      <c r="BK239" s="185"/>
      <c r="BL239" s="185"/>
    </row>
    <row r="240" ht="15.7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/>
      <c r="AD240" s="185"/>
      <c r="AE240" s="233"/>
      <c r="AF240" s="185"/>
      <c r="AG240" s="185"/>
      <c r="AH240" s="185"/>
      <c r="AI240" s="185"/>
      <c r="AJ240" s="185"/>
      <c r="AK240" s="185"/>
      <c r="AL240" s="185"/>
      <c r="AM240" s="185"/>
      <c r="AN240" s="185"/>
      <c r="AO240" s="185"/>
      <c r="AP240" s="185"/>
      <c r="AQ240" s="185"/>
      <c r="AR240" s="185"/>
      <c r="AS240" s="185"/>
      <c r="AT240" s="185"/>
      <c r="AU240" s="185"/>
      <c r="AV240" s="185"/>
      <c r="AW240" s="185"/>
      <c r="AX240" s="185"/>
      <c r="AY240" s="185"/>
      <c r="AZ240" s="185"/>
      <c r="BA240" s="185"/>
      <c r="BB240" s="185"/>
      <c r="BC240" s="185"/>
      <c r="BD240" s="185"/>
      <c r="BE240" s="185"/>
      <c r="BF240" s="185"/>
      <c r="BG240" s="185"/>
      <c r="BH240" s="185"/>
      <c r="BI240" s="185"/>
      <c r="BJ240" s="185"/>
      <c r="BK240" s="185"/>
      <c r="BL240" s="185"/>
    </row>
    <row r="241" ht="15.7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/>
      <c r="AD241" s="185"/>
      <c r="AE241" s="233"/>
      <c r="AF241" s="185"/>
      <c r="AG241" s="185"/>
      <c r="AH241" s="185"/>
      <c r="AI241" s="185"/>
      <c r="AJ241" s="185"/>
      <c r="AK241" s="185"/>
      <c r="AL241" s="185"/>
      <c r="AM241" s="185"/>
      <c r="AN241" s="185"/>
      <c r="AO241" s="185"/>
      <c r="AP241" s="185"/>
      <c r="AQ241" s="185"/>
      <c r="AR241" s="185"/>
      <c r="AS241" s="185"/>
      <c r="AT241" s="185"/>
      <c r="AU241" s="185"/>
      <c r="AV241" s="185"/>
      <c r="AW241" s="185"/>
      <c r="AX241" s="185"/>
      <c r="AY241" s="185"/>
      <c r="AZ241" s="185"/>
      <c r="BA241" s="185"/>
      <c r="BB241" s="185"/>
      <c r="BC241" s="185"/>
      <c r="BD241" s="185"/>
      <c r="BE241" s="185"/>
      <c r="BF241" s="185"/>
      <c r="BG241" s="185"/>
      <c r="BH241" s="185"/>
      <c r="BI241" s="185"/>
      <c r="BJ241" s="185"/>
      <c r="BK241" s="185"/>
      <c r="BL241" s="185"/>
    </row>
    <row r="242" ht="15.7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/>
      <c r="AD242" s="185"/>
      <c r="AE242" s="233"/>
      <c r="AF242" s="185"/>
      <c r="AG242" s="185"/>
      <c r="AH242" s="185"/>
      <c r="AI242" s="185"/>
      <c r="AJ242" s="185"/>
      <c r="AK242" s="185"/>
      <c r="AL242" s="185"/>
      <c r="AM242" s="185"/>
      <c r="AN242" s="185"/>
      <c r="AO242" s="185"/>
      <c r="AP242" s="185"/>
      <c r="AQ242" s="185"/>
      <c r="AR242" s="185"/>
      <c r="AS242" s="185"/>
      <c r="AT242" s="185"/>
      <c r="AU242" s="185"/>
      <c r="AV242" s="185"/>
      <c r="AW242" s="185"/>
      <c r="AX242" s="185"/>
      <c r="AY242" s="185"/>
      <c r="AZ242" s="185"/>
      <c r="BA242" s="185"/>
      <c r="BB242" s="185"/>
      <c r="BC242" s="185"/>
      <c r="BD242" s="185"/>
      <c r="BE242" s="185"/>
      <c r="BF242" s="185"/>
      <c r="BG242" s="185"/>
      <c r="BH242" s="185"/>
      <c r="BI242" s="185"/>
      <c r="BJ242" s="185"/>
      <c r="BK242" s="185"/>
      <c r="BL242" s="185"/>
    </row>
    <row r="243" ht="15.7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/>
      <c r="AD243" s="185"/>
      <c r="AE243" s="233"/>
      <c r="AF243" s="185"/>
      <c r="AG243" s="185"/>
      <c r="AH243" s="185"/>
      <c r="AI243" s="185"/>
      <c r="AJ243" s="185"/>
      <c r="AK243" s="185"/>
      <c r="AL243" s="185"/>
      <c r="AM243" s="185"/>
      <c r="AN243" s="185"/>
      <c r="AO243" s="185"/>
      <c r="AP243" s="185"/>
      <c r="AQ243" s="185"/>
      <c r="AR243" s="185"/>
      <c r="AS243" s="185"/>
      <c r="AT243" s="185"/>
      <c r="AU243" s="185"/>
      <c r="AV243" s="185"/>
      <c r="AW243" s="185"/>
      <c r="AX243" s="185"/>
      <c r="AY243" s="185"/>
      <c r="AZ243" s="185"/>
      <c r="BA243" s="185"/>
      <c r="BB243" s="185"/>
      <c r="BC243" s="185"/>
      <c r="BD243" s="185"/>
      <c r="BE243" s="185"/>
      <c r="BF243" s="185"/>
      <c r="BG243" s="185"/>
      <c r="BH243" s="185"/>
      <c r="BI243" s="185"/>
      <c r="BJ243" s="185"/>
      <c r="BK243" s="185"/>
      <c r="BL243" s="185"/>
    </row>
    <row r="244" ht="15.7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/>
      <c r="AD244" s="185"/>
      <c r="AE244" s="233"/>
      <c r="AF244" s="185"/>
      <c r="AG244" s="185"/>
      <c r="AH244" s="185"/>
      <c r="AI244" s="185"/>
      <c r="AJ244" s="185"/>
      <c r="AK244" s="185"/>
      <c r="AL244" s="185"/>
      <c r="AM244" s="185"/>
      <c r="AN244" s="185"/>
      <c r="AO244" s="185"/>
      <c r="AP244" s="185"/>
      <c r="AQ244" s="185"/>
      <c r="AR244" s="185"/>
      <c r="AS244" s="185"/>
      <c r="AT244" s="185"/>
      <c r="AU244" s="185"/>
      <c r="AV244" s="185"/>
      <c r="AW244" s="185"/>
      <c r="AX244" s="185"/>
      <c r="AY244" s="185"/>
      <c r="AZ244" s="185"/>
      <c r="BA244" s="185"/>
      <c r="BB244" s="185"/>
      <c r="BC244" s="185"/>
      <c r="BD244" s="185"/>
      <c r="BE244" s="185"/>
      <c r="BF244" s="185"/>
      <c r="BG244" s="185"/>
      <c r="BH244" s="185"/>
      <c r="BI244" s="185"/>
      <c r="BJ244" s="185"/>
      <c r="BK244" s="185"/>
      <c r="BL244" s="185"/>
    </row>
    <row r="245" ht="15.7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/>
      <c r="AD245" s="185"/>
      <c r="AE245" s="233"/>
      <c r="AF245" s="185"/>
      <c r="AG245" s="185"/>
      <c r="AH245" s="185"/>
      <c r="AI245" s="185"/>
      <c r="AJ245" s="185"/>
      <c r="AK245" s="185"/>
      <c r="AL245" s="185"/>
      <c r="AM245" s="185"/>
      <c r="AN245" s="185"/>
      <c r="AO245" s="185"/>
      <c r="AP245" s="185"/>
      <c r="AQ245" s="185"/>
      <c r="AR245" s="185"/>
      <c r="AS245" s="185"/>
      <c r="AT245" s="185"/>
      <c r="AU245" s="185"/>
      <c r="AV245" s="185"/>
      <c r="AW245" s="185"/>
      <c r="AX245" s="185"/>
      <c r="AY245" s="185"/>
      <c r="AZ245" s="185"/>
      <c r="BA245" s="185"/>
      <c r="BB245" s="185"/>
      <c r="BC245" s="185"/>
      <c r="BD245" s="185"/>
      <c r="BE245" s="185"/>
      <c r="BF245" s="185"/>
      <c r="BG245" s="185"/>
      <c r="BH245" s="185"/>
      <c r="BI245" s="185"/>
      <c r="BJ245" s="185"/>
      <c r="BK245" s="185"/>
      <c r="BL245" s="185"/>
    </row>
    <row r="246" ht="15.7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/>
      <c r="AD246" s="185"/>
      <c r="AE246" s="233"/>
      <c r="AF246" s="185"/>
      <c r="AG246" s="185"/>
      <c r="AH246" s="185"/>
      <c r="AI246" s="185"/>
      <c r="AJ246" s="185"/>
      <c r="AK246" s="185"/>
      <c r="AL246" s="185"/>
      <c r="AM246" s="185"/>
      <c r="AN246" s="185"/>
      <c r="AO246" s="185"/>
      <c r="AP246" s="185"/>
      <c r="AQ246" s="185"/>
      <c r="AR246" s="185"/>
      <c r="AS246" s="185"/>
      <c r="AT246" s="185"/>
      <c r="AU246" s="185"/>
      <c r="AV246" s="185"/>
      <c r="AW246" s="185"/>
      <c r="AX246" s="185"/>
      <c r="AY246" s="185"/>
      <c r="AZ246" s="185"/>
      <c r="BA246" s="185"/>
      <c r="BB246" s="185"/>
      <c r="BC246" s="185"/>
      <c r="BD246" s="185"/>
      <c r="BE246" s="185"/>
      <c r="BF246" s="185"/>
      <c r="BG246" s="185"/>
      <c r="BH246" s="185"/>
      <c r="BI246" s="185"/>
      <c r="BJ246" s="185"/>
      <c r="BK246" s="185"/>
      <c r="BL246" s="185"/>
    </row>
    <row r="247" ht="15.7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/>
      <c r="AD247" s="185"/>
      <c r="AE247" s="233"/>
      <c r="AF247" s="185"/>
      <c r="AG247" s="185"/>
      <c r="AH247" s="185"/>
      <c r="AI247" s="185"/>
      <c r="AJ247" s="185"/>
      <c r="AK247" s="185"/>
      <c r="AL247" s="185"/>
      <c r="AM247" s="185"/>
      <c r="AN247" s="185"/>
      <c r="AO247" s="185"/>
      <c r="AP247" s="185"/>
      <c r="AQ247" s="185"/>
      <c r="AR247" s="185"/>
      <c r="AS247" s="185"/>
      <c r="AT247" s="185"/>
      <c r="AU247" s="185"/>
      <c r="AV247" s="185"/>
      <c r="AW247" s="185"/>
      <c r="AX247" s="185"/>
      <c r="AY247" s="185"/>
      <c r="AZ247" s="185"/>
      <c r="BA247" s="185"/>
      <c r="BB247" s="185"/>
      <c r="BC247" s="185"/>
      <c r="BD247" s="185"/>
      <c r="BE247" s="185"/>
      <c r="BF247" s="185"/>
      <c r="BG247" s="185"/>
      <c r="BH247" s="185"/>
      <c r="BI247" s="185"/>
      <c r="BJ247" s="185"/>
      <c r="BK247" s="185"/>
      <c r="BL247" s="185"/>
    </row>
    <row r="248" ht="15.7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/>
      <c r="AD248" s="185"/>
      <c r="AE248" s="233"/>
      <c r="AF248" s="185"/>
      <c r="AG248" s="185"/>
      <c r="AH248" s="185"/>
      <c r="AI248" s="185"/>
      <c r="AJ248" s="185"/>
      <c r="AK248" s="185"/>
      <c r="AL248" s="185"/>
      <c r="AM248" s="185"/>
      <c r="AN248" s="185"/>
      <c r="AO248" s="185"/>
      <c r="AP248" s="185"/>
      <c r="AQ248" s="185"/>
      <c r="AR248" s="185"/>
      <c r="AS248" s="185"/>
      <c r="AT248" s="185"/>
      <c r="AU248" s="185"/>
      <c r="AV248" s="185"/>
      <c r="AW248" s="185"/>
      <c r="AX248" s="185"/>
      <c r="AY248" s="185"/>
      <c r="AZ248" s="185"/>
      <c r="BA248" s="185"/>
      <c r="BB248" s="185"/>
      <c r="BC248" s="185"/>
      <c r="BD248" s="185"/>
      <c r="BE248" s="185"/>
      <c r="BF248" s="185"/>
      <c r="BG248" s="185"/>
      <c r="BH248" s="185"/>
      <c r="BI248" s="185"/>
      <c r="BJ248" s="185"/>
      <c r="BK248" s="185"/>
      <c r="BL248" s="185"/>
    </row>
    <row r="249" ht="15.7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/>
      <c r="AD249" s="185"/>
      <c r="AE249" s="233"/>
      <c r="AF249" s="185"/>
      <c r="AG249" s="185"/>
      <c r="AH249" s="185"/>
      <c r="AI249" s="185"/>
      <c r="AJ249" s="185"/>
      <c r="AK249" s="185"/>
      <c r="AL249" s="185"/>
      <c r="AM249" s="185"/>
      <c r="AN249" s="185"/>
      <c r="AO249" s="185"/>
      <c r="AP249" s="185"/>
      <c r="AQ249" s="185"/>
      <c r="AR249" s="185"/>
      <c r="AS249" s="185"/>
      <c r="AT249" s="185"/>
      <c r="AU249" s="185"/>
      <c r="AV249" s="185"/>
      <c r="AW249" s="185"/>
      <c r="AX249" s="185"/>
      <c r="AY249" s="185"/>
      <c r="AZ249" s="185"/>
      <c r="BA249" s="185"/>
      <c r="BB249" s="185"/>
      <c r="BC249" s="185"/>
      <c r="BD249" s="185"/>
      <c r="BE249" s="185"/>
      <c r="BF249" s="185"/>
      <c r="BG249" s="185"/>
      <c r="BH249" s="185"/>
      <c r="BI249" s="185"/>
      <c r="BJ249" s="185"/>
      <c r="BK249" s="185"/>
      <c r="BL249" s="185"/>
    </row>
    <row r="250" ht="15.7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/>
      <c r="AD250" s="185"/>
      <c r="AE250" s="233"/>
      <c r="AF250" s="185"/>
      <c r="AG250" s="185"/>
      <c r="AH250" s="185"/>
      <c r="AI250" s="185"/>
      <c r="AJ250" s="185"/>
      <c r="AK250" s="185"/>
      <c r="AL250" s="185"/>
      <c r="AM250" s="185"/>
      <c r="AN250" s="185"/>
      <c r="AO250" s="185"/>
      <c r="AP250" s="185"/>
      <c r="AQ250" s="185"/>
      <c r="AR250" s="185"/>
      <c r="AS250" s="185"/>
      <c r="AT250" s="185"/>
      <c r="AU250" s="185"/>
      <c r="AV250" s="185"/>
      <c r="AW250" s="185"/>
      <c r="AX250" s="185"/>
      <c r="AY250" s="185"/>
      <c r="AZ250" s="185"/>
      <c r="BA250" s="185"/>
      <c r="BB250" s="185"/>
      <c r="BC250" s="185"/>
      <c r="BD250" s="185"/>
      <c r="BE250" s="185"/>
      <c r="BF250" s="185"/>
      <c r="BG250" s="185"/>
      <c r="BH250" s="185"/>
      <c r="BI250" s="185"/>
      <c r="BJ250" s="185"/>
      <c r="BK250" s="185"/>
      <c r="BL250" s="185"/>
    </row>
    <row r="251" ht="15.7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/>
      <c r="AD251" s="185"/>
      <c r="AE251" s="233"/>
      <c r="AF251" s="185"/>
      <c r="AG251" s="185"/>
      <c r="AH251" s="185"/>
      <c r="AI251" s="185"/>
      <c r="AJ251" s="185"/>
      <c r="AK251" s="185"/>
      <c r="AL251" s="185"/>
      <c r="AM251" s="185"/>
      <c r="AN251" s="185"/>
      <c r="AO251" s="185"/>
      <c r="AP251" s="185"/>
      <c r="AQ251" s="185"/>
      <c r="AR251" s="185"/>
      <c r="AS251" s="185"/>
      <c r="AT251" s="185"/>
      <c r="AU251" s="185"/>
      <c r="AV251" s="185"/>
      <c r="AW251" s="185"/>
      <c r="AX251" s="185"/>
      <c r="AY251" s="185"/>
      <c r="AZ251" s="185"/>
      <c r="BA251" s="185"/>
      <c r="BB251" s="185"/>
      <c r="BC251" s="185"/>
      <c r="BD251" s="185"/>
      <c r="BE251" s="185"/>
      <c r="BF251" s="185"/>
      <c r="BG251" s="185"/>
      <c r="BH251" s="185"/>
      <c r="BI251" s="185"/>
      <c r="BJ251" s="185"/>
      <c r="BK251" s="185"/>
      <c r="BL251" s="185"/>
    </row>
    <row r="252" ht="15.7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/>
      <c r="AD252" s="185"/>
      <c r="AE252" s="233"/>
      <c r="AF252" s="185"/>
      <c r="AG252" s="185"/>
      <c r="AH252" s="185"/>
      <c r="AI252" s="185"/>
      <c r="AJ252" s="185"/>
      <c r="AK252" s="185"/>
      <c r="AL252" s="185"/>
      <c r="AM252" s="185"/>
      <c r="AN252" s="185"/>
      <c r="AO252" s="185"/>
      <c r="AP252" s="185"/>
      <c r="AQ252" s="185"/>
      <c r="AR252" s="185"/>
      <c r="AS252" s="185"/>
      <c r="AT252" s="185"/>
      <c r="AU252" s="185"/>
      <c r="AV252" s="185"/>
      <c r="AW252" s="185"/>
      <c r="AX252" s="185"/>
      <c r="AY252" s="185"/>
      <c r="AZ252" s="185"/>
      <c r="BA252" s="185"/>
      <c r="BB252" s="185"/>
      <c r="BC252" s="185"/>
      <c r="BD252" s="185"/>
      <c r="BE252" s="185"/>
      <c r="BF252" s="185"/>
      <c r="BG252" s="185"/>
      <c r="BH252" s="185"/>
      <c r="BI252" s="185"/>
      <c r="BJ252" s="185"/>
      <c r="BK252" s="185"/>
      <c r="BL252" s="185"/>
    </row>
    <row r="253" ht="15.7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/>
      <c r="AD253" s="185"/>
      <c r="AE253" s="233"/>
      <c r="AF253" s="185"/>
      <c r="AG253" s="185"/>
      <c r="AH253" s="185"/>
      <c r="AI253" s="185"/>
      <c r="AJ253" s="185"/>
      <c r="AK253" s="185"/>
      <c r="AL253" s="185"/>
      <c r="AM253" s="185"/>
      <c r="AN253" s="185"/>
      <c r="AO253" s="185"/>
      <c r="AP253" s="185"/>
      <c r="AQ253" s="185"/>
      <c r="AR253" s="185"/>
      <c r="AS253" s="185"/>
      <c r="AT253" s="185"/>
      <c r="AU253" s="185"/>
      <c r="AV253" s="185"/>
      <c r="AW253" s="185"/>
      <c r="AX253" s="185"/>
      <c r="AY253" s="185"/>
      <c r="AZ253" s="185"/>
      <c r="BA253" s="185"/>
      <c r="BB253" s="185"/>
      <c r="BC253" s="185"/>
      <c r="BD253" s="185"/>
      <c r="BE253" s="185"/>
      <c r="BF253" s="185"/>
      <c r="BG253" s="185"/>
      <c r="BH253" s="185"/>
      <c r="BI253" s="185"/>
      <c r="BJ253" s="185"/>
      <c r="BK253" s="185"/>
      <c r="BL253" s="185"/>
    </row>
    <row r="254" ht="15.7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/>
      <c r="AD254" s="185"/>
      <c r="AE254" s="233"/>
      <c r="AF254" s="185"/>
      <c r="AG254" s="185"/>
      <c r="AH254" s="185"/>
      <c r="AI254" s="185"/>
      <c r="AJ254" s="185"/>
      <c r="AK254" s="185"/>
      <c r="AL254" s="185"/>
      <c r="AM254" s="185"/>
      <c r="AN254" s="185"/>
      <c r="AO254" s="185"/>
      <c r="AP254" s="185"/>
      <c r="AQ254" s="185"/>
      <c r="AR254" s="185"/>
      <c r="AS254" s="185"/>
      <c r="AT254" s="185"/>
      <c r="AU254" s="185"/>
      <c r="AV254" s="185"/>
      <c r="AW254" s="185"/>
      <c r="AX254" s="185"/>
      <c r="AY254" s="185"/>
      <c r="AZ254" s="185"/>
      <c r="BA254" s="185"/>
      <c r="BB254" s="185"/>
      <c r="BC254" s="185"/>
      <c r="BD254" s="185"/>
      <c r="BE254" s="185"/>
      <c r="BF254" s="185"/>
      <c r="BG254" s="185"/>
      <c r="BH254" s="185"/>
      <c r="BI254" s="185"/>
      <c r="BJ254" s="185"/>
      <c r="BK254" s="185"/>
      <c r="BL254" s="185"/>
    </row>
    <row r="255" ht="15.7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/>
      <c r="AD255" s="185"/>
      <c r="AE255" s="233"/>
      <c r="AF255" s="185"/>
      <c r="AG255" s="185"/>
      <c r="AH255" s="185"/>
      <c r="AI255" s="185"/>
      <c r="AJ255" s="185"/>
      <c r="AK255" s="185"/>
      <c r="AL255" s="185"/>
      <c r="AM255" s="185"/>
      <c r="AN255" s="185"/>
      <c r="AO255" s="185"/>
      <c r="AP255" s="185"/>
      <c r="AQ255" s="185"/>
      <c r="AR255" s="185"/>
      <c r="AS255" s="185"/>
      <c r="AT255" s="185"/>
      <c r="AU255" s="185"/>
      <c r="AV255" s="185"/>
      <c r="AW255" s="185"/>
      <c r="AX255" s="185"/>
      <c r="AY255" s="185"/>
      <c r="AZ255" s="185"/>
      <c r="BA255" s="185"/>
      <c r="BB255" s="185"/>
      <c r="BC255" s="185"/>
      <c r="BD255" s="185"/>
      <c r="BE255" s="185"/>
      <c r="BF255" s="185"/>
      <c r="BG255" s="185"/>
      <c r="BH255" s="185"/>
      <c r="BI255" s="185"/>
      <c r="BJ255" s="185"/>
      <c r="BK255" s="185"/>
      <c r="BL255" s="185"/>
    </row>
    <row r="256" ht="15.7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/>
      <c r="AD256" s="185"/>
      <c r="AE256" s="233"/>
      <c r="AF256" s="185"/>
      <c r="AG256" s="185"/>
      <c r="AH256" s="185"/>
      <c r="AI256" s="185"/>
      <c r="AJ256" s="185"/>
      <c r="AK256" s="185"/>
      <c r="AL256" s="185"/>
      <c r="AM256" s="185"/>
      <c r="AN256" s="185"/>
      <c r="AO256" s="185"/>
      <c r="AP256" s="185"/>
      <c r="AQ256" s="185"/>
      <c r="AR256" s="185"/>
      <c r="AS256" s="185"/>
      <c r="AT256" s="185"/>
      <c r="AU256" s="185"/>
      <c r="AV256" s="185"/>
      <c r="AW256" s="185"/>
      <c r="AX256" s="185"/>
      <c r="AY256" s="185"/>
      <c r="AZ256" s="185"/>
      <c r="BA256" s="185"/>
      <c r="BB256" s="185"/>
      <c r="BC256" s="185"/>
      <c r="BD256" s="185"/>
      <c r="BE256" s="185"/>
      <c r="BF256" s="185"/>
      <c r="BG256" s="185"/>
      <c r="BH256" s="185"/>
      <c r="BI256" s="185"/>
      <c r="BJ256" s="185"/>
      <c r="BK256" s="185"/>
      <c r="BL256" s="185"/>
    </row>
    <row r="257" ht="15.7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/>
      <c r="AD257" s="185"/>
      <c r="AE257" s="233"/>
      <c r="AF257" s="185"/>
      <c r="AG257" s="185"/>
      <c r="AH257" s="185"/>
      <c r="AI257" s="185"/>
      <c r="AJ257" s="185"/>
      <c r="AK257" s="185"/>
      <c r="AL257" s="185"/>
      <c r="AM257" s="185"/>
      <c r="AN257" s="185"/>
      <c r="AO257" s="185"/>
      <c r="AP257" s="185"/>
      <c r="AQ257" s="185"/>
      <c r="AR257" s="185"/>
      <c r="AS257" s="185"/>
      <c r="AT257" s="185"/>
      <c r="AU257" s="185"/>
      <c r="AV257" s="185"/>
      <c r="AW257" s="185"/>
      <c r="AX257" s="185"/>
      <c r="AY257" s="185"/>
      <c r="AZ257" s="185"/>
      <c r="BA257" s="185"/>
      <c r="BB257" s="185"/>
      <c r="BC257" s="185"/>
      <c r="BD257" s="185"/>
      <c r="BE257" s="185"/>
      <c r="BF257" s="185"/>
      <c r="BG257" s="185"/>
      <c r="BH257" s="185"/>
      <c r="BI257" s="185"/>
      <c r="BJ257" s="185"/>
      <c r="BK257" s="185"/>
      <c r="BL257" s="185"/>
    </row>
    <row r="258" ht="15.7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/>
      <c r="AD258" s="185"/>
      <c r="AE258" s="233"/>
      <c r="AF258" s="185"/>
      <c r="AG258" s="185"/>
      <c r="AH258" s="185"/>
      <c r="AI258" s="185"/>
      <c r="AJ258" s="185"/>
      <c r="AK258" s="185"/>
      <c r="AL258" s="185"/>
      <c r="AM258" s="185"/>
      <c r="AN258" s="185"/>
      <c r="AO258" s="185"/>
      <c r="AP258" s="185"/>
      <c r="AQ258" s="185"/>
      <c r="AR258" s="185"/>
      <c r="AS258" s="185"/>
      <c r="AT258" s="185"/>
      <c r="AU258" s="185"/>
      <c r="AV258" s="185"/>
      <c r="AW258" s="185"/>
      <c r="AX258" s="185"/>
      <c r="AY258" s="185"/>
      <c r="AZ258" s="185"/>
      <c r="BA258" s="185"/>
      <c r="BB258" s="185"/>
      <c r="BC258" s="185"/>
      <c r="BD258" s="185"/>
      <c r="BE258" s="185"/>
      <c r="BF258" s="185"/>
      <c r="BG258" s="185"/>
      <c r="BH258" s="185"/>
      <c r="BI258" s="185"/>
      <c r="BJ258" s="185"/>
      <c r="BK258" s="185"/>
      <c r="BL258" s="185"/>
    </row>
    <row r="259" ht="15.7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/>
      <c r="AD259" s="185"/>
      <c r="AE259" s="233"/>
      <c r="AF259" s="185"/>
      <c r="AG259" s="185"/>
      <c r="AH259" s="185"/>
      <c r="AI259" s="185"/>
      <c r="AJ259" s="185"/>
      <c r="AK259" s="185"/>
      <c r="AL259" s="185"/>
      <c r="AM259" s="185"/>
      <c r="AN259" s="185"/>
      <c r="AO259" s="185"/>
      <c r="AP259" s="185"/>
      <c r="AQ259" s="185"/>
      <c r="AR259" s="185"/>
      <c r="AS259" s="185"/>
      <c r="AT259" s="185"/>
      <c r="AU259" s="185"/>
      <c r="AV259" s="185"/>
      <c r="AW259" s="185"/>
      <c r="AX259" s="185"/>
      <c r="AY259" s="185"/>
      <c r="AZ259" s="185"/>
      <c r="BA259" s="185"/>
      <c r="BB259" s="185"/>
      <c r="BC259" s="185"/>
      <c r="BD259" s="185"/>
      <c r="BE259" s="185"/>
      <c r="BF259" s="185"/>
      <c r="BG259" s="185"/>
      <c r="BH259" s="185"/>
      <c r="BI259" s="185"/>
      <c r="BJ259" s="185"/>
      <c r="BK259" s="185"/>
      <c r="BL259" s="185"/>
    </row>
    <row r="260" ht="15.7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/>
      <c r="AD260" s="185"/>
      <c r="AE260" s="233"/>
      <c r="AF260" s="185"/>
      <c r="AG260" s="185"/>
      <c r="AH260" s="185"/>
      <c r="AI260" s="185"/>
      <c r="AJ260" s="185"/>
      <c r="AK260" s="185"/>
      <c r="AL260" s="185"/>
      <c r="AM260" s="185"/>
      <c r="AN260" s="185"/>
      <c r="AO260" s="185"/>
      <c r="AP260" s="185"/>
      <c r="AQ260" s="185"/>
      <c r="AR260" s="185"/>
      <c r="AS260" s="185"/>
      <c r="AT260" s="185"/>
      <c r="AU260" s="185"/>
      <c r="AV260" s="185"/>
      <c r="AW260" s="185"/>
      <c r="AX260" s="185"/>
      <c r="AY260" s="185"/>
      <c r="AZ260" s="185"/>
      <c r="BA260" s="185"/>
      <c r="BB260" s="185"/>
      <c r="BC260" s="185"/>
      <c r="BD260" s="185"/>
      <c r="BE260" s="185"/>
      <c r="BF260" s="185"/>
      <c r="BG260" s="185"/>
      <c r="BH260" s="185"/>
      <c r="BI260" s="185"/>
      <c r="BJ260" s="185"/>
      <c r="BK260" s="185"/>
      <c r="BL260" s="185"/>
    </row>
    <row r="261" ht="15.7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/>
      <c r="AD261" s="185"/>
      <c r="AE261" s="233"/>
      <c r="AF261" s="185"/>
      <c r="AG261" s="185"/>
      <c r="AH261" s="185"/>
      <c r="AI261" s="185"/>
      <c r="AJ261" s="185"/>
      <c r="AK261" s="185"/>
      <c r="AL261" s="185"/>
      <c r="AM261" s="185"/>
      <c r="AN261" s="185"/>
      <c r="AO261" s="185"/>
      <c r="AP261" s="185"/>
      <c r="AQ261" s="185"/>
      <c r="AR261" s="185"/>
      <c r="AS261" s="185"/>
      <c r="AT261" s="185"/>
      <c r="AU261" s="185"/>
      <c r="AV261" s="185"/>
      <c r="AW261" s="185"/>
      <c r="AX261" s="185"/>
      <c r="AY261" s="185"/>
      <c r="AZ261" s="185"/>
      <c r="BA261" s="185"/>
      <c r="BB261" s="185"/>
      <c r="BC261" s="185"/>
      <c r="BD261" s="185"/>
      <c r="BE261" s="185"/>
      <c r="BF261" s="185"/>
      <c r="BG261" s="185"/>
      <c r="BH261" s="185"/>
      <c r="BI261" s="185"/>
      <c r="BJ261" s="185"/>
      <c r="BK261" s="185"/>
      <c r="BL261" s="185"/>
    </row>
    <row r="262" ht="15.7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/>
      <c r="AD262" s="185"/>
      <c r="AE262" s="233"/>
      <c r="AF262" s="185"/>
      <c r="AG262" s="185"/>
      <c r="AH262" s="185"/>
      <c r="AI262" s="185"/>
      <c r="AJ262" s="185"/>
      <c r="AK262" s="185"/>
      <c r="AL262" s="185"/>
      <c r="AM262" s="185"/>
      <c r="AN262" s="185"/>
      <c r="AO262" s="185"/>
      <c r="AP262" s="185"/>
      <c r="AQ262" s="185"/>
      <c r="AR262" s="185"/>
      <c r="AS262" s="185"/>
      <c r="AT262" s="185"/>
      <c r="AU262" s="185"/>
      <c r="AV262" s="185"/>
      <c r="AW262" s="185"/>
      <c r="AX262" s="185"/>
      <c r="AY262" s="185"/>
      <c r="AZ262" s="185"/>
      <c r="BA262" s="185"/>
      <c r="BB262" s="185"/>
      <c r="BC262" s="185"/>
      <c r="BD262" s="185"/>
      <c r="BE262" s="185"/>
      <c r="BF262" s="185"/>
      <c r="BG262" s="185"/>
      <c r="BH262" s="185"/>
      <c r="BI262" s="185"/>
      <c r="BJ262" s="185"/>
      <c r="BK262" s="185"/>
      <c r="BL262" s="185"/>
    </row>
    <row r="263" ht="15.7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/>
      <c r="AD263" s="185"/>
      <c r="AE263" s="233"/>
      <c r="AF263" s="185"/>
      <c r="AG263" s="185"/>
      <c r="AH263" s="185"/>
      <c r="AI263" s="185"/>
      <c r="AJ263" s="185"/>
      <c r="AK263" s="185"/>
      <c r="AL263" s="185"/>
      <c r="AM263" s="185"/>
      <c r="AN263" s="185"/>
      <c r="AO263" s="185"/>
      <c r="AP263" s="185"/>
      <c r="AQ263" s="185"/>
      <c r="AR263" s="185"/>
      <c r="AS263" s="185"/>
      <c r="AT263" s="185"/>
      <c r="AU263" s="185"/>
      <c r="AV263" s="185"/>
      <c r="AW263" s="185"/>
      <c r="AX263" s="185"/>
      <c r="AY263" s="185"/>
      <c r="AZ263" s="185"/>
      <c r="BA263" s="185"/>
      <c r="BB263" s="185"/>
      <c r="BC263" s="185"/>
      <c r="BD263" s="185"/>
      <c r="BE263" s="185"/>
      <c r="BF263" s="185"/>
      <c r="BG263" s="185"/>
      <c r="BH263" s="185"/>
      <c r="BI263" s="185"/>
      <c r="BJ263" s="185"/>
      <c r="BK263" s="185"/>
      <c r="BL263" s="185"/>
    </row>
    <row r="264" ht="15.7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/>
      <c r="AD264" s="185"/>
      <c r="AE264" s="233"/>
      <c r="AF264" s="185"/>
      <c r="AG264" s="185"/>
      <c r="AH264" s="185"/>
      <c r="AI264" s="185"/>
      <c r="AJ264" s="185"/>
      <c r="AK264" s="185"/>
      <c r="AL264" s="185"/>
      <c r="AM264" s="185"/>
      <c r="AN264" s="185"/>
      <c r="AO264" s="185"/>
      <c r="AP264" s="185"/>
      <c r="AQ264" s="185"/>
      <c r="AR264" s="185"/>
      <c r="AS264" s="185"/>
      <c r="AT264" s="185"/>
      <c r="AU264" s="185"/>
      <c r="AV264" s="185"/>
      <c r="AW264" s="185"/>
      <c r="AX264" s="185"/>
      <c r="AY264" s="185"/>
      <c r="AZ264" s="185"/>
      <c r="BA264" s="185"/>
      <c r="BB264" s="185"/>
      <c r="BC264" s="185"/>
      <c r="BD264" s="185"/>
      <c r="BE264" s="185"/>
      <c r="BF264" s="185"/>
      <c r="BG264" s="185"/>
      <c r="BH264" s="185"/>
      <c r="BI264" s="185"/>
      <c r="BJ264" s="185"/>
      <c r="BK264" s="185"/>
      <c r="BL264" s="185"/>
    </row>
    <row r="265" ht="15.7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/>
      <c r="AD265" s="185"/>
      <c r="AE265" s="233"/>
      <c r="AF265" s="185"/>
      <c r="AG265" s="185"/>
      <c r="AH265" s="185"/>
      <c r="AI265" s="185"/>
      <c r="AJ265" s="185"/>
      <c r="AK265" s="185"/>
      <c r="AL265" s="185"/>
      <c r="AM265" s="185"/>
      <c r="AN265" s="185"/>
      <c r="AO265" s="185"/>
      <c r="AP265" s="185"/>
      <c r="AQ265" s="185"/>
      <c r="AR265" s="185"/>
      <c r="AS265" s="185"/>
      <c r="AT265" s="185"/>
      <c r="AU265" s="185"/>
      <c r="AV265" s="185"/>
      <c r="AW265" s="185"/>
      <c r="AX265" s="185"/>
      <c r="AY265" s="185"/>
      <c r="AZ265" s="185"/>
      <c r="BA265" s="185"/>
      <c r="BB265" s="185"/>
      <c r="BC265" s="185"/>
      <c r="BD265" s="185"/>
      <c r="BE265" s="185"/>
      <c r="BF265" s="185"/>
      <c r="BG265" s="185"/>
      <c r="BH265" s="185"/>
      <c r="BI265" s="185"/>
      <c r="BJ265" s="185"/>
      <c r="BK265" s="185"/>
      <c r="BL265" s="185"/>
    </row>
    <row r="266" ht="15.7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/>
      <c r="AD266" s="185"/>
      <c r="AE266" s="233"/>
      <c r="AF266" s="185"/>
      <c r="AG266" s="185"/>
      <c r="AH266" s="185"/>
      <c r="AI266" s="185"/>
      <c r="AJ266" s="185"/>
      <c r="AK266" s="185"/>
      <c r="AL266" s="185"/>
      <c r="AM266" s="185"/>
      <c r="AN266" s="185"/>
      <c r="AO266" s="185"/>
      <c r="AP266" s="185"/>
      <c r="AQ266" s="185"/>
      <c r="AR266" s="185"/>
      <c r="AS266" s="185"/>
      <c r="AT266" s="185"/>
      <c r="AU266" s="185"/>
      <c r="AV266" s="185"/>
      <c r="AW266" s="185"/>
      <c r="AX266" s="185"/>
      <c r="AY266" s="185"/>
      <c r="AZ266" s="185"/>
      <c r="BA266" s="185"/>
      <c r="BB266" s="185"/>
      <c r="BC266" s="185"/>
      <c r="BD266" s="185"/>
      <c r="BE266" s="185"/>
      <c r="BF266" s="185"/>
      <c r="BG266" s="185"/>
      <c r="BH266" s="185"/>
      <c r="BI266" s="185"/>
      <c r="BJ266" s="185"/>
      <c r="BK266" s="185"/>
      <c r="BL266" s="185"/>
    </row>
    <row r="267" ht="15.7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/>
      <c r="AD267" s="185"/>
      <c r="AE267" s="233"/>
      <c r="AF267" s="185"/>
      <c r="AG267" s="185"/>
      <c r="AH267" s="185"/>
      <c r="AI267" s="185"/>
      <c r="AJ267" s="185"/>
      <c r="AK267" s="185"/>
      <c r="AL267" s="185"/>
      <c r="AM267" s="185"/>
      <c r="AN267" s="185"/>
      <c r="AO267" s="185"/>
      <c r="AP267" s="185"/>
      <c r="AQ267" s="185"/>
      <c r="AR267" s="185"/>
      <c r="AS267" s="185"/>
      <c r="AT267" s="185"/>
      <c r="AU267" s="185"/>
      <c r="AV267" s="185"/>
      <c r="AW267" s="185"/>
      <c r="AX267" s="185"/>
      <c r="AY267" s="185"/>
      <c r="AZ267" s="185"/>
      <c r="BA267" s="185"/>
      <c r="BB267" s="185"/>
      <c r="BC267" s="185"/>
      <c r="BD267" s="185"/>
      <c r="BE267" s="185"/>
      <c r="BF267" s="185"/>
      <c r="BG267" s="185"/>
      <c r="BH267" s="185"/>
      <c r="BI267" s="185"/>
      <c r="BJ267" s="185"/>
      <c r="BK267" s="185"/>
      <c r="BL267" s="185"/>
    </row>
    <row r="268" ht="15.7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/>
      <c r="AD268" s="185"/>
      <c r="AE268" s="233"/>
      <c r="AF268" s="185"/>
      <c r="AG268" s="185"/>
      <c r="AH268" s="185"/>
      <c r="AI268" s="185"/>
      <c r="AJ268" s="185"/>
      <c r="AK268" s="185"/>
      <c r="AL268" s="185"/>
      <c r="AM268" s="185"/>
      <c r="AN268" s="185"/>
      <c r="AO268" s="185"/>
      <c r="AP268" s="185"/>
      <c r="AQ268" s="185"/>
      <c r="AR268" s="185"/>
      <c r="AS268" s="185"/>
      <c r="AT268" s="185"/>
      <c r="AU268" s="185"/>
      <c r="AV268" s="185"/>
      <c r="AW268" s="185"/>
      <c r="AX268" s="185"/>
      <c r="AY268" s="185"/>
      <c r="AZ268" s="185"/>
      <c r="BA268" s="185"/>
      <c r="BB268" s="185"/>
      <c r="BC268" s="185"/>
      <c r="BD268" s="185"/>
      <c r="BE268" s="185"/>
      <c r="BF268" s="185"/>
      <c r="BG268" s="185"/>
      <c r="BH268" s="185"/>
      <c r="BI268" s="185"/>
      <c r="BJ268" s="185"/>
      <c r="BK268" s="185"/>
      <c r="BL268" s="185"/>
    </row>
    <row r="269" ht="15.7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/>
      <c r="AD269" s="185"/>
      <c r="AE269" s="233"/>
      <c r="AF269" s="185"/>
      <c r="AG269" s="185"/>
      <c r="AH269" s="185"/>
      <c r="AI269" s="185"/>
      <c r="AJ269" s="185"/>
      <c r="AK269" s="185"/>
      <c r="AL269" s="185"/>
      <c r="AM269" s="185"/>
      <c r="AN269" s="185"/>
      <c r="AO269" s="185"/>
      <c r="AP269" s="185"/>
      <c r="AQ269" s="185"/>
      <c r="AR269" s="185"/>
      <c r="AS269" s="185"/>
      <c r="AT269" s="185"/>
      <c r="AU269" s="185"/>
      <c r="AV269" s="185"/>
      <c r="AW269" s="185"/>
      <c r="AX269" s="185"/>
      <c r="AY269" s="185"/>
      <c r="AZ269" s="185"/>
      <c r="BA269" s="185"/>
      <c r="BB269" s="185"/>
      <c r="BC269" s="185"/>
      <c r="BD269" s="185"/>
      <c r="BE269" s="185"/>
      <c r="BF269" s="185"/>
      <c r="BG269" s="185"/>
      <c r="BH269" s="185"/>
      <c r="BI269" s="185"/>
      <c r="BJ269" s="185"/>
      <c r="BK269" s="185"/>
      <c r="BL269" s="18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 ht="15.75" customHeight="1">
      <c r="A1" s="43" t="s">
        <v>0</v>
      </c>
      <c r="B1" s="203"/>
      <c r="C1" s="203"/>
      <c r="D1" s="43" t="s">
        <v>7</v>
      </c>
      <c r="E1" s="43" t="s">
        <v>8</v>
      </c>
      <c r="F1" s="43" t="s">
        <v>9</v>
      </c>
      <c r="G1" s="43" t="s">
        <v>10</v>
      </c>
      <c r="H1" s="43" t="s">
        <v>11</v>
      </c>
      <c r="I1" s="43" t="s">
        <v>12</v>
      </c>
      <c r="J1" s="43" t="s">
        <v>13</v>
      </c>
      <c r="K1" s="43" t="s">
        <v>63</v>
      </c>
      <c r="L1" s="43" t="s">
        <v>64</v>
      </c>
      <c r="M1" s="43" t="s">
        <v>65</v>
      </c>
      <c r="N1" s="43" t="s">
        <v>66</v>
      </c>
      <c r="O1" s="43" t="s">
        <v>67</v>
      </c>
      <c r="P1" s="43" t="s">
        <v>68</v>
      </c>
      <c r="Q1" s="43" t="s">
        <v>69</v>
      </c>
      <c r="R1" s="43" t="s">
        <v>70</v>
      </c>
      <c r="S1" s="43" t="str">
        <f t="array" ref="S1:AD1">transpose(A22:A33)</f>
        <v>Q1 26</v>
      </c>
      <c r="T1" s="43" t="s">
        <v>72</v>
      </c>
      <c r="U1" s="43" t="s">
        <v>73</v>
      </c>
      <c r="V1" s="43" t="s">
        <v>74</v>
      </c>
      <c r="W1" s="43" t="s">
        <v>75</v>
      </c>
      <c r="X1" s="43" t="s">
        <v>76</v>
      </c>
      <c r="Y1" s="43" t="s">
        <v>77</v>
      </c>
      <c r="Z1" s="43" t="s">
        <v>78</v>
      </c>
      <c r="AA1" s="43" t="s">
        <v>79</v>
      </c>
      <c r="AB1" s="43" t="s">
        <v>80</v>
      </c>
      <c r="AC1" s="43" t="s">
        <v>81</v>
      </c>
      <c r="AD1" s="43" t="s">
        <v>82</v>
      </c>
      <c r="AE1" s="204"/>
      <c r="AF1" s="43" t="s">
        <v>14</v>
      </c>
      <c r="AG1" s="43" t="s">
        <v>2</v>
      </c>
      <c r="AH1" s="43" t="s">
        <v>3</v>
      </c>
      <c r="AI1" s="43" t="s">
        <v>4</v>
      </c>
      <c r="AJ1" s="43" t="s">
        <v>5</v>
      </c>
      <c r="AK1" s="43" t="s">
        <v>6</v>
      </c>
      <c r="AL1" s="43" t="s">
        <v>7</v>
      </c>
      <c r="AM1" s="43" t="s">
        <v>8</v>
      </c>
      <c r="AN1" s="43" t="s">
        <v>9</v>
      </c>
      <c r="AO1" s="43" t="s">
        <v>10</v>
      </c>
      <c r="AP1" s="43" t="s">
        <v>11</v>
      </c>
      <c r="AQ1" s="43" t="s">
        <v>12</v>
      </c>
      <c r="AR1" s="43" t="s">
        <v>13</v>
      </c>
      <c r="AS1" s="43" t="s">
        <v>63</v>
      </c>
      <c r="AT1" s="43" t="s">
        <v>64</v>
      </c>
      <c r="AU1" s="43" t="s">
        <v>65</v>
      </c>
      <c r="AV1" s="43" t="s">
        <v>66</v>
      </c>
      <c r="AW1" s="43" t="s">
        <v>67</v>
      </c>
      <c r="AX1" s="43" t="s">
        <v>68</v>
      </c>
      <c r="AY1" s="43" t="s">
        <v>69</v>
      </c>
      <c r="AZ1" s="43" t="s">
        <v>70</v>
      </c>
      <c r="BA1" s="43" t="str">
        <f t="array" ref="BA1:BL1">transpose(A22:A33)</f>
        <v>Q1 26</v>
      </c>
      <c r="BB1" s="43" t="s">
        <v>72</v>
      </c>
      <c r="BC1" s="43" t="s">
        <v>73</v>
      </c>
      <c r="BD1" s="43" t="s">
        <v>74</v>
      </c>
      <c r="BE1" s="43" t="s">
        <v>75</v>
      </c>
      <c r="BF1" s="43" t="s">
        <v>76</v>
      </c>
      <c r="BG1" s="43" t="s">
        <v>77</v>
      </c>
      <c r="BH1" s="43" t="s">
        <v>78</v>
      </c>
      <c r="BI1" s="43" t="s">
        <v>79</v>
      </c>
      <c r="BJ1" s="43" t="s">
        <v>80</v>
      </c>
      <c r="BK1" s="43" t="s">
        <v>81</v>
      </c>
      <c r="BL1" s="43" t="s">
        <v>82</v>
      </c>
    </row>
    <row r="2" ht="15.75" customHeight="1">
      <c r="A2" s="43" t="s">
        <v>2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4"/>
      <c r="AF2" s="205"/>
      <c r="AG2" s="206">
        <v>0.14</v>
      </c>
      <c r="AH2" s="206">
        <v>0.33</v>
      </c>
      <c r="AI2" s="206">
        <v>0.25</v>
      </c>
      <c r="AJ2" s="206">
        <v>0.15</v>
      </c>
      <c r="AK2" s="206">
        <v>0.07</v>
      </c>
      <c r="AL2" s="206">
        <v>0.04</v>
      </c>
      <c r="AM2" s="206">
        <v>0.02</v>
      </c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</row>
    <row r="3" ht="15.75" customHeight="1">
      <c r="A3" s="43" t="s">
        <v>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4"/>
      <c r="AF3" s="205"/>
      <c r="AG3" s="205"/>
      <c r="AH3" s="206">
        <v>0.14</v>
      </c>
      <c r="AI3" s="206">
        <v>0.33</v>
      </c>
      <c r="AJ3" s="206">
        <v>0.25</v>
      </c>
      <c r="AK3" s="206">
        <v>0.15</v>
      </c>
      <c r="AL3" s="206">
        <v>0.07</v>
      </c>
      <c r="AM3" s="206">
        <v>0.04</v>
      </c>
      <c r="AN3" s="206">
        <v>0.02</v>
      </c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</row>
    <row r="4" ht="15.75" customHeight="1">
      <c r="A4" s="43" t="s">
        <v>4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4"/>
      <c r="AF4" s="205"/>
      <c r="AG4" s="205"/>
      <c r="AH4" s="205"/>
      <c r="AI4" s="206">
        <v>0.14</v>
      </c>
      <c r="AJ4" s="206">
        <v>0.33</v>
      </c>
      <c r="AK4" s="206">
        <v>0.25</v>
      </c>
      <c r="AL4" s="206">
        <v>0.15</v>
      </c>
      <c r="AM4" s="206">
        <v>0.07</v>
      </c>
      <c r="AN4" s="206">
        <v>0.04</v>
      </c>
      <c r="AO4" s="206">
        <v>0.02</v>
      </c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</row>
    <row r="5" ht="15.75" customHeight="1">
      <c r="A5" s="43" t="s">
        <v>5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4"/>
      <c r="AF5" s="205"/>
      <c r="AG5" s="205"/>
      <c r="AH5" s="205"/>
      <c r="AI5" s="205"/>
      <c r="AJ5" s="206">
        <v>0.14</v>
      </c>
      <c r="AK5" s="206">
        <v>0.33</v>
      </c>
      <c r="AL5" s="206">
        <v>0.25</v>
      </c>
      <c r="AM5" s="206">
        <v>0.15</v>
      </c>
      <c r="AN5" s="206">
        <v>0.07</v>
      </c>
      <c r="AO5" s="206">
        <v>0.04</v>
      </c>
      <c r="AP5" s="206">
        <v>0.02</v>
      </c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</row>
    <row r="6" ht="15.75" customHeight="1">
      <c r="A6" s="43" t="s">
        <v>6</v>
      </c>
      <c r="B6" s="205"/>
      <c r="C6" s="205"/>
      <c r="D6" s="206">
        <v>0.1</v>
      </c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8"/>
      <c r="AF6" s="207"/>
      <c r="AG6" s="207"/>
      <c r="AH6" s="207"/>
      <c r="AI6" s="207"/>
      <c r="AJ6" s="207"/>
      <c r="AK6" s="206">
        <v>0.14</v>
      </c>
      <c r="AL6" s="206">
        <v>0.33</v>
      </c>
      <c r="AM6" s="206">
        <v>0.25</v>
      </c>
      <c r="AN6" s="206">
        <v>0.15</v>
      </c>
      <c r="AO6" s="206">
        <v>0.07</v>
      </c>
      <c r="AP6" s="206">
        <v>0.04</v>
      </c>
      <c r="AQ6" s="206">
        <v>0.02</v>
      </c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</row>
    <row r="7" ht="15.75" customHeight="1">
      <c r="A7" s="43" t="s">
        <v>7</v>
      </c>
      <c r="B7" s="205"/>
      <c r="C7" s="205"/>
      <c r="D7" s="206">
        <f>227/255</f>
        <v>0.8901960784</v>
      </c>
      <c r="E7" s="206">
        <v>0.1</v>
      </c>
      <c r="F7" s="206">
        <v>0.01</v>
      </c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8"/>
      <c r="AF7" s="207"/>
      <c r="AG7" s="207"/>
      <c r="AH7" s="207"/>
      <c r="AI7" s="207"/>
      <c r="AJ7" s="207"/>
      <c r="AK7" s="207"/>
      <c r="AL7" s="206">
        <v>0.14</v>
      </c>
      <c r="AM7" s="206">
        <v>0.33</v>
      </c>
      <c r="AN7" s="206">
        <v>0.25</v>
      </c>
      <c r="AO7" s="206">
        <v>0.15</v>
      </c>
      <c r="AP7" s="206">
        <v>0.07</v>
      </c>
      <c r="AQ7" s="206">
        <v>0.04</v>
      </c>
      <c r="AR7" s="206">
        <v>0.02</v>
      </c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</row>
    <row r="8" ht="15.75" customHeight="1">
      <c r="A8" s="43" t="s">
        <v>8</v>
      </c>
      <c r="B8" s="205"/>
      <c r="C8" s="205"/>
      <c r="D8" s="207"/>
      <c r="E8" s="206">
        <f>227/255</f>
        <v>0.8901960784</v>
      </c>
      <c r="F8" s="206">
        <v>0.1</v>
      </c>
      <c r="G8" s="206">
        <v>0.01</v>
      </c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8"/>
      <c r="AF8" s="207"/>
      <c r="AG8" s="207"/>
      <c r="AH8" s="207"/>
      <c r="AI8" s="207"/>
      <c r="AJ8" s="207"/>
      <c r="AK8" s="207"/>
      <c r="AL8" s="207"/>
      <c r="AM8" s="206">
        <v>0.14</v>
      </c>
      <c r="AN8" s="206">
        <v>0.33</v>
      </c>
      <c r="AO8" s="206">
        <v>0.25</v>
      </c>
      <c r="AP8" s="206">
        <v>0.15</v>
      </c>
      <c r="AQ8" s="206">
        <v>0.07</v>
      </c>
      <c r="AR8" s="206">
        <v>0.04</v>
      </c>
      <c r="AS8" s="206">
        <v>0.02</v>
      </c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</row>
    <row r="9" ht="15.75" customHeight="1">
      <c r="A9" s="43" t="s">
        <v>9</v>
      </c>
      <c r="B9" s="205"/>
      <c r="C9" s="205"/>
      <c r="D9" s="207"/>
      <c r="E9" s="207"/>
      <c r="F9" s="206">
        <f>227/255</f>
        <v>0.8901960784</v>
      </c>
      <c r="G9" s="206">
        <v>0.1</v>
      </c>
      <c r="H9" s="206">
        <v>0.01</v>
      </c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8"/>
      <c r="AF9" s="207"/>
      <c r="AG9" s="207"/>
      <c r="AH9" s="207"/>
      <c r="AI9" s="207"/>
      <c r="AJ9" s="207"/>
      <c r="AK9" s="207"/>
      <c r="AL9" s="207"/>
      <c r="AM9" s="207"/>
      <c r="AN9" s="206">
        <v>0.14</v>
      </c>
      <c r="AO9" s="206">
        <v>0.33</v>
      </c>
      <c r="AP9" s="206">
        <v>0.25</v>
      </c>
      <c r="AQ9" s="206">
        <v>0.15</v>
      </c>
      <c r="AR9" s="206">
        <v>0.07</v>
      </c>
      <c r="AS9" s="206">
        <v>0.04</v>
      </c>
      <c r="AT9" s="206">
        <v>0.02</v>
      </c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</row>
    <row r="10" ht="15.75" customHeight="1">
      <c r="A10" s="43" t="s">
        <v>10</v>
      </c>
      <c r="B10" s="205"/>
      <c r="C10" s="205"/>
      <c r="D10" s="207"/>
      <c r="E10" s="207"/>
      <c r="F10" s="207"/>
      <c r="G10" s="206">
        <f>227/255</f>
        <v>0.8901960784</v>
      </c>
      <c r="H10" s="206">
        <v>0.1</v>
      </c>
      <c r="I10" s="206">
        <v>0.01</v>
      </c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8"/>
      <c r="AF10" s="207"/>
      <c r="AG10" s="207"/>
      <c r="AH10" s="207"/>
      <c r="AI10" s="207"/>
      <c r="AJ10" s="207"/>
      <c r="AK10" s="207"/>
      <c r="AL10" s="207"/>
      <c r="AM10" s="207"/>
      <c r="AN10" s="207"/>
      <c r="AO10" s="206">
        <v>0.14</v>
      </c>
      <c r="AP10" s="206">
        <v>0.33</v>
      </c>
      <c r="AQ10" s="206">
        <v>0.25</v>
      </c>
      <c r="AR10" s="206">
        <v>0.15</v>
      </c>
      <c r="AS10" s="206">
        <v>0.07</v>
      </c>
      <c r="AT10" s="206">
        <v>0.04</v>
      </c>
      <c r="AU10" s="206">
        <v>0.02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</row>
    <row r="11" ht="15.75" customHeight="1">
      <c r="A11" s="43" t="s">
        <v>11</v>
      </c>
      <c r="B11" s="205"/>
      <c r="C11" s="205"/>
      <c r="D11" s="207"/>
      <c r="E11" s="207"/>
      <c r="F11" s="207"/>
      <c r="G11" s="207"/>
      <c r="H11" s="206">
        <f>227/255</f>
        <v>0.8901960784</v>
      </c>
      <c r="I11" s="206">
        <v>0.1</v>
      </c>
      <c r="J11" s="206">
        <v>0.01</v>
      </c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8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6">
        <v>0.14</v>
      </c>
      <c r="AQ11" s="206">
        <v>0.33</v>
      </c>
      <c r="AR11" s="206">
        <v>0.25</v>
      </c>
      <c r="AS11" s="206">
        <v>0.15</v>
      </c>
      <c r="AT11" s="206">
        <v>0.07</v>
      </c>
      <c r="AU11" s="206">
        <v>0.04</v>
      </c>
      <c r="AV11" s="206">
        <v>0.02</v>
      </c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</row>
    <row r="12" ht="15.75" customHeight="1">
      <c r="A12" s="43" t="s">
        <v>12</v>
      </c>
      <c r="B12" s="205"/>
      <c r="C12" s="205"/>
      <c r="D12" s="207"/>
      <c r="E12" s="207"/>
      <c r="F12" s="207"/>
      <c r="G12" s="207"/>
      <c r="H12" s="207"/>
      <c r="I12" s="206">
        <f>227/255</f>
        <v>0.8901960784</v>
      </c>
      <c r="J12" s="206">
        <v>0.1</v>
      </c>
      <c r="K12" s="206">
        <v>0.01</v>
      </c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8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>
        <v>0.14</v>
      </c>
      <c r="AR12" s="206">
        <v>0.33</v>
      </c>
      <c r="AS12" s="206">
        <v>0.25</v>
      </c>
      <c r="AT12" s="206">
        <v>0.15</v>
      </c>
      <c r="AU12" s="206">
        <v>0.07</v>
      </c>
      <c r="AV12" s="206">
        <v>0.04</v>
      </c>
      <c r="AW12" s="206">
        <v>0.02</v>
      </c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</row>
    <row r="13" ht="15.75" customHeight="1">
      <c r="A13" s="43" t="s">
        <v>13</v>
      </c>
      <c r="B13" s="205"/>
      <c r="C13" s="205"/>
      <c r="D13" s="207"/>
      <c r="E13" s="207"/>
      <c r="F13" s="207"/>
      <c r="G13" s="207"/>
      <c r="H13" s="207"/>
      <c r="I13" s="207"/>
      <c r="J13" s="206">
        <f>227/255</f>
        <v>0.8901960784</v>
      </c>
      <c r="K13" s="206">
        <v>0.1</v>
      </c>
      <c r="L13" s="206">
        <v>0.01</v>
      </c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8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6">
        <v>0.14</v>
      </c>
      <c r="AS13" s="206">
        <v>0.33</v>
      </c>
      <c r="AT13" s="206">
        <v>0.25</v>
      </c>
      <c r="AU13" s="206">
        <v>0.15</v>
      </c>
      <c r="AV13" s="206">
        <v>0.07</v>
      </c>
      <c r="AW13" s="206">
        <v>0.04</v>
      </c>
      <c r="AX13" s="206">
        <v>0.02</v>
      </c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</row>
    <row r="14" ht="15.75" customHeight="1">
      <c r="A14" s="43" t="s">
        <v>63</v>
      </c>
      <c r="B14" s="205"/>
      <c r="C14" s="205"/>
      <c r="D14" s="207"/>
      <c r="E14" s="207"/>
      <c r="F14" s="207"/>
      <c r="G14" s="207"/>
      <c r="H14" s="207"/>
      <c r="I14" s="207"/>
      <c r="J14" s="207"/>
      <c r="K14" s="206">
        <f>227/255</f>
        <v>0.8901960784</v>
      </c>
      <c r="L14" s="206">
        <v>0.1</v>
      </c>
      <c r="M14" s="206">
        <v>0.01</v>
      </c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8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6">
        <v>0.14</v>
      </c>
      <c r="AT14" s="206">
        <v>0.33</v>
      </c>
      <c r="AU14" s="206">
        <v>0.25</v>
      </c>
      <c r="AV14" s="206">
        <v>0.15</v>
      </c>
      <c r="AW14" s="206">
        <v>0.07</v>
      </c>
      <c r="AX14" s="206">
        <v>0.04</v>
      </c>
      <c r="AY14" s="206">
        <v>0.02</v>
      </c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</row>
    <row r="15" ht="15.75" customHeight="1">
      <c r="A15" s="43" t="s">
        <v>64</v>
      </c>
      <c r="B15" s="205"/>
      <c r="C15" s="205"/>
      <c r="D15" s="207"/>
      <c r="E15" s="207"/>
      <c r="F15" s="207"/>
      <c r="G15" s="207"/>
      <c r="H15" s="207"/>
      <c r="I15" s="207"/>
      <c r="J15" s="207"/>
      <c r="K15" s="207"/>
      <c r="L15" s="206">
        <f>227/255</f>
        <v>0.8901960784</v>
      </c>
      <c r="M15" s="206">
        <v>0.1</v>
      </c>
      <c r="N15" s="206">
        <v>0.01</v>
      </c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8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6">
        <v>0.14</v>
      </c>
      <c r="AU15" s="206">
        <v>0.33</v>
      </c>
      <c r="AV15" s="206">
        <v>0.25</v>
      </c>
      <c r="AW15" s="206">
        <v>0.15</v>
      </c>
      <c r="AX15" s="206">
        <v>0.07</v>
      </c>
      <c r="AY15" s="206">
        <v>0.04</v>
      </c>
      <c r="AZ15" s="206">
        <v>0.02</v>
      </c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</row>
    <row r="16" ht="15.75" customHeight="1">
      <c r="A16" s="43" t="s">
        <v>65</v>
      </c>
      <c r="B16" s="205"/>
      <c r="C16" s="205"/>
      <c r="D16" s="207"/>
      <c r="E16" s="207"/>
      <c r="F16" s="207"/>
      <c r="G16" s="207"/>
      <c r="H16" s="207"/>
      <c r="I16" s="207"/>
      <c r="J16" s="207"/>
      <c r="K16" s="207"/>
      <c r="L16" s="207"/>
      <c r="M16" s="206">
        <f>227/255</f>
        <v>0.8901960784</v>
      </c>
      <c r="N16" s="206">
        <v>0.1</v>
      </c>
      <c r="O16" s="206">
        <v>0.01</v>
      </c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8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6">
        <v>0.14</v>
      </c>
      <c r="AV16" s="206">
        <v>0.33</v>
      </c>
      <c r="AW16" s="206">
        <v>0.25</v>
      </c>
      <c r="AX16" s="206">
        <v>0.15</v>
      </c>
      <c r="AY16" s="206">
        <v>0.07</v>
      </c>
      <c r="AZ16" s="206">
        <v>0.04</v>
      </c>
      <c r="BA16" s="206">
        <v>0.02</v>
      </c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</row>
    <row r="17" ht="15.75" customHeight="1">
      <c r="A17" s="43" t="s">
        <v>66</v>
      </c>
      <c r="B17" s="205"/>
      <c r="C17" s="205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6">
        <v>0.89</v>
      </c>
      <c r="O17" s="206">
        <v>0.1</v>
      </c>
      <c r="P17" s="206">
        <v>0.01</v>
      </c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8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6">
        <v>0.14</v>
      </c>
      <c r="AW17" s="206">
        <v>0.33</v>
      </c>
      <c r="AX17" s="206">
        <v>0.25</v>
      </c>
      <c r="AY17" s="206">
        <v>0.15</v>
      </c>
      <c r="AZ17" s="206">
        <v>0.07</v>
      </c>
      <c r="BA17" s="206">
        <v>0.04</v>
      </c>
      <c r="BB17" s="206">
        <v>0.02</v>
      </c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</row>
    <row r="18" ht="15.75" customHeight="1">
      <c r="A18" s="43" t="s">
        <v>67</v>
      </c>
      <c r="B18" s="205"/>
      <c r="C18" s="205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6">
        <v>0.89</v>
      </c>
      <c r="P18" s="206">
        <v>0.1</v>
      </c>
      <c r="Q18" s="206">
        <v>0.01</v>
      </c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8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6">
        <v>0.14</v>
      </c>
      <c r="AX18" s="206">
        <v>0.33</v>
      </c>
      <c r="AY18" s="206">
        <v>0.25</v>
      </c>
      <c r="AZ18" s="206">
        <v>0.15</v>
      </c>
      <c r="BA18" s="206">
        <v>0.07</v>
      </c>
      <c r="BB18" s="206">
        <v>0.04</v>
      </c>
      <c r="BC18" s="206">
        <v>0.02</v>
      </c>
      <c r="BD18" s="207"/>
      <c r="BE18" s="207"/>
      <c r="BF18" s="207"/>
      <c r="BG18" s="207"/>
      <c r="BH18" s="207"/>
      <c r="BI18" s="207"/>
      <c r="BJ18" s="207"/>
      <c r="BK18" s="207"/>
      <c r="BL18" s="207"/>
    </row>
    <row r="19" ht="15.75" customHeight="1">
      <c r="A19" s="43" t="s">
        <v>68</v>
      </c>
      <c r="B19" s="205"/>
      <c r="C19" s="205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6">
        <v>0.89</v>
      </c>
      <c r="Q19" s="206">
        <v>0.1</v>
      </c>
      <c r="R19" s="206">
        <v>0.01</v>
      </c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8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6">
        <v>0.14</v>
      </c>
      <c r="AY19" s="206">
        <v>0.33</v>
      </c>
      <c r="AZ19" s="206">
        <v>0.25</v>
      </c>
      <c r="BA19" s="206">
        <v>0.15</v>
      </c>
      <c r="BB19" s="206">
        <v>0.07</v>
      </c>
      <c r="BC19" s="206">
        <v>0.04</v>
      </c>
      <c r="BD19" s="206">
        <v>0.02</v>
      </c>
      <c r="BE19" s="207"/>
      <c r="BF19" s="207"/>
      <c r="BG19" s="207"/>
      <c r="BH19" s="207"/>
      <c r="BI19" s="207"/>
      <c r="BJ19" s="207"/>
      <c r="BK19" s="207"/>
      <c r="BL19" s="207"/>
    </row>
    <row r="20" ht="15.75" customHeight="1">
      <c r="A20" s="43" t="s">
        <v>69</v>
      </c>
      <c r="B20" s="205"/>
      <c r="C20" s="205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6">
        <v>0.89</v>
      </c>
      <c r="R20" s="206">
        <v>0.1</v>
      </c>
      <c r="S20" s="206">
        <v>0.01</v>
      </c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8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6">
        <v>0.14</v>
      </c>
      <c r="AZ20" s="206">
        <v>0.33</v>
      </c>
      <c r="BA20" s="206">
        <v>0.25</v>
      </c>
      <c r="BB20" s="206">
        <v>0.15</v>
      </c>
      <c r="BC20" s="206">
        <v>0.07</v>
      </c>
      <c r="BD20" s="206">
        <v>0.04</v>
      </c>
      <c r="BE20" s="206">
        <v>0.02</v>
      </c>
      <c r="BF20" s="207"/>
      <c r="BG20" s="207"/>
      <c r="BH20" s="207"/>
      <c r="BI20" s="207"/>
      <c r="BJ20" s="207"/>
      <c r="BK20" s="207"/>
      <c r="BL20" s="207"/>
    </row>
    <row r="21" ht="15.75" customHeight="1">
      <c r="A21" s="43" t="s">
        <v>70</v>
      </c>
      <c r="B21" s="205"/>
      <c r="C21" s="205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6">
        <v>0.89</v>
      </c>
      <c r="S21" s="206">
        <v>0.1</v>
      </c>
      <c r="T21" s="206">
        <v>0.01</v>
      </c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8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6">
        <v>0.14</v>
      </c>
      <c r="BA21" s="206">
        <v>0.33</v>
      </c>
      <c r="BB21" s="206">
        <v>0.25</v>
      </c>
      <c r="BC21" s="206">
        <v>0.15</v>
      </c>
      <c r="BD21" s="206">
        <v>0.07</v>
      </c>
      <c r="BE21" s="206">
        <v>0.04</v>
      </c>
      <c r="BF21" s="206">
        <v>0.02</v>
      </c>
      <c r="BG21" s="207"/>
      <c r="BH21" s="207"/>
      <c r="BI21" s="207"/>
      <c r="BJ21" s="207"/>
      <c r="BK21" s="207"/>
      <c r="BL21" s="207"/>
    </row>
    <row r="22" ht="15.75" customHeight="1">
      <c r="A22" s="43" t="s">
        <v>71</v>
      </c>
      <c r="B22" s="205"/>
      <c r="C22" s="205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6">
        <f>227/255</f>
        <v>0.8901960784</v>
      </c>
      <c r="T22" s="206">
        <v>0.1</v>
      </c>
      <c r="U22" s="206">
        <v>0.01</v>
      </c>
      <c r="V22" s="207"/>
      <c r="W22" s="207"/>
      <c r="X22" s="207"/>
      <c r="Y22" s="207"/>
      <c r="Z22" s="207"/>
      <c r="AA22" s="207"/>
      <c r="AB22" s="207"/>
      <c r="AC22" s="207"/>
      <c r="AD22" s="207"/>
      <c r="AE22" s="208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6">
        <v>0.14</v>
      </c>
      <c r="BB22" s="206">
        <v>0.33</v>
      </c>
      <c r="BC22" s="206">
        <v>0.25</v>
      </c>
      <c r="BD22" s="206">
        <v>0.15</v>
      </c>
      <c r="BE22" s="206">
        <v>0.07</v>
      </c>
      <c r="BF22" s="206">
        <v>0.04</v>
      </c>
      <c r="BG22" s="206">
        <v>0.02</v>
      </c>
      <c r="BH22" s="207"/>
      <c r="BI22" s="207"/>
      <c r="BJ22" s="207"/>
      <c r="BK22" s="207"/>
      <c r="BL22" s="207"/>
    </row>
    <row r="23" ht="15.75" customHeight="1">
      <c r="A23" s="43" t="s">
        <v>72</v>
      </c>
      <c r="B23" s="205"/>
      <c r="C23" s="205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6">
        <f>227/255</f>
        <v>0.8901960784</v>
      </c>
      <c r="U23" s="206">
        <v>0.1</v>
      </c>
      <c r="V23" s="206">
        <v>0.01</v>
      </c>
      <c r="W23" s="207"/>
      <c r="X23" s="207"/>
      <c r="Y23" s="207"/>
      <c r="Z23" s="207"/>
      <c r="AA23" s="207"/>
      <c r="AB23" s="207"/>
      <c r="AC23" s="207"/>
      <c r="AD23" s="207"/>
      <c r="AE23" s="208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6">
        <v>0.14</v>
      </c>
      <c r="BC23" s="206">
        <v>0.33</v>
      </c>
      <c r="BD23" s="206">
        <v>0.25</v>
      </c>
      <c r="BE23" s="206">
        <v>0.15</v>
      </c>
      <c r="BF23" s="206">
        <v>0.07</v>
      </c>
      <c r="BG23" s="206">
        <v>0.04</v>
      </c>
      <c r="BH23" s="206">
        <v>0.02</v>
      </c>
      <c r="BI23" s="207"/>
      <c r="BJ23" s="207"/>
      <c r="BK23" s="207"/>
      <c r="BL23" s="207"/>
    </row>
    <row r="24" ht="15.75" customHeight="1">
      <c r="A24" s="43" t="s">
        <v>73</v>
      </c>
      <c r="B24" s="205"/>
      <c r="C24" s="205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6">
        <f>227/255</f>
        <v>0.8901960784</v>
      </c>
      <c r="V24" s="206">
        <v>0.1</v>
      </c>
      <c r="W24" s="206">
        <v>0.01</v>
      </c>
      <c r="X24" s="207"/>
      <c r="Y24" s="207"/>
      <c r="Z24" s="207"/>
      <c r="AA24" s="207"/>
      <c r="AB24" s="207"/>
      <c r="AC24" s="207"/>
      <c r="AD24" s="207"/>
      <c r="AE24" s="208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6">
        <v>0.14</v>
      </c>
      <c r="BD24" s="206">
        <v>0.33</v>
      </c>
      <c r="BE24" s="206">
        <v>0.25</v>
      </c>
      <c r="BF24" s="206">
        <v>0.15</v>
      </c>
      <c r="BG24" s="206">
        <v>0.07</v>
      </c>
      <c r="BH24" s="206">
        <v>0.04</v>
      </c>
      <c r="BI24" s="206">
        <v>0.02</v>
      </c>
      <c r="BJ24" s="207"/>
      <c r="BK24" s="207"/>
      <c r="BL24" s="207"/>
    </row>
    <row r="25" ht="15.75" customHeight="1">
      <c r="A25" s="43" t="s">
        <v>74</v>
      </c>
      <c r="B25" s="205"/>
      <c r="C25" s="205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6">
        <f>227/255</f>
        <v>0.8901960784</v>
      </c>
      <c r="W25" s="206">
        <v>0.1</v>
      </c>
      <c r="X25" s="206">
        <v>0.01</v>
      </c>
      <c r="Y25" s="207"/>
      <c r="Z25" s="207"/>
      <c r="AA25" s="207"/>
      <c r="AB25" s="207"/>
      <c r="AC25" s="207"/>
      <c r="AD25" s="207"/>
      <c r="AE25" s="208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6">
        <v>0.14</v>
      </c>
      <c r="BE25" s="206">
        <v>0.33</v>
      </c>
      <c r="BF25" s="206">
        <v>0.25</v>
      </c>
      <c r="BG25" s="206">
        <v>0.15</v>
      </c>
      <c r="BH25" s="206">
        <v>0.07</v>
      </c>
      <c r="BI25" s="206">
        <v>0.04</v>
      </c>
      <c r="BJ25" s="206">
        <v>0.02</v>
      </c>
      <c r="BK25" s="207"/>
      <c r="BL25" s="207"/>
    </row>
    <row r="26" ht="15.75" customHeight="1">
      <c r="A26" s="43" t="s">
        <v>75</v>
      </c>
      <c r="B26" s="205"/>
      <c r="C26" s="205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6">
        <f>227/255</f>
        <v>0.8901960784</v>
      </c>
      <c r="X26" s="206">
        <v>0.1</v>
      </c>
      <c r="Y26" s="206">
        <v>0.01</v>
      </c>
      <c r="Z26" s="207"/>
      <c r="AA26" s="207"/>
      <c r="AB26" s="207"/>
      <c r="AC26" s="207"/>
      <c r="AD26" s="207"/>
      <c r="AE26" s="208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6">
        <v>0.14</v>
      </c>
      <c r="BF26" s="206">
        <v>0.33</v>
      </c>
      <c r="BG26" s="206">
        <v>0.25</v>
      </c>
      <c r="BH26" s="206">
        <v>0.15</v>
      </c>
      <c r="BI26" s="206">
        <v>0.07</v>
      </c>
      <c r="BJ26" s="206">
        <v>0.04</v>
      </c>
      <c r="BK26" s="206">
        <v>0.02</v>
      </c>
      <c r="BL26" s="207"/>
    </row>
    <row r="27" ht="15.75" customHeight="1">
      <c r="A27" s="43" t="s">
        <v>76</v>
      </c>
      <c r="B27" s="205"/>
      <c r="C27" s="205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6">
        <f>227/255</f>
        <v>0.8901960784</v>
      </c>
      <c r="Y27" s="206">
        <v>0.1</v>
      </c>
      <c r="Z27" s="206">
        <v>0.01</v>
      </c>
      <c r="AA27" s="207"/>
      <c r="AB27" s="207"/>
      <c r="AC27" s="207"/>
      <c r="AD27" s="207"/>
      <c r="AE27" s="208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6">
        <v>0.14</v>
      </c>
      <c r="BG27" s="206">
        <v>0.33</v>
      </c>
      <c r="BH27" s="206">
        <v>0.25</v>
      </c>
      <c r="BI27" s="206">
        <v>0.15</v>
      </c>
      <c r="BJ27" s="206">
        <v>0.07</v>
      </c>
      <c r="BK27" s="206">
        <v>0.04</v>
      </c>
      <c r="BL27" s="206">
        <v>0.02</v>
      </c>
    </row>
    <row r="28" ht="15.75" customHeight="1">
      <c r="A28" s="43" t="s">
        <v>77</v>
      </c>
      <c r="B28" s="205"/>
      <c r="C28" s="205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6">
        <f>227/255</f>
        <v>0.8901960784</v>
      </c>
      <c r="Z28" s="206">
        <v>0.1</v>
      </c>
      <c r="AA28" s="206">
        <v>0.01</v>
      </c>
      <c r="AB28" s="207"/>
      <c r="AC28" s="207"/>
      <c r="AD28" s="207"/>
      <c r="AE28" s="208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6">
        <v>0.14</v>
      </c>
      <c r="BH28" s="206">
        <v>0.33</v>
      </c>
      <c r="BI28" s="206">
        <v>0.25</v>
      </c>
      <c r="BJ28" s="206">
        <v>0.15</v>
      </c>
      <c r="BK28" s="206">
        <v>0.07</v>
      </c>
      <c r="BL28" s="206">
        <v>0.04</v>
      </c>
    </row>
    <row r="29" ht="15.75" customHeight="1">
      <c r="A29" s="43" t="s">
        <v>78</v>
      </c>
      <c r="B29" s="205"/>
      <c r="C29" s="205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6">
        <v>0.89</v>
      </c>
      <c r="AA29" s="206">
        <v>0.1</v>
      </c>
      <c r="AB29" s="206">
        <v>0.01</v>
      </c>
      <c r="AC29" s="207"/>
      <c r="AD29" s="207"/>
      <c r="AE29" s="208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6">
        <v>0.14</v>
      </c>
      <c r="BI29" s="206">
        <v>0.33</v>
      </c>
      <c r="BJ29" s="206">
        <v>0.25</v>
      </c>
      <c r="BK29" s="206">
        <v>0.15</v>
      </c>
      <c r="BL29" s="206">
        <v>0.07</v>
      </c>
    </row>
    <row r="30" ht="15.75" customHeight="1">
      <c r="A30" s="43" t="s">
        <v>79</v>
      </c>
      <c r="B30" s="205"/>
      <c r="C30" s="205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6">
        <v>0.89</v>
      </c>
      <c r="AB30" s="206">
        <v>0.1</v>
      </c>
      <c r="AC30" s="206">
        <v>0.01</v>
      </c>
      <c r="AD30" s="207"/>
      <c r="AE30" s="208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6">
        <v>0.14</v>
      </c>
      <c r="BJ30" s="206">
        <v>0.33</v>
      </c>
      <c r="BK30" s="206">
        <v>0.25</v>
      </c>
      <c r="BL30" s="206">
        <v>0.15</v>
      </c>
    </row>
    <row r="31" ht="15.75" customHeight="1">
      <c r="A31" s="43" t="s">
        <v>80</v>
      </c>
      <c r="B31" s="205"/>
      <c r="C31" s="205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6">
        <v>0.89</v>
      </c>
      <c r="AC31" s="206">
        <v>0.1</v>
      </c>
      <c r="AD31" s="206">
        <v>0.01</v>
      </c>
      <c r="AE31" s="208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6">
        <v>0.14</v>
      </c>
      <c r="BK31" s="206">
        <v>0.33</v>
      </c>
      <c r="BL31" s="206">
        <v>0.25</v>
      </c>
    </row>
    <row r="32" ht="15.75" customHeight="1">
      <c r="A32" s="43" t="s">
        <v>81</v>
      </c>
      <c r="B32" s="205"/>
      <c r="C32" s="205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6">
        <v>0.89</v>
      </c>
      <c r="AD32" s="206">
        <v>0.1</v>
      </c>
      <c r="AE32" s="208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6">
        <v>0.14</v>
      </c>
      <c r="BL32" s="206">
        <v>0.33</v>
      </c>
    </row>
    <row r="33" ht="15.75" customHeight="1">
      <c r="A33" s="43" t="s">
        <v>82</v>
      </c>
      <c r="B33" s="205"/>
      <c r="C33" s="205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6">
        <v>0.89</v>
      </c>
      <c r="AE33" s="208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6">
        <v>0.14</v>
      </c>
    </row>
    <row r="34" ht="15.75" customHeight="1">
      <c r="A34" s="205"/>
      <c r="B34" s="209" t="s">
        <v>54</v>
      </c>
      <c r="C34" s="209" t="s">
        <v>170</v>
      </c>
      <c r="D34" s="209" t="s">
        <v>7</v>
      </c>
      <c r="E34" s="209" t="s">
        <v>8</v>
      </c>
      <c r="F34" s="209" t="s">
        <v>9</v>
      </c>
      <c r="G34" s="209" t="s">
        <v>10</v>
      </c>
      <c r="H34" s="209" t="s">
        <v>11</v>
      </c>
      <c r="I34" s="209" t="s">
        <v>12</v>
      </c>
      <c r="J34" s="209" t="s">
        <v>13</v>
      </c>
      <c r="K34" s="209" t="s">
        <v>63</v>
      </c>
      <c r="L34" s="209" t="s">
        <v>64</v>
      </c>
      <c r="M34" s="209" t="s">
        <v>65</v>
      </c>
      <c r="N34" s="209" t="s">
        <v>66</v>
      </c>
      <c r="O34" s="209" t="s">
        <v>67</v>
      </c>
      <c r="P34" s="209" t="s">
        <v>68</v>
      </c>
      <c r="Q34" s="209" t="s">
        <v>69</v>
      </c>
      <c r="R34" s="209" t="s">
        <v>70</v>
      </c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04"/>
      <c r="AF34" s="209" t="s">
        <v>14</v>
      </c>
      <c r="AG34" s="209" t="s">
        <v>2</v>
      </c>
      <c r="AH34" s="209" t="s">
        <v>3</v>
      </c>
      <c r="AI34" s="209" t="s">
        <v>4</v>
      </c>
      <c r="AJ34" s="209" t="s">
        <v>5</v>
      </c>
      <c r="AK34" s="209" t="s">
        <v>6</v>
      </c>
      <c r="AL34" s="209" t="s">
        <v>7</v>
      </c>
      <c r="AM34" s="209" t="s">
        <v>8</v>
      </c>
      <c r="AN34" s="209" t="s">
        <v>9</v>
      </c>
      <c r="AO34" s="209" t="s">
        <v>10</v>
      </c>
      <c r="AP34" s="209" t="s">
        <v>11</v>
      </c>
      <c r="AQ34" s="209" t="s">
        <v>12</v>
      </c>
      <c r="AR34" s="209" t="s">
        <v>13</v>
      </c>
      <c r="AS34" s="209" t="s">
        <v>63</v>
      </c>
      <c r="AT34" s="209" t="s">
        <v>64</v>
      </c>
      <c r="AU34" s="209" t="s">
        <v>65</v>
      </c>
      <c r="AV34" s="209" t="s">
        <v>66</v>
      </c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</row>
    <row r="35" ht="15.75" customHeight="1">
      <c r="A35" s="209" t="s">
        <v>2</v>
      </c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04"/>
      <c r="AF35" s="212">
        <v>0.0</v>
      </c>
      <c r="AG35" s="53">
        <f t="shared" ref="AG35:AM35" si="1">$AF35*AG2</f>
        <v>0</v>
      </c>
      <c r="AH35" s="53">
        <f t="shared" si="1"/>
        <v>0</v>
      </c>
      <c r="AI35" s="53">
        <f t="shared" si="1"/>
        <v>0</v>
      </c>
      <c r="AJ35" s="53">
        <f t="shared" si="1"/>
        <v>0</v>
      </c>
      <c r="AK35" s="53">
        <f t="shared" si="1"/>
        <v>0</v>
      </c>
      <c r="AL35" s="53">
        <f t="shared" si="1"/>
        <v>0</v>
      </c>
      <c r="AM35" s="53">
        <f t="shared" si="1"/>
        <v>0</v>
      </c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</row>
    <row r="36" ht="15.75" customHeight="1">
      <c r="A36" s="209" t="s">
        <v>3</v>
      </c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04"/>
      <c r="AF36" s="212">
        <v>0.0</v>
      </c>
      <c r="AG36" s="211"/>
      <c r="AH36" s="53">
        <f t="shared" ref="AH36:AN36" si="2">$AF36*AH3</f>
        <v>0</v>
      </c>
      <c r="AI36" s="53">
        <f t="shared" si="2"/>
        <v>0</v>
      </c>
      <c r="AJ36" s="53">
        <f t="shared" si="2"/>
        <v>0</v>
      </c>
      <c r="AK36" s="53">
        <f t="shared" si="2"/>
        <v>0</v>
      </c>
      <c r="AL36" s="53">
        <f t="shared" si="2"/>
        <v>0</v>
      </c>
      <c r="AM36" s="53">
        <f t="shared" si="2"/>
        <v>0</v>
      </c>
      <c r="AN36" s="53">
        <f t="shared" si="2"/>
        <v>0</v>
      </c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</row>
    <row r="37" ht="15.75" customHeight="1">
      <c r="A37" s="209" t="s">
        <v>4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04"/>
      <c r="AF37" s="212">
        <v>0.0</v>
      </c>
      <c r="AG37" s="207"/>
      <c r="AH37" s="211"/>
      <c r="AI37" s="53">
        <f t="shared" ref="AI37:AO37" si="3">$AF37*AI4</f>
        <v>0</v>
      </c>
      <c r="AJ37" s="53">
        <f t="shared" si="3"/>
        <v>0</v>
      </c>
      <c r="AK37" s="53">
        <f t="shared" si="3"/>
        <v>0</v>
      </c>
      <c r="AL37" s="53">
        <f t="shared" si="3"/>
        <v>0</v>
      </c>
      <c r="AM37" s="53">
        <f t="shared" si="3"/>
        <v>0</v>
      </c>
      <c r="AN37" s="53">
        <f t="shared" si="3"/>
        <v>0</v>
      </c>
      <c r="AO37" s="53">
        <f t="shared" si="3"/>
        <v>0</v>
      </c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</row>
    <row r="38" ht="15.75" customHeight="1">
      <c r="A38" s="209" t="s">
        <v>5</v>
      </c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04"/>
      <c r="AF38" s="212">
        <v>0.0</v>
      </c>
      <c r="AG38" s="207"/>
      <c r="AH38" s="211"/>
      <c r="AI38" s="211"/>
      <c r="AJ38" s="53">
        <f t="shared" ref="AJ38:AP38" si="4">$AF38*AJ5</f>
        <v>0</v>
      </c>
      <c r="AK38" s="53">
        <f t="shared" si="4"/>
        <v>0</v>
      </c>
      <c r="AL38" s="53">
        <f t="shared" si="4"/>
        <v>0</v>
      </c>
      <c r="AM38" s="53">
        <f t="shared" si="4"/>
        <v>0</v>
      </c>
      <c r="AN38" s="53">
        <f t="shared" si="4"/>
        <v>0</v>
      </c>
      <c r="AO38" s="53">
        <f t="shared" si="4"/>
        <v>0</v>
      </c>
      <c r="AP38" s="53">
        <f t="shared" si="4"/>
        <v>0</v>
      </c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</row>
    <row r="39" ht="15.75" customHeight="1">
      <c r="A39" s="209" t="s">
        <v>6</v>
      </c>
      <c r="B39" s="159"/>
      <c r="C39" s="159"/>
      <c r="D39" s="53">
        <f>$B39*D6</f>
        <v>0</v>
      </c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04"/>
      <c r="AF39" s="212">
        <v>0.0</v>
      </c>
      <c r="AG39" s="207"/>
      <c r="AH39" s="211"/>
      <c r="AI39" s="211"/>
      <c r="AJ39" s="211"/>
      <c r="AK39" s="53">
        <f t="shared" ref="AK39:AQ39" si="5">$AF39*AK6</f>
        <v>0</v>
      </c>
      <c r="AL39" s="53">
        <f t="shared" si="5"/>
        <v>0</v>
      </c>
      <c r="AM39" s="53">
        <f t="shared" si="5"/>
        <v>0</v>
      </c>
      <c r="AN39" s="53">
        <f t="shared" si="5"/>
        <v>0</v>
      </c>
      <c r="AO39" s="53">
        <f t="shared" si="5"/>
        <v>0</v>
      </c>
      <c r="AP39" s="53">
        <f t="shared" si="5"/>
        <v>0</v>
      </c>
      <c r="AQ39" s="53">
        <f t="shared" si="5"/>
        <v>0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</row>
    <row r="40" ht="15.75" customHeight="1">
      <c r="A40" s="209" t="s">
        <v>7</v>
      </c>
      <c r="B40" s="205"/>
      <c r="C40" s="207"/>
      <c r="D40" s="53">
        <f t="shared" ref="D40:F40" si="6">$B40*D7*$C40</f>
        <v>0</v>
      </c>
      <c r="E40" s="53">
        <f t="shared" si="6"/>
        <v>0</v>
      </c>
      <c r="F40" s="53">
        <f t="shared" si="6"/>
        <v>0</v>
      </c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5"/>
      <c r="AF40" s="216">
        <f t="array" ref="AF40:AF66">transpose(D67:AD67)</f>
        <v>0</v>
      </c>
      <c r="AG40" s="207"/>
      <c r="AH40" s="211"/>
      <c r="AI40" s="211"/>
      <c r="AJ40" s="211"/>
      <c r="AK40" s="211"/>
      <c r="AL40" s="53">
        <f t="shared" ref="AL40:AR40" si="7">$AF40*AL7</f>
        <v>0</v>
      </c>
      <c r="AM40" s="53">
        <f t="shared" si="7"/>
        <v>0</v>
      </c>
      <c r="AN40" s="53">
        <f t="shared" si="7"/>
        <v>0</v>
      </c>
      <c r="AO40" s="53">
        <f t="shared" si="7"/>
        <v>0</v>
      </c>
      <c r="AP40" s="53">
        <f t="shared" si="7"/>
        <v>0</v>
      </c>
      <c r="AQ40" s="53">
        <f t="shared" si="7"/>
        <v>0</v>
      </c>
      <c r="AR40" s="53">
        <f t="shared" si="7"/>
        <v>0</v>
      </c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</row>
    <row r="41" ht="15.75" customHeight="1">
      <c r="A41" s="209" t="s">
        <v>8</v>
      </c>
      <c r="B41" s="205"/>
      <c r="C41" s="207"/>
      <c r="D41" s="211"/>
      <c r="E41" s="53">
        <f t="shared" ref="E41:G41" si="8">$B41*E8*$C41</f>
        <v>0</v>
      </c>
      <c r="F41" s="53">
        <f t="shared" si="8"/>
        <v>0</v>
      </c>
      <c r="G41" s="53">
        <f t="shared" si="8"/>
        <v>0</v>
      </c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7"/>
      <c r="AF41" s="53">
        <v>0.0</v>
      </c>
      <c r="AG41" s="207"/>
      <c r="AH41" s="211"/>
      <c r="AI41" s="211"/>
      <c r="AJ41" s="211"/>
      <c r="AK41" s="211"/>
      <c r="AL41" s="211"/>
      <c r="AM41" s="53">
        <f t="shared" ref="AM41:AS41" si="9">$AF41*AM8</f>
        <v>0</v>
      </c>
      <c r="AN41" s="53">
        <f t="shared" si="9"/>
        <v>0</v>
      </c>
      <c r="AO41" s="53">
        <f t="shared" si="9"/>
        <v>0</v>
      </c>
      <c r="AP41" s="53">
        <f t="shared" si="9"/>
        <v>0</v>
      </c>
      <c r="AQ41" s="53">
        <f t="shared" si="9"/>
        <v>0</v>
      </c>
      <c r="AR41" s="53">
        <f t="shared" si="9"/>
        <v>0</v>
      </c>
      <c r="AS41" s="53">
        <f t="shared" si="9"/>
        <v>0</v>
      </c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</row>
    <row r="42" ht="15.75" customHeight="1">
      <c r="A42" s="209" t="s">
        <v>9</v>
      </c>
      <c r="B42" s="205"/>
      <c r="C42" s="207"/>
      <c r="D42" s="205"/>
      <c r="E42" s="211"/>
      <c r="F42" s="53">
        <f t="shared" ref="F42:H42" si="10">$B42*F9*$C42</f>
        <v>0</v>
      </c>
      <c r="G42" s="53">
        <f t="shared" si="10"/>
        <v>0</v>
      </c>
      <c r="H42" s="53">
        <f t="shared" si="10"/>
        <v>0</v>
      </c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7"/>
      <c r="AF42" s="53">
        <v>0.0</v>
      </c>
      <c r="AG42" s="207"/>
      <c r="AH42" s="211"/>
      <c r="AI42" s="211"/>
      <c r="AJ42" s="211"/>
      <c r="AK42" s="211"/>
      <c r="AL42" s="211"/>
      <c r="AM42" s="211"/>
      <c r="AN42" s="53">
        <f t="shared" ref="AN42:AT42" si="11">$AF42*AN9</f>
        <v>0</v>
      </c>
      <c r="AO42" s="53">
        <f t="shared" si="11"/>
        <v>0</v>
      </c>
      <c r="AP42" s="53">
        <f t="shared" si="11"/>
        <v>0</v>
      </c>
      <c r="AQ42" s="53">
        <f t="shared" si="11"/>
        <v>0</v>
      </c>
      <c r="AR42" s="53">
        <f t="shared" si="11"/>
        <v>0</v>
      </c>
      <c r="AS42" s="53">
        <f t="shared" si="11"/>
        <v>0</v>
      </c>
      <c r="AT42" s="53">
        <f t="shared" si="11"/>
        <v>0</v>
      </c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</row>
    <row r="43" ht="15.75" customHeight="1">
      <c r="A43" s="209" t="s">
        <v>10</v>
      </c>
      <c r="B43" s="213">
        <v>5.0</v>
      </c>
      <c r="C43" s="214">
        <v>0.15</v>
      </c>
      <c r="D43" s="205"/>
      <c r="E43" s="205"/>
      <c r="F43" s="211"/>
      <c r="G43" s="53">
        <f t="shared" ref="G43:I43" si="12">$B43*G10*$C43</f>
        <v>0.6676470588</v>
      </c>
      <c r="H43" s="53">
        <f t="shared" si="12"/>
        <v>0.075</v>
      </c>
      <c r="I43" s="53">
        <f t="shared" si="12"/>
        <v>0.0075</v>
      </c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7"/>
      <c r="AF43" s="53">
        <v>0.6676470588235294</v>
      </c>
      <c r="AG43" s="207"/>
      <c r="AH43" s="211"/>
      <c r="AI43" s="211"/>
      <c r="AJ43" s="211"/>
      <c r="AK43" s="211"/>
      <c r="AL43" s="211"/>
      <c r="AM43" s="211"/>
      <c r="AN43" s="211"/>
      <c r="AO43" s="53">
        <f t="shared" ref="AO43:AU43" si="13">$AF43*AO10</f>
        <v>0.09347058824</v>
      </c>
      <c r="AP43" s="53">
        <f t="shared" si="13"/>
        <v>0.2203235294</v>
      </c>
      <c r="AQ43" s="53">
        <f t="shared" si="13"/>
        <v>0.1669117647</v>
      </c>
      <c r="AR43" s="53">
        <f t="shared" si="13"/>
        <v>0.1001470588</v>
      </c>
      <c r="AS43" s="53">
        <f t="shared" si="13"/>
        <v>0.04673529412</v>
      </c>
      <c r="AT43" s="53">
        <f t="shared" si="13"/>
        <v>0.02670588235</v>
      </c>
      <c r="AU43" s="53">
        <f t="shared" si="13"/>
        <v>0.01335294118</v>
      </c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</row>
    <row r="44" ht="15.75" customHeight="1">
      <c r="A44" s="209" t="s">
        <v>11</v>
      </c>
      <c r="B44" s="213">
        <v>5.0</v>
      </c>
      <c r="C44" s="214">
        <v>0.15</v>
      </c>
      <c r="D44" s="205"/>
      <c r="E44" s="205"/>
      <c r="F44" s="205"/>
      <c r="G44" s="205"/>
      <c r="H44" s="53">
        <f t="shared" ref="H44:J44" si="14">$B44*H11*$C44</f>
        <v>0.6676470588</v>
      </c>
      <c r="I44" s="53">
        <f t="shared" si="14"/>
        <v>0.075</v>
      </c>
      <c r="J44" s="53">
        <f t="shared" si="14"/>
        <v>0.0075</v>
      </c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7"/>
      <c r="AF44" s="53">
        <v>0.7426470588235293</v>
      </c>
      <c r="AG44" s="207"/>
      <c r="AH44" s="211"/>
      <c r="AI44" s="211"/>
      <c r="AJ44" s="211"/>
      <c r="AK44" s="211"/>
      <c r="AL44" s="211"/>
      <c r="AM44" s="211"/>
      <c r="AN44" s="211"/>
      <c r="AO44" s="211"/>
      <c r="AP44" s="53">
        <f t="shared" ref="AP44:AV44" si="15">$AF44*AP11</f>
        <v>0.1039705882</v>
      </c>
      <c r="AQ44" s="53">
        <f t="shared" si="15"/>
        <v>0.2450735294</v>
      </c>
      <c r="AR44" s="53">
        <f t="shared" si="15"/>
        <v>0.1856617647</v>
      </c>
      <c r="AS44" s="53">
        <f t="shared" si="15"/>
        <v>0.1113970588</v>
      </c>
      <c r="AT44" s="53">
        <f t="shared" si="15"/>
        <v>0.05198529412</v>
      </c>
      <c r="AU44" s="53">
        <f t="shared" si="15"/>
        <v>0.02970588235</v>
      </c>
      <c r="AV44" s="53">
        <f t="shared" si="15"/>
        <v>0.01485294118</v>
      </c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</row>
    <row r="45" ht="15.75" customHeight="1">
      <c r="A45" s="209" t="s">
        <v>12</v>
      </c>
      <c r="B45" s="213">
        <v>5.0</v>
      </c>
      <c r="C45" s="214">
        <v>0.15</v>
      </c>
      <c r="D45" s="205"/>
      <c r="E45" s="205"/>
      <c r="F45" s="205"/>
      <c r="G45" s="205"/>
      <c r="H45" s="205"/>
      <c r="I45" s="53">
        <f t="shared" ref="I45:K45" si="16">$B45*I12*$C45</f>
        <v>0.6676470588</v>
      </c>
      <c r="J45" s="53">
        <f t="shared" si="16"/>
        <v>0.075</v>
      </c>
      <c r="K45" s="53">
        <f t="shared" si="16"/>
        <v>0.0075</v>
      </c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7"/>
      <c r="AF45" s="53">
        <v>0.7501470588235294</v>
      </c>
      <c r="AG45" s="207"/>
      <c r="AH45" s="211"/>
      <c r="AI45" s="211"/>
      <c r="AJ45" s="211"/>
      <c r="AK45" s="211"/>
      <c r="AL45" s="211"/>
      <c r="AM45" s="211"/>
      <c r="AN45" s="211"/>
      <c r="AO45" s="211"/>
      <c r="AP45" s="211"/>
      <c r="AQ45" s="53">
        <f t="shared" ref="AQ45:AW45" si="17">$AF45*AQ12</f>
        <v>0.1050205882</v>
      </c>
      <c r="AR45" s="53">
        <f t="shared" si="17"/>
        <v>0.2475485294</v>
      </c>
      <c r="AS45" s="53">
        <f t="shared" si="17"/>
        <v>0.1875367647</v>
      </c>
      <c r="AT45" s="53">
        <f t="shared" si="17"/>
        <v>0.1125220588</v>
      </c>
      <c r="AU45" s="53">
        <f t="shared" si="17"/>
        <v>0.05251029412</v>
      </c>
      <c r="AV45" s="53">
        <f t="shared" si="17"/>
        <v>0.03000588235</v>
      </c>
      <c r="AW45" s="53">
        <f t="shared" si="17"/>
        <v>0.01500294118</v>
      </c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</row>
    <row r="46" ht="15.75" customHeight="1">
      <c r="A46" s="209" t="s">
        <v>13</v>
      </c>
      <c r="B46" s="213">
        <v>5.0</v>
      </c>
      <c r="C46" s="214">
        <v>0.15</v>
      </c>
      <c r="D46" s="205"/>
      <c r="E46" s="205"/>
      <c r="F46" s="205"/>
      <c r="G46" s="205"/>
      <c r="H46" s="205"/>
      <c r="I46" s="205"/>
      <c r="J46" s="53">
        <f t="shared" ref="J46:L46" si="18">$B46*J13*$C46</f>
        <v>0.6676470588</v>
      </c>
      <c r="K46" s="53">
        <f t="shared" si="18"/>
        <v>0.075</v>
      </c>
      <c r="L46" s="53">
        <f t="shared" si="18"/>
        <v>0.0075</v>
      </c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7"/>
      <c r="AF46" s="53">
        <v>0.7501470588235294</v>
      </c>
      <c r="AG46" s="207"/>
      <c r="AH46" s="211"/>
      <c r="AI46" s="211"/>
      <c r="AJ46" s="211"/>
      <c r="AK46" s="211"/>
      <c r="AL46" s="211"/>
      <c r="AM46" s="211"/>
      <c r="AN46" s="211"/>
      <c r="AO46" s="211"/>
      <c r="AP46" s="207"/>
      <c r="AQ46" s="211"/>
      <c r="AR46" s="53">
        <f t="shared" ref="AR46:AX46" si="19">$AF46*AR13</f>
        <v>0.1050205882</v>
      </c>
      <c r="AS46" s="53">
        <f t="shared" si="19"/>
        <v>0.2475485294</v>
      </c>
      <c r="AT46" s="53">
        <f t="shared" si="19"/>
        <v>0.1875367647</v>
      </c>
      <c r="AU46" s="53">
        <f t="shared" si="19"/>
        <v>0.1125220588</v>
      </c>
      <c r="AV46" s="53">
        <f t="shared" si="19"/>
        <v>0.05251029412</v>
      </c>
      <c r="AW46" s="53">
        <f t="shared" si="19"/>
        <v>0.03000588235</v>
      </c>
      <c r="AX46" s="53">
        <f t="shared" si="19"/>
        <v>0.01500294118</v>
      </c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</row>
    <row r="47" ht="15.75" customHeight="1">
      <c r="A47" s="209" t="s">
        <v>63</v>
      </c>
      <c r="B47" s="213">
        <v>5.0</v>
      </c>
      <c r="C47" s="214">
        <v>0.15</v>
      </c>
      <c r="D47" s="205"/>
      <c r="E47" s="205"/>
      <c r="F47" s="205"/>
      <c r="G47" s="205"/>
      <c r="H47" s="205"/>
      <c r="I47" s="205"/>
      <c r="J47" s="211"/>
      <c r="K47" s="53">
        <f t="shared" ref="K47:M47" si="20">$B47*K14*$C47</f>
        <v>0.6676470588</v>
      </c>
      <c r="L47" s="53">
        <f t="shared" si="20"/>
        <v>0.075</v>
      </c>
      <c r="M47" s="53">
        <f t="shared" si="20"/>
        <v>0.0075</v>
      </c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7"/>
      <c r="AF47" s="53">
        <v>0.7501470588235294</v>
      </c>
      <c r="AG47" s="207"/>
      <c r="AH47" s="211"/>
      <c r="AI47" s="211"/>
      <c r="AJ47" s="211"/>
      <c r="AK47" s="211"/>
      <c r="AL47" s="211"/>
      <c r="AM47" s="211"/>
      <c r="AN47" s="211"/>
      <c r="AO47" s="211"/>
      <c r="AP47" s="207"/>
      <c r="AQ47" s="211"/>
      <c r="AR47" s="211"/>
      <c r="AS47" s="53">
        <f t="shared" ref="AS47:AY47" si="21">$AF47*AS14</f>
        <v>0.1050205882</v>
      </c>
      <c r="AT47" s="53">
        <f t="shared" si="21"/>
        <v>0.2475485294</v>
      </c>
      <c r="AU47" s="53">
        <f t="shared" si="21"/>
        <v>0.1875367647</v>
      </c>
      <c r="AV47" s="53">
        <f t="shared" si="21"/>
        <v>0.1125220588</v>
      </c>
      <c r="AW47" s="53">
        <f t="shared" si="21"/>
        <v>0.05251029412</v>
      </c>
      <c r="AX47" s="53">
        <f t="shared" si="21"/>
        <v>0.03000588235</v>
      </c>
      <c r="AY47" s="53">
        <f t="shared" si="21"/>
        <v>0.01500294118</v>
      </c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</row>
    <row r="48" ht="15.75" customHeight="1">
      <c r="A48" s="209" t="s">
        <v>64</v>
      </c>
      <c r="B48" s="213">
        <v>5.0</v>
      </c>
      <c r="C48" s="214">
        <v>0.15</v>
      </c>
      <c r="D48" s="205"/>
      <c r="E48" s="205"/>
      <c r="F48" s="205"/>
      <c r="G48" s="205"/>
      <c r="H48" s="205"/>
      <c r="I48" s="205"/>
      <c r="J48" s="211"/>
      <c r="K48" s="211"/>
      <c r="L48" s="53">
        <f t="shared" ref="L48:N48" si="22">$B48*L15*$C48</f>
        <v>0.6676470588</v>
      </c>
      <c r="M48" s="53">
        <f t="shared" si="22"/>
        <v>0.075</v>
      </c>
      <c r="N48" s="53">
        <f t="shared" si="22"/>
        <v>0.0075</v>
      </c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7"/>
      <c r="AF48" s="53">
        <v>0.7501470588235294</v>
      </c>
      <c r="AG48" s="207"/>
      <c r="AH48" s="211"/>
      <c r="AI48" s="211"/>
      <c r="AJ48" s="211"/>
      <c r="AK48" s="211"/>
      <c r="AL48" s="211"/>
      <c r="AM48" s="211"/>
      <c r="AN48" s="211"/>
      <c r="AO48" s="211"/>
      <c r="AP48" s="207"/>
      <c r="AQ48" s="211"/>
      <c r="AR48" s="211"/>
      <c r="AS48" s="211"/>
      <c r="AT48" s="53">
        <f t="shared" ref="AT48:AZ48" si="23">$AF48*AT15</f>
        <v>0.1050205882</v>
      </c>
      <c r="AU48" s="53">
        <f t="shared" si="23"/>
        <v>0.2475485294</v>
      </c>
      <c r="AV48" s="53">
        <f t="shared" si="23"/>
        <v>0.1875367647</v>
      </c>
      <c r="AW48" s="53">
        <f t="shared" si="23"/>
        <v>0.1125220588</v>
      </c>
      <c r="AX48" s="53">
        <f t="shared" si="23"/>
        <v>0.05251029412</v>
      </c>
      <c r="AY48" s="53">
        <f t="shared" si="23"/>
        <v>0.03000588235</v>
      </c>
      <c r="AZ48" s="53">
        <f t="shared" si="23"/>
        <v>0.01500294118</v>
      </c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</row>
    <row r="49" ht="15.75" customHeight="1">
      <c r="A49" s="209" t="s">
        <v>65</v>
      </c>
      <c r="B49" s="213">
        <v>5.0</v>
      </c>
      <c r="C49" s="214">
        <v>0.15</v>
      </c>
      <c r="D49" s="205"/>
      <c r="E49" s="205"/>
      <c r="F49" s="205"/>
      <c r="G49" s="205"/>
      <c r="H49" s="205"/>
      <c r="I49" s="205"/>
      <c r="J49" s="211"/>
      <c r="K49" s="211"/>
      <c r="L49" s="211"/>
      <c r="M49" s="53">
        <f t="shared" ref="M49:O49" si="24">$B49*M16*$C49</f>
        <v>0.6676470588</v>
      </c>
      <c r="N49" s="53">
        <f t="shared" si="24"/>
        <v>0.075</v>
      </c>
      <c r="O49" s="53">
        <f t="shared" si="24"/>
        <v>0.0075</v>
      </c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7"/>
      <c r="AF49" s="53">
        <v>0.7501470588235294</v>
      </c>
      <c r="AG49" s="207"/>
      <c r="AH49" s="211"/>
      <c r="AI49" s="211"/>
      <c r="AJ49" s="211"/>
      <c r="AK49" s="211"/>
      <c r="AL49" s="211"/>
      <c r="AM49" s="211"/>
      <c r="AN49" s="211"/>
      <c r="AO49" s="211"/>
      <c r="AP49" s="207"/>
      <c r="AQ49" s="211"/>
      <c r="AR49" s="211"/>
      <c r="AS49" s="211"/>
      <c r="AT49" s="211"/>
      <c r="AU49" s="53">
        <f t="shared" ref="AU49:BA49" si="25">$AF49*AU16</f>
        <v>0.1050205882</v>
      </c>
      <c r="AV49" s="53">
        <f t="shared" si="25"/>
        <v>0.2475485294</v>
      </c>
      <c r="AW49" s="53">
        <f t="shared" si="25"/>
        <v>0.1875367647</v>
      </c>
      <c r="AX49" s="53">
        <f t="shared" si="25"/>
        <v>0.1125220588</v>
      </c>
      <c r="AY49" s="53">
        <f t="shared" si="25"/>
        <v>0.05251029412</v>
      </c>
      <c r="AZ49" s="53">
        <f t="shared" si="25"/>
        <v>0.03000588235</v>
      </c>
      <c r="BA49" s="53">
        <f t="shared" si="25"/>
        <v>0.01500294118</v>
      </c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</row>
    <row r="50" ht="15.75" customHeight="1">
      <c r="A50" s="209" t="s">
        <v>66</v>
      </c>
      <c r="B50" s="213">
        <v>7.0</v>
      </c>
      <c r="C50" s="214">
        <v>0.15</v>
      </c>
      <c r="D50" s="205"/>
      <c r="E50" s="205"/>
      <c r="F50" s="205"/>
      <c r="G50" s="205"/>
      <c r="H50" s="205"/>
      <c r="I50" s="205"/>
      <c r="J50" s="211"/>
      <c r="K50" s="211"/>
      <c r="L50" s="211"/>
      <c r="M50" s="211"/>
      <c r="N50" s="53">
        <f t="shared" ref="N50:P50" si="26">$B50*N17*$C50</f>
        <v>0.9345</v>
      </c>
      <c r="O50" s="53">
        <f t="shared" si="26"/>
        <v>0.105</v>
      </c>
      <c r="P50" s="53">
        <f t="shared" si="26"/>
        <v>0.0105</v>
      </c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7"/>
      <c r="AF50" s="53">
        <v>1.017</v>
      </c>
      <c r="AG50" s="207"/>
      <c r="AH50" s="211"/>
      <c r="AI50" s="211"/>
      <c r="AJ50" s="211"/>
      <c r="AK50" s="211"/>
      <c r="AL50" s="211"/>
      <c r="AM50" s="211"/>
      <c r="AN50" s="211"/>
      <c r="AO50" s="211"/>
      <c r="AP50" s="207"/>
      <c r="AQ50" s="211"/>
      <c r="AR50" s="211"/>
      <c r="AS50" s="211"/>
      <c r="AT50" s="211"/>
      <c r="AU50" s="211"/>
      <c r="AV50" s="53">
        <f t="shared" ref="AV50:BB50" si="27">$AF50*AV17</f>
        <v>0.14238</v>
      </c>
      <c r="AW50" s="53">
        <f t="shared" si="27"/>
        <v>0.33561</v>
      </c>
      <c r="AX50" s="53">
        <f t="shared" si="27"/>
        <v>0.25425</v>
      </c>
      <c r="AY50" s="53">
        <f t="shared" si="27"/>
        <v>0.15255</v>
      </c>
      <c r="AZ50" s="53">
        <f t="shared" si="27"/>
        <v>0.07119</v>
      </c>
      <c r="BA50" s="53">
        <f t="shared" si="27"/>
        <v>0.04068</v>
      </c>
      <c r="BB50" s="53">
        <f t="shared" si="27"/>
        <v>0.02034</v>
      </c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</row>
    <row r="51" ht="15.75" customHeight="1">
      <c r="A51" s="209" t="s">
        <v>67</v>
      </c>
      <c r="B51" s="213">
        <v>12.0</v>
      </c>
      <c r="C51" s="214">
        <v>0.15</v>
      </c>
      <c r="D51" s="205"/>
      <c r="E51" s="205"/>
      <c r="F51" s="205"/>
      <c r="G51" s="205"/>
      <c r="H51" s="205"/>
      <c r="I51" s="205"/>
      <c r="J51" s="211"/>
      <c r="K51" s="211"/>
      <c r="L51" s="211"/>
      <c r="M51" s="211"/>
      <c r="N51" s="211"/>
      <c r="O51" s="53">
        <f t="shared" ref="O51:Q51" si="28">$B51*O18*$C51</f>
        <v>1.602</v>
      </c>
      <c r="P51" s="53">
        <f t="shared" si="28"/>
        <v>0.18</v>
      </c>
      <c r="Q51" s="53">
        <f t="shared" si="28"/>
        <v>0.018</v>
      </c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7"/>
      <c r="AF51" s="53">
        <v>1.7145</v>
      </c>
      <c r="AG51" s="207"/>
      <c r="AH51" s="211"/>
      <c r="AI51" s="211"/>
      <c r="AJ51" s="211"/>
      <c r="AK51" s="211"/>
      <c r="AL51" s="211"/>
      <c r="AM51" s="211"/>
      <c r="AN51" s="211"/>
      <c r="AO51" s="211"/>
      <c r="AP51" s="207"/>
      <c r="AQ51" s="211"/>
      <c r="AR51" s="211"/>
      <c r="AS51" s="211"/>
      <c r="AT51" s="211"/>
      <c r="AU51" s="211"/>
      <c r="AV51" s="211"/>
      <c r="AW51" s="53">
        <f t="shared" ref="AW51:BC51" si="29">$AF51*AW18</f>
        <v>0.24003</v>
      </c>
      <c r="AX51" s="53">
        <f t="shared" si="29"/>
        <v>0.565785</v>
      </c>
      <c r="AY51" s="53">
        <f t="shared" si="29"/>
        <v>0.428625</v>
      </c>
      <c r="AZ51" s="53">
        <f t="shared" si="29"/>
        <v>0.257175</v>
      </c>
      <c r="BA51" s="53">
        <f t="shared" si="29"/>
        <v>0.120015</v>
      </c>
      <c r="BB51" s="53">
        <f t="shared" si="29"/>
        <v>0.06858</v>
      </c>
      <c r="BC51" s="53">
        <f t="shared" si="29"/>
        <v>0.03429</v>
      </c>
      <c r="BD51" s="211"/>
      <c r="BE51" s="211"/>
      <c r="BF51" s="211"/>
      <c r="BG51" s="211"/>
      <c r="BH51" s="211"/>
      <c r="BI51" s="211"/>
      <c r="BJ51" s="211"/>
      <c r="BK51" s="211"/>
      <c r="BL51" s="211"/>
    </row>
    <row r="52" ht="15.75" customHeight="1">
      <c r="A52" s="209" t="s">
        <v>68</v>
      </c>
      <c r="B52" s="213">
        <v>5.0</v>
      </c>
      <c r="C52" s="214">
        <v>0.15</v>
      </c>
      <c r="D52" s="205"/>
      <c r="E52" s="205"/>
      <c r="F52" s="205"/>
      <c r="G52" s="205"/>
      <c r="H52" s="205"/>
      <c r="I52" s="205"/>
      <c r="J52" s="211"/>
      <c r="K52" s="211"/>
      <c r="L52" s="211"/>
      <c r="M52" s="211"/>
      <c r="N52" s="211"/>
      <c r="O52" s="211"/>
      <c r="P52" s="53">
        <f t="shared" ref="P52:R52" si="30">$B52*P19*$C52</f>
        <v>0.6675</v>
      </c>
      <c r="Q52" s="53">
        <f t="shared" si="30"/>
        <v>0.075</v>
      </c>
      <c r="R52" s="53">
        <f t="shared" si="30"/>
        <v>0.0075</v>
      </c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7"/>
      <c r="AF52" s="53">
        <v>0.858</v>
      </c>
      <c r="AG52" s="211"/>
      <c r="AH52" s="211"/>
      <c r="AI52" s="211"/>
      <c r="AJ52" s="211"/>
      <c r="AK52" s="211"/>
      <c r="AL52" s="211"/>
      <c r="AM52" s="211"/>
      <c r="AN52" s="211"/>
      <c r="AO52" s="211"/>
      <c r="AP52" s="207"/>
      <c r="AQ52" s="211"/>
      <c r="AR52" s="211"/>
      <c r="AS52" s="211"/>
      <c r="AT52" s="211"/>
      <c r="AU52" s="211"/>
      <c r="AV52" s="211"/>
      <c r="AW52" s="211"/>
      <c r="AX52" s="53">
        <f t="shared" ref="AX52:BD52" si="31">$AF52*AX19</f>
        <v>0.12012</v>
      </c>
      <c r="AY52" s="53">
        <f t="shared" si="31"/>
        <v>0.28314</v>
      </c>
      <c r="AZ52" s="53">
        <f t="shared" si="31"/>
        <v>0.2145</v>
      </c>
      <c r="BA52" s="53">
        <f t="shared" si="31"/>
        <v>0.1287</v>
      </c>
      <c r="BB52" s="53">
        <f t="shared" si="31"/>
        <v>0.06006</v>
      </c>
      <c r="BC52" s="53">
        <f t="shared" si="31"/>
        <v>0.03432</v>
      </c>
      <c r="BD52" s="53">
        <f t="shared" si="31"/>
        <v>0.01716</v>
      </c>
      <c r="BE52" s="211"/>
      <c r="BF52" s="211"/>
      <c r="BG52" s="211"/>
      <c r="BH52" s="211"/>
      <c r="BI52" s="211"/>
      <c r="BJ52" s="211"/>
      <c r="BK52" s="211"/>
      <c r="BL52" s="211"/>
    </row>
    <row r="53" ht="15.75" customHeight="1">
      <c r="A53" s="209" t="s">
        <v>69</v>
      </c>
      <c r="B53" s="213">
        <f>sum('BDR Rollout'!C6,'BDR Rollout'!F6)</f>
        <v>0</v>
      </c>
      <c r="C53" s="214">
        <v>0.15</v>
      </c>
      <c r="D53" s="205"/>
      <c r="E53" s="205"/>
      <c r="F53" s="205"/>
      <c r="G53" s="205"/>
      <c r="H53" s="205"/>
      <c r="I53" s="205"/>
      <c r="J53" s="211"/>
      <c r="K53" s="211"/>
      <c r="L53" s="211"/>
      <c r="M53" s="211"/>
      <c r="N53" s="211"/>
      <c r="O53" s="211"/>
      <c r="P53" s="211"/>
      <c r="Q53" s="53">
        <f t="shared" ref="Q53:S53" si="32">$B53*Q20*$C53</f>
        <v>0</v>
      </c>
      <c r="R53" s="53">
        <f t="shared" si="32"/>
        <v>0</v>
      </c>
      <c r="S53" s="53">
        <f t="shared" si="32"/>
        <v>0</v>
      </c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7"/>
      <c r="AF53" s="53">
        <v>0.093</v>
      </c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53">
        <f t="shared" ref="AY53:BE53" si="33">$AF53*AY20</f>
        <v>0.01302</v>
      </c>
      <c r="AZ53" s="53">
        <f t="shared" si="33"/>
        <v>0.03069</v>
      </c>
      <c r="BA53" s="53">
        <f t="shared" si="33"/>
        <v>0.02325</v>
      </c>
      <c r="BB53" s="53">
        <f t="shared" si="33"/>
        <v>0.01395</v>
      </c>
      <c r="BC53" s="53">
        <f t="shared" si="33"/>
        <v>0.00651</v>
      </c>
      <c r="BD53" s="53">
        <f t="shared" si="33"/>
        <v>0.00372</v>
      </c>
      <c r="BE53" s="53">
        <f t="shared" si="33"/>
        <v>0.00186</v>
      </c>
      <c r="BF53" s="211"/>
      <c r="BG53" s="211"/>
      <c r="BH53" s="211"/>
      <c r="BI53" s="211"/>
      <c r="BJ53" s="211"/>
      <c r="BK53" s="211"/>
      <c r="BL53" s="211"/>
    </row>
    <row r="54" ht="15.75" customHeight="1">
      <c r="A54" s="218" t="s">
        <v>70</v>
      </c>
      <c r="B54" s="213">
        <f>sum('BDR Rollout'!C7,'BDR Rollout'!F7)</f>
        <v>0</v>
      </c>
      <c r="C54" s="214">
        <v>0.15</v>
      </c>
      <c r="D54" s="205"/>
      <c r="E54" s="205"/>
      <c r="F54" s="205"/>
      <c r="G54" s="205"/>
      <c r="H54" s="205"/>
      <c r="I54" s="205"/>
      <c r="J54" s="211"/>
      <c r="K54" s="211"/>
      <c r="L54" s="211"/>
      <c r="M54" s="211"/>
      <c r="N54" s="211"/>
      <c r="O54" s="211"/>
      <c r="P54" s="211"/>
      <c r="Q54" s="211"/>
      <c r="R54" s="53">
        <f t="shared" ref="R54:T54" si="34">$B54*R21*$C54</f>
        <v>0</v>
      </c>
      <c r="S54" s="53">
        <f t="shared" si="34"/>
        <v>0</v>
      </c>
      <c r="T54" s="53">
        <f t="shared" si="34"/>
        <v>0</v>
      </c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7"/>
      <c r="AF54" s="53">
        <v>0.0075</v>
      </c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53">
        <f t="shared" ref="AZ54:BF54" si="35">$AF54*AZ21</f>
        <v>0.00105</v>
      </c>
      <c r="BA54" s="53">
        <f t="shared" si="35"/>
        <v>0.002475</v>
      </c>
      <c r="BB54" s="53">
        <f t="shared" si="35"/>
        <v>0.001875</v>
      </c>
      <c r="BC54" s="53">
        <f t="shared" si="35"/>
        <v>0.001125</v>
      </c>
      <c r="BD54" s="53">
        <f t="shared" si="35"/>
        <v>0.000525</v>
      </c>
      <c r="BE54" s="53">
        <f t="shared" si="35"/>
        <v>0.0003</v>
      </c>
      <c r="BF54" s="53">
        <f t="shared" si="35"/>
        <v>0.00015</v>
      </c>
      <c r="BG54" s="211"/>
      <c r="BH54" s="211"/>
      <c r="BI54" s="211"/>
      <c r="BJ54" s="211"/>
      <c r="BK54" s="211"/>
      <c r="BL54" s="211"/>
    </row>
    <row r="55" ht="15.75" customHeight="1">
      <c r="A55" s="209" t="s">
        <v>71</v>
      </c>
      <c r="B55" s="213">
        <f>sum('BDR Rollout'!C8,'BDR Rollout'!F8)</f>
        <v>0</v>
      </c>
      <c r="C55" s="214">
        <v>0.15</v>
      </c>
      <c r="D55" s="205"/>
      <c r="E55" s="205"/>
      <c r="F55" s="205"/>
      <c r="G55" s="205"/>
      <c r="H55" s="205"/>
      <c r="I55" s="205"/>
      <c r="J55" s="211"/>
      <c r="K55" s="211"/>
      <c r="L55" s="211"/>
      <c r="M55" s="211"/>
      <c r="N55" s="211"/>
      <c r="O55" s="211"/>
      <c r="P55" s="211"/>
      <c r="Q55" s="211"/>
      <c r="R55" s="211"/>
      <c r="S55" s="53">
        <f t="shared" ref="S55:U55" si="36">$B55*S22*$C55</f>
        <v>0</v>
      </c>
      <c r="T55" s="53">
        <f t="shared" si="36"/>
        <v>0</v>
      </c>
      <c r="U55" s="53">
        <f t="shared" si="36"/>
        <v>0</v>
      </c>
      <c r="V55" s="211"/>
      <c r="W55" s="211"/>
      <c r="X55" s="211"/>
      <c r="Y55" s="211"/>
      <c r="Z55" s="211"/>
      <c r="AA55" s="211"/>
      <c r="AB55" s="211"/>
      <c r="AC55" s="211"/>
      <c r="AD55" s="211"/>
      <c r="AE55" s="217"/>
      <c r="AF55" s="53">
        <v>0.0</v>
      </c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07"/>
      <c r="AZ55" s="211"/>
      <c r="BA55" s="53">
        <f t="shared" ref="BA55:BG55" si="37">$AF55*BA22</f>
        <v>0</v>
      </c>
      <c r="BB55" s="53">
        <f t="shared" si="37"/>
        <v>0</v>
      </c>
      <c r="BC55" s="53">
        <f t="shared" si="37"/>
        <v>0</v>
      </c>
      <c r="BD55" s="53">
        <f t="shared" si="37"/>
        <v>0</v>
      </c>
      <c r="BE55" s="53">
        <f t="shared" si="37"/>
        <v>0</v>
      </c>
      <c r="BF55" s="53">
        <f t="shared" si="37"/>
        <v>0</v>
      </c>
      <c r="BG55" s="53">
        <f t="shared" si="37"/>
        <v>0</v>
      </c>
      <c r="BH55" s="211"/>
      <c r="BI55" s="211"/>
      <c r="BJ55" s="211"/>
      <c r="BK55" s="211"/>
      <c r="BL55" s="211"/>
    </row>
    <row r="56" ht="15.75" customHeight="1">
      <c r="A56" s="209" t="s">
        <v>72</v>
      </c>
      <c r="B56" s="213">
        <f>sum('BDR Rollout'!C9,'BDR Rollout'!F9)</f>
        <v>0</v>
      </c>
      <c r="C56" s="214">
        <v>0.15</v>
      </c>
      <c r="D56" s="205"/>
      <c r="E56" s="205"/>
      <c r="F56" s="205"/>
      <c r="G56" s="205"/>
      <c r="H56" s="205"/>
      <c r="I56" s="205"/>
      <c r="J56" s="211"/>
      <c r="K56" s="211"/>
      <c r="L56" s="211"/>
      <c r="M56" s="211"/>
      <c r="N56" s="211"/>
      <c r="O56" s="211"/>
      <c r="P56" s="211"/>
      <c r="Q56" s="211"/>
      <c r="R56" s="211"/>
      <c r="S56" s="205"/>
      <c r="T56" s="53">
        <f t="shared" ref="T56:V56" si="38">$B56*T23*$C56</f>
        <v>0</v>
      </c>
      <c r="U56" s="53">
        <f t="shared" si="38"/>
        <v>0</v>
      </c>
      <c r="V56" s="53">
        <f t="shared" si="38"/>
        <v>0</v>
      </c>
      <c r="W56" s="211"/>
      <c r="X56" s="211"/>
      <c r="Y56" s="211"/>
      <c r="Z56" s="211"/>
      <c r="AA56" s="211"/>
      <c r="AB56" s="211"/>
      <c r="AC56" s="211"/>
      <c r="AD56" s="211"/>
      <c r="AE56" s="217"/>
      <c r="AF56" s="53">
        <v>0.0</v>
      </c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07"/>
      <c r="AZ56" s="211"/>
      <c r="BA56" s="211"/>
      <c r="BB56" s="53">
        <f t="shared" ref="BB56:BH56" si="39">$AF56*BB23</f>
        <v>0</v>
      </c>
      <c r="BC56" s="53">
        <f t="shared" si="39"/>
        <v>0</v>
      </c>
      <c r="BD56" s="53">
        <f t="shared" si="39"/>
        <v>0</v>
      </c>
      <c r="BE56" s="53">
        <f t="shared" si="39"/>
        <v>0</v>
      </c>
      <c r="BF56" s="53">
        <f t="shared" si="39"/>
        <v>0</v>
      </c>
      <c r="BG56" s="53">
        <f t="shared" si="39"/>
        <v>0</v>
      </c>
      <c r="BH56" s="53">
        <f t="shared" si="39"/>
        <v>0</v>
      </c>
      <c r="BI56" s="211"/>
      <c r="BJ56" s="211"/>
      <c r="BK56" s="211"/>
      <c r="BL56" s="211"/>
    </row>
    <row r="57" ht="15.75" customHeight="1">
      <c r="A57" s="209" t="s">
        <v>73</v>
      </c>
      <c r="B57" s="213">
        <f>sum('BDR Rollout'!C10,'BDR Rollout'!F10)</f>
        <v>0</v>
      </c>
      <c r="C57" s="214">
        <v>0.15</v>
      </c>
      <c r="D57" s="205"/>
      <c r="E57" s="205"/>
      <c r="F57" s="205"/>
      <c r="G57" s="205"/>
      <c r="H57" s="205"/>
      <c r="I57" s="205"/>
      <c r="J57" s="211"/>
      <c r="K57" s="211"/>
      <c r="L57" s="211"/>
      <c r="M57" s="211"/>
      <c r="N57" s="211"/>
      <c r="O57" s="211"/>
      <c r="P57" s="211"/>
      <c r="Q57" s="211"/>
      <c r="R57" s="211"/>
      <c r="S57" s="205"/>
      <c r="T57" s="205"/>
      <c r="U57" s="53">
        <f t="shared" ref="U57:W57" si="40">$B57*U24*$C57</f>
        <v>0</v>
      </c>
      <c r="V57" s="53">
        <f t="shared" si="40"/>
        <v>0</v>
      </c>
      <c r="W57" s="53">
        <f t="shared" si="40"/>
        <v>0</v>
      </c>
      <c r="X57" s="211"/>
      <c r="Y57" s="211"/>
      <c r="Z57" s="211"/>
      <c r="AA57" s="211"/>
      <c r="AB57" s="211"/>
      <c r="AC57" s="211"/>
      <c r="AD57" s="211"/>
      <c r="AE57" s="217"/>
      <c r="AF57" s="53">
        <v>0.0</v>
      </c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07"/>
      <c r="AZ57" s="211"/>
      <c r="BA57" s="211"/>
      <c r="BB57" s="211"/>
      <c r="BC57" s="53">
        <f t="shared" ref="BC57:BI57" si="41">$AF57*BC24</f>
        <v>0</v>
      </c>
      <c r="BD57" s="53">
        <f t="shared" si="41"/>
        <v>0</v>
      </c>
      <c r="BE57" s="53">
        <f t="shared" si="41"/>
        <v>0</v>
      </c>
      <c r="BF57" s="53">
        <f t="shared" si="41"/>
        <v>0</v>
      </c>
      <c r="BG57" s="53">
        <f t="shared" si="41"/>
        <v>0</v>
      </c>
      <c r="BH57" s="53">
        <f t="shared" si="41"/>
        <v>0</v>
      </c>
      <c r="BI57" s="53">
        <f t="shared" si="41"/>
        <v>0</v>
      </c>
      <c r="BJ57" s="211"/>
      <c r="BK57" s="211"/>
      <c r="BL57" s="211"/>
    </row>
    <row r="58" ht="15.75" customHeight="1">
      <c r="A58" s="209" t="s">
        <v>74</v>
      </c>
      <c r="B58" s="213">
        <f>sum('BDR Rollout'!C11,'BDR Rollout'!F11)</f>
        <v>0</v>
      </c>
      <c r="C58" s="214">
        <v>0.15</v>
      </c>
      <c r="D58" s="205"/>
      <c r="E58" s="205"/>
      <c r="F58" s="205"/>
      <c r="G58" s="205"/>
      <c r="H58" s="205"/>
      <c r="I58" s="205"/>
      <c r="J58" s="211"/>
      <c r="K58" s="211"/>
      <c r="L58" s="211"/>
      <c r="M58" s="211"/>
      <c r="N58" s="211"/>
      <c r="O58" s="211"/>
      <c r="P58" s="211"/>
      <c r="Q58" s="211"/>
      <c r="R58" s="211"/>
      <c r="S58" s="205"/>
      <c r="T58" s="205"/>
      <c r="U58" s="205"/>
      <c r="V58" s="53">
        <f t="shared" ref="V58:X58" si="42">$B58*V25*$C58</f>
        <v>0</v>
      </c>
      <c r="W58" s="53">
        <f t="shared" si="42"/>
        <v>0</v>
      </c>
      <c r="X58" s="53">
        <f t="shared" si="42"/>
        <v>0</v>
      </c>
      <c r="Y58" s="211"/>
      <c r="Z58" s="211"/>
      <c r="AA58" s="211"/>
      <c r="AB58" s="211"/>
      <c r="AC58" s="211"/>
      <c r="AD58" s="211"/>
      <c r="AE58" s="217"/>
      <c r="AF58" s="53">
        <v>0.0</v>
      </c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07"/>
      <c r="AZ58" s="211"/>
      <c r="BA58" s="211"/>
      <c r="BB58" s="211"/>
      <c r="BC58" s="211"/>
      <c r="BD58" s="53">
        <f t="shared" ref="BD58:BJ58" si="43">$AF58*BD25</f>
        <v>0</v>
      </c>
      <c r="BE58" s="53">
        <f t="shared" si="43"/>
        <v>0</v>
      </c>
      <c r="BF58" s="53">
        <f t="shared" si="43"/>
        <v>0</v>
      </c>
      <c r="BG58" s="53">
        <f t="shared" si="43"/>
        <v>0</v>
      </c>
      <c r="BH58" s="53">
        <f t="shared" si="43"/>
        <v>0</v>
      </c>
      <c r="BI58" s="53">
        <f t="shared" si="43"/>
        <v>0</v>
      </c>
      <c r="BJ58" s="53">
        <f t="shared" si="43"/>
        <v>0</v>
      </c>
      <c r="BK58" s="211"/>
      <c r="BL58" s="211"/>
    </row>
    <row r="59" ht="15.75" customHeight="1">
      <c r="A59" s="209" t="s">
        <v>75</v>
      </c>
      <c r="B59" s="213">
        <f>sum('BDR Rollout'!C12,'BDR Rollout'!F12)</f>
        <v>0</v>
      </c>
      <c r="C59" s="214">
        <v>0.15</v>
      </c>
      <c r="D59" s="205"/>
      <c r="E59" s="205"/>
      <c r="F59" s="205"/>
      <c r="G59" s="205"/>
      <c r="H59" s="205"/>
      <c r="I59" s="205"/>
      <c r="J59" s="211"/>
      <c r="K59" s="211"/>
      <c r="L59" s="211"/>
      <c r="M59" s="211"/>
      <c r="N59" s="211"/>
      <c r="O59" s="211"/>
      <c r="P59" s="211"/>
      <c r="Q59" s="211"/>
      <c r="R59" s="211"/>
      <c r="S59" s="205"/>
      <c r="T59" s="205"/>
      <c r="U59" s="205"/>
      <c r="V59" s="211"/>
      <c r="W59" s="53">
        <f t="shared" ref="W59:Y59" si="44">$B59*W26*$C59</f>
        <v>0</v>
      </c>
      <c r="X59" s="53">
        <f t="shared" si="44"/>
        <v>0</v>
      </c>
      <c r="Y59" s="53">
        <f t="shared" si="44"/>
        <v>0</v>
      </c>
      <c r="Z59" s="211"/>
      <c r="AA59" s="211"/>
      <c r="AB59" s="211"/>
      <c r="AC59" s="211"/>
      <c r="AD59" s="211"/>
      <c r="AE59" s="217"/>
      <c r="AF59" s="53">
        <v>0.0</v>
      </c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07"/>
      <c r="AZ59" s="211"/>
      <c r="BA59" s="211"/>
      <c r="BB59" s="211"/>
      <c r="BC59" s="211"/>
      <c r="BD59" s="211"/>
      <c r="BE59" s="53">
        <f t="shared" ref="BE59:BK59" si="45">$AF59*BE26</f>
        <v>0</v>
      </c>
      <c r="BF59" s="53">
        <f t="shared" si="45"/>
        <v>0</v>
      </c>
      <c r="BG59" s="53">
        <f t="shared" si="45"/>
        <v>0</v>
      </c>
      <c r="BH59" s="53">
        <f t="shared" si="45"/>
        <v>0</v>
      </c>
      <c r="BI59" s="53">
        <f t="shared" si="45"/>
        <v>0</v>
      </c>
      <c r="BJ59" s="53">
        <f t="shared" si="45"/>
        <v>0</v>
      </c>
      <c r="BK59" s="53">
        <f t="shared" si="45"/>
        <v>0</v>
      </c>
      <c r="BL59" s="211"/>
    </row>
    <row r="60" ht="15.75" customHeight="1">
      <c r="A60" s="209" t="s">
        <v>76</v>
      </c>
      <c r="B60" s="213">
        <f>sum('BDR Rollout'!C13,'BDR Rollout'!F13)</f>
        <v>0</v>
      </c>
      <c r="C60" s="214">
        <v>0.15</v>
      </c>
      <c r="D60" s="205"/>
      <c r="E60" s="205"/>
      <c r="F60" s="205"/>
      <c r="G60" s="205"/>
      <c r="H60" s="205"/>
      <c r="I60" s="205"/>
      <c r="J60" s="211"/>
      <c r="K60" s="211"/>
      <c r="L60" s="211"/>
      <c r="M60" s="211"/>
      <c r="N60" s="211"/>
      <c r="O60" s="211"/>
      <c r="P60" s="211"/>
      <c r="Q60" s="211"/>
      <c r="R60" s="211"/>
      <c r="S60" s="205"/>
      <c r="T60" s="205"/>
      <c r="U60" s="205"/>
      <c r="V60" s="211"/>
      <c r="W60" s="211"/>
      <c r="X60" s="53">
        <f t="shared" ref="X60:Z60" si="46">$B60*X27*$C60</f>
        <v>0</v>
      </c>
      <c r="Y60" s="53">
        <f t="shared" si="46"/>
        <v>0</v>
      </c>
      <c r="Z60" s="53">
        <f t="shared" si="46"/>
        <v>0</v>
      </c>
      <c r="AA60" s="211"/>
      <c r="AB60" s="211"/>
      <c r="AC60" s="211"/>
      <c r="AD60" s="211"/>
      <c r="AE60" s="217"/>
      <c r="AF60" s="53">
        <v>0.0</v>
      </c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07"/>
      <c r="AZ60" s="211"/>
      <c r="BA60" s="211"/>
      <c r="BB60" s="211"/>
      <c r="BC60" s="211"/>
      <c r="BD60" s="211"/>
      <c r="BE60" s="211"/>
      <c r="BF60" s="53">
        <f t="shared" ref="BF60:BL60" si="47">$AF60*BF27</f>
        <v>0</v>
      </c>
      <c r="BG60" s="53">
        <f t="shared" si="47"/>
        <v>0</v>
      </c>
      <c r="BH60" s="53">
        <f t="shared" si="47"/>
        <v>0</v>
      </c>
      <c r="BI60" s="53">
        <f t="shared" si="47"/>
        <v>0</v>
      </c>
      <c r="BJ60" s="53">
        <f t="shared" si="47"/>
        <v>0</v>
      </c>
      <c r="BK60" s="53">
        <f t="shared" si="47"/>
        <v>0</v>
      </c>
      <c r="BL60" s="53">
        <f t="shared" si="47"/>
        <v>0</v>
      </c>
    </row>
    <row r="61" ht="15.75" customHeight="1">
      <c r="A61" s="209" t="s">
        <v>77</v>
      </c>
      <c r="B61" s="213">
        <f>sum('BDR Rollout'!C14,'BDR Rollout'!F14)</f>
        <v>0</v>
      </c>
      <c r="C61" s="214">
        <v>0.15</v>
      </c>
      <c r="D61" s="205"/>
      <c r="E61" s="205"/>
      <c r="F61" s="205"/>
      <c r="G61" s="205"/>
      <c r="H61" s="205"/>
      <c r="I61" s="205"/>
      <c r="J61" s="211"/>
      <c r="K61" s="211"/>
      <c r="L61" s="211"/>
      <c r="M61" s="211"/>
      <c r="N61" s="211"/>
      <c r="O61" s="211"/>
      <c r="P61" s="211"/>
      <c r="Q61" s="211"/>
      <c r="R61" s="211"/>
      <c r="S61" s="205"/>
      <c r="T61" s="205"/>
      <c r="U61" s="205"/>
      <c r="V61" s="211"/>
      <c r="W61" s="211"/>
      <c r="X61" s="211"/>
      <c r="Y61" s="53">
        <f t="shared" ref="Y61:AA61" si="48">$B61*Y28*$C61</f>
        <v>0</v>
      </c>
      <c r="Z61" s="53">
        <f t="shared" si="48"/>
        <v>0</v>
      </c>
      <c r="AA61" s="53">
        <f t="shared" si="48"/>
        <v>0</v>
      </c>
      <c r="AB61" s="211"/>
      <c r="AC61" s="211"/>
      <c r="AD61" s="211"/>
      <c r="AE61" s="217"/>
      <c r="AF61" s="53">
        <v>0.0</v>
      </c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07"/>
      <c r="AZ61" s="211"/>
      <c r="BA61" s="211"/>
      <c r="BB61" s="211"/>
      <c r="BC61" s="211"/>
      <c r="BD61" s="211"/>
      <c r="BE61" s="211"/>
      <c r="BF61" s="211"/>
      <c r="BG61" s="53">
        <f t="shared" ref="BG61:BL61" si="49">$AF61*BG28</f>
        <v>0</v>
      </c>
      <c r="BH61" s="53">
        <f t="shared" si="49"/>
        <v>0</v>
      </c>
      <c r="BI61" s="53">
        <f t="shared" si="49"/>
        <v>0</v>
      </c>
      <c r="BJ61" s="53">
        <f t="shared" si="49"/>
        <v>0</v>
      </c>
      <c r="BK61" s="53">
        <f t="shared" si="49"/>
        <v>0</v>
      </c>
      <c r="BL61" s="53">
        <f t="shared" si="49"/>
        <v>0</v>
      </c>
    </row>
    <row r="62" ht="15.75" customHeight="1">
      <c r="A62" s="209" t="s">
        <v>78</v>
      </c>
      <c r="B62" s="213">
        <f>sum('BDR Rollout'!C15,'BDR Rollout'!F15)</f>
        <v>0</v>
      </c>
      <c r="C62" s="214">
        <v>0.15</v>
      </c>
      <c r="D62" s="205"/>
      <c r="E62" s="205"/>
      <c r="F62" s="205"/>
      <c r="G62" s="205"/>
      <c r="H62" s="205"/>
      <c r="I62" s="205"/>
      <c r="J62" s="211"/>
      <c r="K62" s="211"/>
      <c r="L62" s="211"/>
      <c r="M62" s="211"/>
      <c r="N62" s="211"/>
      <c r="O62" s="211"/>
      <c r="P62" s="211"/>
      <c r="Q62" s="211"/>
      <c r="R62" s="211"/>
      <c r="S62" s="205"/>
      <c r="T62" s="205"/>
      <c r="U62" s="205"/>
      <c r="V62" s="211"/>
      <c r="W62" s="211"/>
      <c r="X62" s="211"/>
      <c r="Y62" s="211"/>
      <c r="Z62" s="53">
        <f t="shared" ref="Z62:AB62" si="50">$B62*Z29*$C62</f>
        <v>0</v>
      </c>
      <c r="AA62" s="53">
        <f t="shared" si="50"/>
        <v>0</v>
      </c>
      <c r="AB62" s="53">
        <f t="shared" si="50"/>
        <v>0</v>
      </c>
      <c r="AC62" s="211"/>
      <c r="AD62" s="211"/>
      <c r="AE62" s="217"/>
      <c r="AF62" s="53">
        <v>0.0</v>
      </c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53">
        <f t="shared" ref="BH62:BL62" si="51">$AF62*BH29</f>
        <v>0</v>
      </c>
      <c r="BI62" s="53">
        <f t="shared" si="51"/>
        <v>0</v>
      </c>
      <c r="BJ62" s="53">
        <f t="shared" si="51"/>
        <v>0</v>
      </c>
      <c r="BK62" s="53">
        <f t="shared" si="51"/>
        <v>0</v>
      </c>
      <c r="BL62" s="53">
        <f t="shared" si="51"/>
        <v>0</v>
      </c>
    </row>
    <row r="63" ht="15.75" customHeight="1">
      <c r="A63" s="209" t="s">
        <v>79</v>
      </c>
      <c r="B63" s="213">
        <f>sum('BDR Rollout'!C16,'BDR Rollout'!F16)</f>
        <v>0</v>
      </c>
      <c r="C63" s="214">
        <v>0.15</v>
      </c>
      <c r="D63" s="205"/>
      <c r="E63" s="205"/>
      <c r="F63" s="205"/>
      <c r="G63" s="205"/>
      <c r="H63" s="205"/>
      <c r="I63" s="205"/>
      <c r="J63" s="211"/>
      <c r="K63" s="211"/>
      <c r="L63" s="211"/>
      <c r="M63" s="211"/>
      <c r="N63" s="211"/>
      <c r="O63" s="211"/>
      <c r="P63" s="211"/>
      <c r="Q63" s="211"/>
      <c r="R63" s="211"/>
      <c r="S63" s="205"/>
      <c r="T63" s="205"/>
      <c r="U63" s="205"/>
      <c r="V63" s="211"/>
      <c r="W63" s="211"/>
      <c r="X63" s="211"/>
      <c r="Y63" s="211"/>
      <c r="Z63" s="211"/>
      <c r="AA63" s="53">
        <f t="shared" ref="AA63:AC63" si="52">$B63*AA30*$C63</f>
        <v>0</v>
      </c>
      <c r="AB63" s="53">
        <f t="shared" si="52"/>
        <v>0</v>
      </c>
      <c r="AC63" s="53">
        <f t="shared" si="52"/>
        <v>0</v>
      </c>
      <c r="AD63" s="211"/>
      <c r="AE63" s="217"/>
      <c r="AF63" s="53">
        <v>0.0</v>
      </c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53">
        <f t="shared" ref="BI63:BL63" si="53">$AF63*BI30</f>
        <v>0</v>
      </c>
      <c r="BJ63" s="53">
        <f t="shared" si="53"/>
        <v>0</v>
      </c>
      <c r="BK63" s="53">
        <f t="shared" si="53"/>
        <v>0</v>
      </c>
      <c r="BL63" s="53">
        <f t="shared" si="53"/>
        <v>0</v>
      </c>
    </row>
    <row r="64" ht="15.75" customHeight="1">
      <c r="A64" s="209" t="s">
        <v>80</v>
      </c>
      <c r="B64" s="213">
        <f>sum('BDR Rollout'!C17,'BDR Rollout'!F17)</f>
        <v>0</v>
      </c>
      <c r="C64" s="214">
        <v>0.15</v>
      </c>
      <c r="D64" s="205"/>
      <c r="E64" s="205"/>
      <c r="F64" s="205"/>
      <c r="G64" s="205"/>
      <c r="H64" s="205"/>
      <c r="I64" s="205"/>
      <c r="J64" s="211"/>
      <c r="K64" s="211"/>
      <c r="L64" s="211"/>
      <c r="M64" s="211"/>
      <c r="N64" s="211"/>
      <c r="O64" s="211"/>
      <c r="P64" s="211"/>
      <c r="Q64" s="211"/>
      <c r="R64" s="211"/>
      <c r="S64" s="205"/>
      <c r="T64" s="205"/>
      <c r="U64" s="205"/>
      <c r="V64" s="211"/>
      <c r="W64" s="211"/>
      <c r="X64" s="211"/>
      <c r="Y64" s="211"/>
      <c r="Z64" s="211"/>
      <c r="AA64" s="211"/>
      <c r="AB64" s="53">
        <f t="shared" ref="AB64:AD64" si="54">$B64*AB31*$C64</f>
        <v>0</v>
      </c>
      <c r="AC64" s="53">
        <f t="shared" si="54"/>
        <v>0</v>
      </c>
      <c r="AD64" s="53">
        <f t="shared" si="54"/>
        <v>0</v>
      </c>
      <c r="AE64" s="217"/>
      <c r="AF64" s="53">
        <v>0.0</v>
      </c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53">
        <f t="shared" ref="BJ64:BL64" si="55">$AF64*BJ31</f>
        <v>0</v>
      </c>
      <c r="BK64" s="53">
        <f t="shared" si="55"/>
        <v>0</v>
      </c>
      <c r="BL64" s="53">
        <f t="shared" si="55"/>
        <v>0</v>
      </c>
    </row>
    <row r="65" ht="15.75" customHeight="1">
      <c r="A65" s="209" t="s">
        <v>81</v>
      </c>
      <c r="B65" s="213">
        <f>sum('BDR Rollout'!C18,'BDR Rollout'!F18)</f>
        <v>0</v>
      </c>
      <c r="C65" s="214">
        <v>0.15</v>
      </c>
      <c r="D65" s="205"/>
      <c r="E65" s="205"/>
      <c r="F65" s="205"/>
      <c r="G65" s="205"/>
      <c r="H65" s="205"/>
      <c r="I65" s="205"/>
      <c r="J65" s="211"/>
      <c r="K65" s="211"/>
      <c r="L65" s="211"/>
      <c r="M65" s="211"/>
      <c r="N65" s="211"/>
      <c r="O65" s="211"/>
      <c r="P65" s="211"/>
      <c r="Q65" s="211"/>
      <c r="R65" s="211"/>
      <c r="S65" s="205"/>
      <c r="T65" s="205"/>
      <c r="U65" s="205"/>
      <c r="V65" s="211"/>
      <c r="W65" s="211"/>
      <c r="X65" s="211"/>
      <c r="Y65" s="211"/>
      <c r="Z65" s="211"/>
      <c r="AA65" s="211"/>
      <c r="AB65" s="211"/>
      <c r="AC65" s="53">
        <f t="shared" ref="AC65:AD65" si="56">$B65*AC32*$C65</f>
        <v>0</v>
      </c>
      <c r="AD65" s="53">
        <f t="shared" si="56"/>
        <v>0</v>
      </c>
      <c r="AE65" s="217"/>
      <c r="AF65" s="53">
        <v>0.0</v>
      </c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53">
        <f t="shared" ref="BK65:BL65" si="57">$AF65*BK32</f>
        <v>0</v>
      </c>
      <c r="BL65" s="53">
        <f t="shared" si="57"/>
        <v>0</v>
      </c>
    </row>
    <row r="66" ht="15.75" customHeight="1">
      <c r="A66" s="209" t="s">
        <v>82</v>
      </c>
      <c r="B66" s="213">
        <f>sum('BDR Rollout'!C19,'BDR Rollout'!F19)</f>
        <v>0</v>
      </c>
      <c r="C66" s="214">
        <v>0.15</v>
      </c>
      <c r="D66" s="219"/>
      <c r="E66" s="219"/>
      <c r="F66" s="219"/>
      <c r="G66" s="219"/>
      <c r="H66" s="219"/>
      <c r="I66" s="219"/>
      <c r="J66" s="220"/>
      <c r="K66" s="220"/>
      <c r="L66" s="220"/>
      <c r="M66" s="220"/>
      <c r="N66" s="220"/>
      <c r="O66" s="221"/>
      <c r="P66" s="221"/>
      <c r="Q66" s="221"/>
      <c r="R66" s="221"/>
      <c r="S66" s="205"/>
      <c r="T66" s="205"/>
      <c r="U66" s="205"/>
      <c r="V66" s="211"/>
      <c r="W66" s="211"/>
      <c r="X66" s="211"/>
      <c r="Y66" s="211"/>
      <c r="Z66" s="211"/>
      <c r="AA66" s="211"/>
      <c r="AB66" s="211"/>
      <c r="AC66" s="211"/>
      <c r="AD66" s="53">
        <f>$B66*AD33*$C66</f>
        <v>0</v>
      </c>
      <c r="AE66" s="222"/>
      <c r="AF66" s="53">
        <v>0.0</v>
      </c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3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53">
        <f>$AF66*BL33</f>
        <v>0</v>
      </c>
    </row>
    <row r="67" ht="15.75" customHeight="1">
      <c r="A67" s="224" t="s">
        <v>171</v>
      </c>
      <c r="B67" s="225"/>
      <c r="C67" s="225"/>
      <c r="D67" s="118">
        <f t="shared" ref="D67:AD67" si="58">sum(D39:D66)</f>
        <v>0</v>
      </c>
      <c r="E67" s="118">
        <f t="shared" si="58"/>
        <v>0</v>
      </c>
      <c r="F67" s="118">
        <f t="shared" si="58"/>
        <v>0</v>
      </c>
      <c r="G67" s="118">
        <f t="shared" si="58"/>
        <v>0.6676470588</v>
      </c>
      <c r="H67" s="118">
        <f t="shared" si="58"/>
        <v>0.7426470588</v>
      </c>
      <c r="I67" s="118">
        <f t="shared" si="58"/>
        <v>0.7501470588</v>
      </c>
      <c r="J67" s="118">
        <f t="shared" si="58"/>
        <v>0.7501470588</v>
      </c>
      <c r="K67" s="118">
        <f t="shared" si="58"/>
        <v>0.7501470588</v>
      </c>
      <c r="L67" s="118">
        <f t="shared" si="58"/>
        <v>0.7501470588</v>
      </c>
      <c r="M67" s="118">
        <f t="shared" si="58"/>
        <v>0.7501470588</v>
      </c>
      <c r="N67" s="118">
        <f t="shared" si="58"/>
        <v>1.017</v>
      </c>
      <c r="O67" s="118">
        <f t="shared" si="58"/>
        <v>1.7145</v>
      </c>
      <c r="P67" s="118">
        <f t="shared" si="58"/>
        <v>0.858</v>
      </c>
      <c r="Q67" s="118">
        <f t="shared" si="58"/>
        <v>0.093</v>
      </c>
      <c r="R67" s="118">
        <f t="shared" si="58"/>
        <v>0.0075</v>
      </c>
      <c r="S67" s="118">
        <f t="shared" si="58"/>
        <v>0</v>
      </c>
      <c r="T67" s="118">
        <f t="shared" si="58"/>
        <v>0</v>
      </c>
      <c r="U67" s="118">
        <f t="shared" si="58"/>
        <v>0</v>
      </c>
      <c r="V67" s="118">
        <f t="shared" si="58"/>
        <v>0</v>
      </c>
      <c r="W67" s="118">
        <f t="shared" si="58"/>
        <v>0</v>
      </c>
      <c r="X67" s="118">
        <f t="shared" si="58"/>
        <v>0</v>
      </c>
      <c r="Y67" s="118">
        <f t="shared" si="58"/>
        <v>0</v>
      </c>
      <c r="Z67" s="118">
        <f t="shared" si="58"/>
        <v>0</v>
      </c>
      <c r="AA67" s="118">
        <f t="shared" si="58"/>
        <v>0</v>
      </c>
      <c r="AB67" s="118">
        <f t="shared" si="58"/>
        <v>0</v>
      </c>
      <c r="AC67" s="118">
        <f t="shared" si="58"/>
        <v>0</v>
      </c>
      <c r="AD67" s="118">
        <f t="shared" si="58"/>
        <v>0</v>
      </c>
      <c r="AE67" s="226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7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9"/>
    </row>
    <row r="68" ht="15.75" customHeight="1">
      <c r="A68" s="230" t="s">
        <v>172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2"/>
      <c r="AF68" s="231"/>
      <c r="AG68" s="60">
        <f t="shared" ref="AG68:BL68" si="59">sum(AG35:AG66)</f>
        <v>0</v>
      </c>
      <c r="AH68" s="60">
        <f t="shared" si="59"/>
        <v>0</v>
      </c>
      <c r="AI68" s="60">
        <f t="shared" si="59"/>
        <v>0</v>
      </c>
      <c r="AJ68" s="60">
        <f t="shared" si="59"/>
        <v>0</v>
      </c>
      <c r="AK68" s="60">
        <f t="shared" si="59"/>
        <v>0</v>
      </c>
      <c r="AL68" s="60">
        <f t="shared" si="59"/>
        <v>0</v>
      </c>
      <c r="AM68" s="60">
        <f t="shared" si="59"/>
        <v>0</v>
      </c>
      <c r="AN68" s="60">
        <f t="shared" si="59"/>
        <v>0</v>
      </c>
      <c r="AO68" s="60">
        <f t="shared" si="59"/>
        <v>0.09347058824</v>
      </c>
      <c r="AP68" s="60">
        <f t="shared" si="59"/>
        <v>0.3242941176</v>
      </c>
      <c r="AQ68" s="60">
        <f t="shared" si="59"/>
        <v>0.5170058824</v>
      </c>
      <c r="AR68" s="60">
        <f t="shared" si="59"/>
        <v>0.6383779412</v>
      </c>
      <c r="AS68" s="60">
        <f t="shared" si="59"/>
        <v>0.6982382353</v>
      </c>
      <c r="AT68" s="60">
        <f t="shared" si="59"/>
        <v>0.7313191176</v>
      </c>
      <c r="AU68" s="60">
        <f t="shared" si="59"/>
        <v>0.7481970588</v>
      </c>
      <c r="AV68" s="60">
        <f t="shared" si="59"/>
        <v>0.7873564706</v>
      </c>
      <c r="AW68" s="60">
        <f t="shared" si="59"/>
        <v>0.9732179412</v>
      </c>
      <c r="AX68" s="60">
        <f t="shared" si="59"/>
        <v>1.150196176</v>
      </c>
      <c r="AY68" s="60">
        <f t="shared" si="59"/>
        <v>0.9748541176</v>
      </c>
      <c r="AZ68" s="60">
        <f t="shared" si="59"/>
        <v>0.6196138235</v>
      </c>
      <c r="BA68" s="60">
        <f t="shared" si="59"/>
        <v>0.3301229412</v>
      </c>
      <c r="BB68" s="60">
        <f t="shared" si="59"/>
        <v>0.164805</v>
      </c>
      <c r="BC68" s="60">
        <f t="shared" si="59"/>
        <v>0.076245</v>
      </c>
      <c r="BD68" s="60">
        <f t="shared" si="59"/>
        <v>0.021405</v>
      </c>
      <c r="BE68" s="60">
        <f t="shared" si="59"/>
        <v>0.00216</v>
      </c>
      <c r="BF68" s="60">
        <f t="shared" si="59"/>
        <v>0.00015</v>
      </c>
      <c r="BG68" s="60">
        <f t="shared" si="59"/>
        <v>0</v>
      </c>
      <c r="BH68" s="60">
        <f t="shared" si="59"/>
        <v>0</v>
      </c>
      <c r="BI68" s="60">
        <f t="shared" si="59"/>
        <v>0</v>
      </c>
      <c r="BJ68" s="60">
        <f t="shared" si="59"/>
        <v>0</v>
      </c>
      <c r="BK68" s="60">
        <f t="shared" si="59"/>
        <v>0</v>
      </c>
      <c r="BL68" s="60">
        <f t="shared" si="59"/>
        <v>0</v>
      </c>
    </row>
    <row r="69" ht="15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233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234">
        <v>2.0</v>
      </c>
      <c r="AX69" s="234">
        <v>3.0</v>
      </c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</row>
    <row r="70" ht="15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233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</row>
    <row r="71" ht="15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233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</row>
    <row r="72" ht="15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23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233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</row>
    <row r="73" ht="15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23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233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</row>
    <row r="74" ht="15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23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233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233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233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</row>
    <row r="77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233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</row>
    <row r="78" ht="15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233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</row>
    <row r="79" ht="15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233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</row>
    <row r="80" ht="15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233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</row>
    <row r="81" ht="15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233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</row>
    <row r="82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233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</row>
    <row r="83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233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</row>
    <row r="84" ht="15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233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</row>
    <row r="85" ht="15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233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</row>
    <row r="86" ht="15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233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</row>
    <row r="87" ht="15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233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</row>
    <row r="88" ht="15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233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</row>
    <row r="89" ht="15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233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</row>
    <row r="90" ht="15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233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</row>
    <row r="91" ht="15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233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</row>
    <row r="92" ht="15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233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</row>
    <row r="93" ht="15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233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</row>
    <row r="94" ht="15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233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</row>
    <row r="95" ht="15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233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</row>
    <row r="96" ht="15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233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</row>
    <row r="97" ht="15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233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</row>
    <row r="98" ht="15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233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</row>
    <row r="99" ht="15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233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</row>
    <row r="100" ht="15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233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</row>
    <row r="101" ht="15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233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</row>
    <row r="102" ht="15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233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</row>
    <row r="103" ht="15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233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</row>
    <row r="104" ht="15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233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</row>
    <row r="105" ht="15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233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</row>
    <row r="106" ht="15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233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</row>
    <row r="107" ht="15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233"/>
      <c r="AF107" s="185"/>
      <c r="AG107" s="185"/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</row>
    <row r="108" ht="15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233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</row>
    <row r="109" ht="15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233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</row>
    <row r="110" ht="15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233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</row>
    <row r="111" ht="15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233"/>
      <c r="AF111" s="185"/>
      <c r="AG111" s="185"/>
      <c r="AH111" s="185"/>
      <c r="AI111" s="185"/>
      <c r="AJ111" s="185"/>
      <c r="AK111" s="185"/>
      <c r="AL111" s="185"/>
      <c r="AM111" s="185"/>
      <c r="AN111" s="185"/>
      <c r="AO111" s="185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</row>
    <row r="112" ht="15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233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</row>
    <row r="113" ht="15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233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</row>
    <row r="114" ht="15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233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</row>
    <row r="115" ht="15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233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185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</row>
    <row r="116" ht="15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233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</row>
    <row r="117" ht="15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233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185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</row>
    <row r="118" ht="15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233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185"/>
      <c r="BI118" s="185"/>
      <c r="BJ118" s="185"/>
      <c r="BK118" s="185"/>
      <c r="BL118" s="185"/>
    </row>
    <row r="119" ht="15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233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5"/>
      <c r="BL119" s="185"/>
    </row>
    <row r="120" ht="15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233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  <c r="BK120" s="185"/>
      <c r="BL120" s="185"/>
    </row>
    <row r="121" ht="15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233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</row>
    <row r="122" ht="15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233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  <c r="BH122" s="185"/>
      <c r="BI122" s="185"/>
      <c r="BJ122" s="185"/>
      <c r="BK122" s="185"/>
      <c r="BL122" s="185"/>
    </row>
    <row r="123" ht="15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233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</row>
    <row r="124" ht="15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233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  <c r="BH124" s="185"/>
      <c r="BI124" s="185"/>
      <c r="BJ124" s="185"/>
      <c r="BK124" s="185"/>
      <c r="BL124" s="185"/>
    </row>
    <row r="125" ht="15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233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</row>
    <row r="126" ht="15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233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</row>
    <row r="127" ht="15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233"/>
      <c r="AF127" s="185"/>
      <c r="AG127" s="185"/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5"/>
    </row>
    <row r="128" ht="15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233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  <c r="BD128" s="185"/>
      <c r="BE128" s="185"/>
      <c r="BF128" s="185"/>
      <c r="BG128" s="185"/>
      <c r="BH128" s="185"/>
      <c r="BI128" s="185"/>
      <c r="BJ128" s="185"/>
      <c r="BK128" s="185"/>
      <c r="BL128" s="185"/>
    </row>
    <row r="129" ht="15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233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5"/>
      <c r="BF129" s="185"/>
      <c r="BG129" s="185"/>
      <c r="BH129" s="185"/>
      <c r="BI129" s="185"/>
      <c r="BJ129" s="185"/>
      <c r="BK129" s="185"/>
      <c r="BL129" s="185"/>
    </row>
    <row r="130" ht="15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233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233"/>
      <c r="AF131" s="185"/>
      <c r="AG131" s="185"/>
      <c r="AH131" s="185"/>
      <c r="AI131" s="185"/>
      <c r="AJ131" s="185"/>
      <c r="AK131" s="185"/>
      <c r="AL131" s="185"/>
      <c r="AM131" s="185"/>
      <c r="AN131" s="185"/>
      <c r="AO131" s="185"/>
      <c r="AP131" s="185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  <c r="BA131" s="185"/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233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  <c r="AP132" s="185"/>
      <c r="AQ132" s="185"/>
      <c r="AR132" s="185"/>
      <c r="AS132" s="185"/>
      <c r="AT132" s="185"/>
      <c r="AU132" s="185"/>
      <c r="AV132" s="185"/>
      <c r="AW132" s="185"/>
      <c r="AX132" s="185"/>
      <c r="AY132" s="185"/>
      <c r="AZ132" s="185"/>
      <c r="BA132" s="185"/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233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233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233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233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5"/>
      <c r="AP136" s="185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233"/>
      <c r="AF137" s="185"/>
      <c r="AG137" s="185"/>
      <c r="AH137" s="185"/>
      <c r="AI137" s="185"/>
      <c r="AJ137" s="185"/>
      <c r="AK137" s="185"/>
      <c r="AL137" s="185"/>
      <c r="AM137" s="185"/>
      <c r="AN137" s="185"/>
      <c r="AO137" s="185"/>
      <c r="AP137" s="185"/>
      <c r="AQ137" s="185"/>
      <c r="AR137" s="185"/>
      <c r="AS137" s="185"/>
      <c r="AT137" s="185"/>
      <c r="AU137" s="185"/>
      <c r="AV137" s="185"/>
      <c r="AW137" s="185"/>
      <c r="AX137" s="185"/>
      <c r="AY137" s="185"/>
      <c r="AZ137" s="185"/>
      <c r="BA137" s="185"/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233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/>
      <c r="AT138" s="185"/>
      <c r="AU138" s="185"/>
      <c r="AV138" s="185"/>
      <c r="AW138" s="185"/>
      <c r="AX138" s="185"/>
      <c r="AY138" s="185"/>
      <c r="AZ138" s="185"/>
      <c r="BA138" s="185"/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233"/>
      <c r="AF139" s="185"/>
      <c r="AG139" s="185"/>
      <c r="AH139" s="185"/>
      <c r="AI139" s="185"/>
      <c r="AJ139" s="185"/>
      <c r="AK139" s="185"/>
      <c r="AL139" s="185"/>
      <c r="AM139" s="185"/>
      <c r="AN139" s="185"/>
      <c r="AO139" s="185"/>
      <c r="AP139" s="185"/>
      <c r="AQ139" s="185"/>
      <c r="AR139" s="185"/>
      <c r="AS139" s="185"/>
      <c r="AT139" s="185"/>
      <c r="AU139" s="185"/>
      <c r="AV139" s="185"/>
      <c r="AW139" s="185"/>
      <c r="AX139" s="185"/>
      <c r="AY139" s="185"/>
      <c r="AZ139" s="185"/>
      <c r="BA139" s="185"/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233"/>
      <c r="AF140" s="185"/>
      <c r="AG140" s="185"/>
      <c r="AH140" s="185"/>
      <c r="AI140" s="185"/>
      <c r="AJ140" s="185"/>
      <c r="AK140" s="185"/>
      <c r="AL140" s="185"/>
      <c r="AM140" s="185"/>
      <c r="AN140" s="185"/>
      <c r="AO140" s="185"/>
      <c r="AP140" s="185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233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233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233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  <c r="AP143" s="185"/>
      <c r="AQ143" s="185"/>
      <c r="AR143" s="185"/>
      <c r="AS143" s="185"/>
      <c r="AT143" s="185"/>
      <c r="AU143" s="185"/>
      <c r="AV143" s="185"/>
      <c r="AW143" s="185"/>
      <c r="AX143" s="185"/>
      <c r="AY143" s="185"/>
      <c r="AZ143" s="185"/>
      <c r="BA143" s="185"/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233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  <c r="AP144" s="185"/>
      <c r="AQ144" s="185"/>
      <c r="AR144" s="185"/>
      <c r="AS144" s="185"/>
      <c r="AT144" s="185"/>
      <c r="AU144" s="185"/>
      <c r="AV144" s="185"/>
      <c r="AW144" s="185"/>
      <c r="AX144" s="185"/>
      <c r="AY144" s="185"/>
      <c r="AZ144" s="185"/>
      <c r="BA144" s="185"/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233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/>
      <c r="AT145" s="185"/>
      <c r="AU145" s="185"/>
      <c r="AV145" s="185"/>
      <c r="AW145" s="185"/>
      <c r="AX145" s="185"/>
      <c r="AY145" s="185"/>
      <c r="AZ145" s="185"/>
      <c r="BA145" s="185"/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233"/>
      <c r="AF146" s="185"/>
      <c r="AG146" s="185"/>
      <c r="AH146" s="185"/>
      <c r="AI146" s="185"/>
      <c r="AJ146" s="185"/>
      <c r="AK146" s="185"/>
      <c r="AL146" s="185"/>
      <c r="AM146" s="185"/>
      <c r="AN146" s="185"/>
      <c r="AO146" s="185"/>
      <c r="AP146" s="185"/>
      <c r="AQ146" s="185"/>
      <c r="AR146" s="185"/>
      <c r="AS146" s="185"/>
      <c r="AT146" s="185"/>
      <c r="AU146" s="185"/>
      <c r="AV146" s="185"/>
      <c r="AW146" s="185"/>
      <c r="AX146" s="185"/>
      <c r="AY146" s="185"/>
      <c r="AZ146" s="185"/>
      <c r="BA146" s="185"/>
      <c r="BB146" s="185"/>
      <c r="BC146" s="185"/>
      <c r="BD146" s="185"/>
      <c r="BE146" s="185"/>
      <c r="BF146" s="185"/>
      <c r="BG146" s="185"/>
      <c r="BH146" s="185"/>
      <c r="BI146" s="185"/>
      <c r="BJ146" s="185"/>
      <c r="BK146" s="185"/>
      <c r="BL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233"/>
      <c r="AF147" s="185"/>
      <c r="AG147" s="185"/>
      <c r="AH147" s="185"/>
      <c r="AI147" s="185"/>
      <c r="AJ147" s="185"/>
      <c r="AK147" s="185"/>
      <c r="AL147" s="185"/>
      <c r="AM147" s="185"/>
      <c r="AN147" s="185"/>
      <c r="AO147" s="185"/>
      <c r="AP147" s="185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  <c r="BA147" s="185"/>
      <c r="BB147" s="185"/>
      <c r="BC147" s="185"/>
      <c r="BD147" s="185"/>
      <c r="BE147" s="185"/>
      <c r="BF147" s="185"/>
      <c r="BG147" s="185"/>
      <c r="BH147" s="185"/>
      <c r="BI147" s="185"/>
      <c r="BJ147" s="185"/>
      <c r="BK147" s="185"/>
      <c r="BL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233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  <c r="AP148" s="185"/>
      <c r="AQ148" s="185"/>
      <c r="AR148" s="185"/>
      <c r="AS148" s="185"/>
      <c r="AT148" s="185"/>
      <c r="AU148" s="185"/>
      <c r="AV148" s="185"/>
      <c r="AW148" s="185"/>
      <c r="AX148" s="185"/>
      <c r="AY148" s="185"/>
      <c r="AZ148" s="185"/>
      <c r="BA148" s="185"/>
      <c r="BB148" s="185"/>
      <c r="BC148" s="185"/>
      <c r="BD148" s="185"/>
      <c r="BE148" s="185"/>
      <c r="BF148" s="185"/>
      <c r="BG148" s="185"/>
      <c r="BH148" s="185"/>
      <c r="BI148" s="185"/>
      <c r="BJ148" s="185"/>
      <c r="BK148" s="185"/>
      <c r="BL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233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185"/>
      <c r="BD149" s="185"/>
      <c r="BE149" s="185"/>
      <c r="BF149" s="185"/>
      <c r="BG149" s="185"/>
      <c r="BH149" s="185"/>
      <c r="BI149" s="185"/>
      <c r="BJ149" s="185"/>
      <c r="BK149" s="185"/>
      <c r="BL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233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185"/>
      <c r="BE150" s="185"/>
      <c r="BF150" s="185"/>
      <c r="BG150" s="185"/>
      <c r="BH150" s="185"/>
      <c r="BI150" s="185"/>
      <c r="BJ150" s="185"/>
      <c r="BK150" s="185"/>
      <c r="BL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233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5"/>
      <c r="BF151" s="185"/>
      <c r="BG151" s="185"/>
      <c r="BH151" s="185"/>
      <c r="BI151" s="185"/>
      <c r="BJ151" s="185"/>
      <c r="BK151" s="185"/>
      <c r="BL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233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185"/>
      <c r="BE152" s="185"/>
      <c r="BF152" s="185"/>
      <c r="BG152" s="185"/>
      <c r="BH152" s="185"/>
      <c r="BI152" s="185"/>
      <c r="BJ152" s="185"/>
      <c r="BK152" s="185"/>
      <c r="BL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233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185"/>
      <c r="BE153" s="185"/>
      <c r="BF153" s="185"/>
      <c r="BG153" s="185"/>
      <c r="BH153" s="185"/>
      <c r="BI153" s="185"/>
      <c r="BJ153" s="185"/>
      <c r="BK153" s="185"/>
      <c r="BL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233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185"/>
      <c r="BE154" s="185"/>
      <c r="BF154" s="185"/>
      <c r="BG154" s="185"/>
      <c r="BH154" s="185"/>
      <c r="BI154" s="185"/>
      <c r="BJ154" s="185"/>
      <c r="BK154" s="185"/>
      <c r="BL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233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185"/>
      <c r="BE155" s="185"/>
      <c r="BF155" s="185"/>
      <c r="BG155" s="185"/>
      <c r="BH155" s="185"/>
      <c r="BI155" s="185"/>
      <c r="BJ155" s="185"/>
      <c r="BK155" s="185"/>
      <c r="BL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233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233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185"/>
      <c r="BE157" s="185"/>
      <c r="BF157" s="185"/>
      <c r="BG157" s="185"/>
      <c r="BH157" s="185"/>
      <c r="BI157" s="185"/>
      <c r="BJ157" s="185"/>
      <c r="BK157" s="185"/>
      <c r="BL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233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185"/>
      <c r="BE158" s="185"/>
      <c r="BF158" s="185"/>
      <c r="BG158" s="185"/>
      <c r="BH158" s="185"/>
      <c r="BI158" s="185"/>
      <c r="BJ158" s="185"/>
      <c r="BK158" s="185"/>
      <c r="BL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233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185"/>
      <c r="BE159" s="185"/>
      <c r="BF159" s="185"/>
      <c r="BG159" s="185"/>
      <c r="BH159" s="185"/>
      <c r="BI159" s="185"/>
      <c r="BJ159" s="185"/>
      <c r="BK159" s="185"/>
      <c r="BL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233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185"/>
      <c r="BE160" s="185"/>
      <c r="BF160" s="185"/>
      <c r="BG160" s="185"/>
      <c r="BH160" s="185"/>
      <c r="BI160" s="185"/>
      <c r="BJ160" s="185"/>
      <c r="BK160" s="185"/>
      <c r="BL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233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5"/>
      <c r="BF161" s="185"/>
      <c r="BG161" s="185"/>
      <c r="BH161" s="185"/>
      <c r="BI161" s="185"/>
      <c r="BJ161" s="185"/>
      <c r="BK161" s="185"/>
      <c r="BL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233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233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233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233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233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233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233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233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233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233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233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233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233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233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233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233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233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185"/>
      <c r="BE178" s="185"/>
      <c r="BF178" s="185"/>
      <c r="BG178" s="185"/>
      <c r="BH178" s="185"/>
      <c r="BI178" s="185"/>
      <c r="BJ178" s="185"/>
      <c r="BK178" s="185"/>
      <c r="BL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233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185"/>
      <c r="BI179" s="185"/>
      <c r="BJ179" s="185"/>
      <c r="BK179" s="185"/>
      <c r="BL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233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185"/>
      <c r="BI180" s="185"/>
      <c r="BJ180" s="185"/>
      <c r="BK180" s="185"/>
      <c r="BL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233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5"/>
      <c r="BF181" s="185"/>
      <c r="BG181" s="185"/>
      <c r="BH181" s="185"/>
      <c r="BI181" s="185"/>
      <c r="BJ181" s="185"/>
      <c r="BK181" s="185"/>
      <c r="BL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233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185"/>
      <c r="BI182" s="185"/>
      <c r="BJ182" s="185"/>
      <c r="BK182" s="185"/>
      <c r="BL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233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185"/>
      <c r="BI183" s="185"/>
      <c r="BJ183" s="185"/>
      <c r="BK183" s="185"/>
      <c r="BL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233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185"/>
      <c r="BI184" s="185"/>
      <c r="BJ184" s="185"/>
      <c r="BK184" s="185"/>
      <c r="BL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233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233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233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185"/>
      <c r="BE187" s="185"/>
      <c r="BF187" s="185"/>
      <c r="BG187" s="185"/>
      <c r="BH187" s="185"/>
      <c r="BI187" s="185"/>
      <c r="BJ187" s="185"/>
      <c r="BK187" s="185"/>
      <c r="BL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233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185"/>
      <c r="BE188" s="185"/>
      <c r="BF188" s="185"/>
      <c r="BG188" s="185"/>
      <c r="BH188" s="185"/>
      <c r="BI188" s="185"/>
      <c r="BJ188" s="185"/>
      <c r="BK188" s="185"/>
      <c r="BL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233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185"/>
      <c r="BE189" s="185"/>
      <c r="BF189" s="185"/>
      <c r="BG189" s="185"/>
      <c r="BH189" s="185"/>
      <c r="BI189" s="185"/>
      <c r="BJ189" s="185"/>
      <c r="BK189" s="185"/>
      <c r="BL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233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185"/>
      <c r="BE190" s="185"/>
      <c r="BF190" s="185"/>
      <c r="BG190" s="185"/>
      <c r="BH190" s="185"/>
      <c r="BI190" s="185"/>
      <c r="BJ190" s="185"/>
      <c r="BK190" s="185"/>
      <c r="BL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233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5"/>
      <c r="BF191" s="185"/>
      <c r="BG191" s="185"/>
      <c r="BH191" s="185"/>
      <c r="BI191" s="185"/>
      <c r="BJ191" s="185"/>
      <c r="BK191" s="185"/>
      <c r="BL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233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185"/>
      <c r="BE192" s="185"/>
      <c r="BF192" s="185"/>
      <c r="BG192" s="185"/>
      <c r="BH192" s="185"/>
      <c r="BI192" s="185"/>
      <c r="BJ192" s="185"/>
      <c r="BK192" s="185"/>
      <c r="BL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233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185"/>
      <c r="BE193" s="185"/>
      <c r="BF193" s="185"/>
      <c r="BG193" s="185"/>
      <c r="BH193" s="185"/>
      <c r="BI193" s="185"/>
      <c r="BJ193" s="185"/>
      <c r="BK193" s="185"/>
      <c r="BL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233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233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233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233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233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233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233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</row>
    <row r="201" ht="15.75" customHeight="1">
      <c r="A201" s="246"/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  <c r="AF201" s="246"/>
      <c r="AG201" s="246"/>
      <c r="AH201" s="246"/>
      <c r="AI201" s="246"/>
      <c r="AJ201" s="246"/>
      <c r="AK201" s="246"/>
      <c r="AL201" s="246"/>
      <c r="AM201" s="246"/>
      <c r="AN201" s="246"/>
      <c r="AO201" s="246"/>
      <c r="AP201" s="246"/>
      <c r="AQ201" s="246"/>
      <c r="AR201" s="246"/>
      <c r="AS201" s="246"/>
      <c r="AT201" s="246"/>
      <c r="AU201" s="246"/>
      <c r="AV201" s="246"/>
      <c r="AW201" s="246"/>
      <c r="AX201" s="246"/>
      <c r="AY201" s="246"/>
      <c r="AZ201" s="246"/>
      <c r="BA201" s="246"/>
      <c r="BB201" s="246"/>
      <c r="BC201" s="246"/>
      <c r="BD201" s="246"/>
      <c r="BE201" s="246"/>
      <c r="BF201" s="246"/>
      <c r="BG201" s="246"/>
      <c r="BH201" s="246"/>
      <c r="BI201" s="246"/>
      <c r="BJ201" s="246"/>
      <c r="BK201" s="246"/>
      <c r="BL201" s="246"/>
    </row>
    <row r="202" ht="15.75" customHeight="1">
      <c r="A202" s="246"/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  <c r="AD202" s="246"/>
      <c r="AE202" s="246"/>
      <c r="AF202" s="246"/>
      <c r="AG202" s="246"/>
      <c r="AH202" s="246"/>
      <c r="AI202" s="246"/>
      <c r="AJ202" s="246"/>
      <c r="AK202" s="246"/>
      <c r="AL202" s="246"/>
      <c r="AM202" s="246"/>
      <c r="AN202" s="246"/>
      <c r="AO202" s="246"/>
      <c r="AP202" s="246"/>
      <c r="AQ202" s="246"/>
      <c r="AR202" s="246"/>
      <c r="AS202" s="246"/>
      <c r="AT202" s="246"/>
      <c r="AU202" s="246"/>
      <c r="AV202" s="246"/>
      <c r="AW202" s="246"/>
      <c r="AX202" s="246"/>
      <c r="AY202" s="246"/>
      <c r="AZ202" s="246"/>
      <c r="BA202" s="246"/>
      <c r="BB202" s="246"/>
      <c r="BC202" s="246"/>
      <c r="BD202" s="246"/>
      <c r="BE202" s="246"/>
      <c r="BF202" s="246"/>
      <c r="BG202" s="246"/>
      <c r="BH202" s="246"/>
      <c r="BI202" s="246"/>
      <c r="BJ202" s="246"/>
      <c r="BK202" s="246"/>
      <c r="BL202" s="246"/>
    </row>
    <row r="203" ht="15.75" customHeight="1">
      <c r="A203" s="246"/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  <c r="AF203" s="246"/>
      <c r="AG203" s="246"/>
      <c r="AH203" s="246"/>
      <c r="AI203" s="246"/>
      <c r="AJ203" s="246"/>
      <c r="AK203" s="246"/>
      <c r="AL203" s="246"/>
      <c r="AM203" s="246"/>
      <c r="AN203" s="246"/>
      <c r="AO203" s="246"/>
      <c r="AP203" s="246"/>
      <c r="AQ203" s="246"/>
      <c r="AR203" s="246"/>
      <c r="AS203" s="246"/>
      <c r="AT203" s="246"/>
      <c r="AU203" s="246"/>
      <c r="AV203" s="246"/>
      <c r="AW203" s="246"/>
      <c r="AX203" s="246"/>
      <c r="AY203" s="246"/>
      <c r="AZ203" s="246"/>
      <c r="BA203" s="246"/>
      <c r="BB203" s="246"/>
      <c r="BC203" s="246"/>
      <c r="BD203" s="246"/>
      <c r="BE203" s="246"/>
      <c r="BF203" s="246"/>
      <c r="BG203" s="246"/>
      <c r="BH203" s="246"/>
      <c r="BI203" s="246"/>
      <c r="BJ203" s="246"/>
      <c r="BK203" s="246"/>
      <c r="BL203" s="246"/>
    </row>
    <row r="204" ht="15.75" customHeight="1">
      <c r="A204" s="246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  <c r="AD204" s="246"/>
      <c r="AE204" s="246"/>
      <c r="AF204" s="246"/>
      <c r="AG204" s="246"/>
      <c r="AH204" s="246"/>
      <c r="AI204" s="246"/>
      <c r="AJ204" s="246"/>
      <c r="AK204" s="246"/>
      <c r="AL204" s="246"/>
      <c r="AM204" s="246"/>
      <c r="AN204" s="246"/>
      <c r="AO204" s="246"/>
      <c r="AP204" s="246"/>
      <c r="AQ204" s="246"/>
      <c r="AR204" s="246"/>
      <c r="AS204" s="246"/>
      <c r="AT204" s="246"/>
      <c r="AU204" s="246"/>
      <c r="AV204" s="246"/>
      <c r="AW204" s="246"/>
      <c r="AX204" s="246"/>
      <c r="AY204" s="246"/>
      <c r="AZ204" s="246"/>
      <c r="BA204" s="246"/>
      <c r="BB204" s="246"/>
      <c r="BC204" s="246"/>
      <c r="BD204" s="246"/>
      <c r="BE204" s="246"/>
      <c r="BF204" s="246"/>
      <c r="BG204" s="246"/>
      <c r="BH204" s="246"/>
      <c r="BI204" s="246"/>
      <c r="BJ204" s="246"/>
      <c r="BK204" s="246"/>
      <c r="BL204" s="246"/>
    </row>
    <row r="205" ht="15.75" customHeight="1">
      <c r="A205" s="246"/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  <c r="AF205" s="246"/>
      <c r="AG205" s="246"/>
      <c r="AH205" s="246"/>
      <c r="AI205" s="246"/>
      <c r="AJ205" s="246"/>
      <c r="AK205" s="246"/>
      <c r="AL205" s="246"/>
      <c r="AM205" s="246"/>
      <c r="AN205" s="246"/>
      <c r="AO205" s="246"/>
      <c r="AP205" s="246"/>
      <c r="AQ205" s="246"/>
      <c r="AR205" s="246"/>
      <c r="AS205" s="246"/>
      <c r="AT205" s="246"/>
      <c r="AU205" s="246"/>
      <c r="AV205" s="246"/>
      <c r="AW205" s="246"/>
      <c r="AX205" s="246"/>
      <c r="AY205" s="246"/>
      <c r="AZ205" s="246"/>
      <c r="BA205" s="246"/>
      <c r="BB205" s="246"/>
      <c r="BC205" s="246"/>
      <c r="BD205" s="246"/>
      <c r="BE205" s="246"/>
      <c r="BF205" s="246"/>
      <c r="BG205" s="246"/>
      <c r="BH205" s="246"/>
      <c r="BI205" s="246"/>
      <c r="BJ205" s="246"/>
      <c r="BK205" s="246"/>
      <c r="BL205" s="246"/>
    </row>
    <row r="206" ht="15.75" customHeight="1">
      <c r="A206" s="246"/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  <c r="AD206" s="246"/>
      <c r="AE206" s="246"/>
      <c r="AF206" s="246"/>
      <c r="AG206" s="246"/>
      <c r="AH206" s="246"/>
      <c r="AI206" s="246"/>
      <c r="AJ206" s="246"/>
      <c r="AK206" s="246"/>
      <c r="AL206" s="246"/>
      <c r="AM206" s="246"/>
      <c r="AN206" s="246"/>
      <c r="AO206" s="246"/>
      <c r="AP206" s="246"/>
      <c r="AQ206" s="246"/>
      <c r="AR206" s="246"/>
      <c r="AS206" s="246"/>
      <c r="AT206" s="246"/>
      <c r="AU206" s="246"/>
      <c r="AV206" s="246"/>
      <c r="AW206" s="246"/>
      <c r="AX206" s="246"/>
      <c r="AY206" s="246"/>
      <c r="AZ206" s="246"/>
      <c r="BA206" s="246"/>
      <c r="BB206" s="246"/>
      <c r="BC206" s="246"/>
      <c r="BD206" s="246"/>
      <c r="BE206" s="246"/>
      <c r="BF206" s="246"/>
      <c r="BG206" s="246"/>
      <c r="BH206" s="246"/>
      <c r="BI206" s="246"/>
      <c r="BJ206" s="246"/>
      <c r="BK206" s="246"/>
      <c r="BL206" s="246"/>
    </row>
    <row r="207" ht="15.75" customHeight="1">
      <c r="A207" s="246"/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  <c r="AF207" s="246"/>
      <c r="AG207" s="246"/>
      <c r="AH207" s="246"/>
      <c r="AI207" s="246"/>
      <c r="AJ207" s="246"/>
      <c r="AK207" s="246"/>
      <c r="AL207" s="246"/>
      <c r="AM207" s="246"/>
      <c r="AN207" s="246"/>
      <c r="AO207" s="246"/>
      <c r="AP207" s="246"/>
      <c r="AQ207" s="246"/>
      <c r="AR207" s="246"/>
      <c r="AS207" s="246"/>
      <c r="AT207" s="246"/>
      <c r="AU207" s="246"/>
      <c r="AV207" s="246"/>
      <c r="AW207" s="246"/>
      <c r="AX207" s="246"/>
      <c r="AY207" s="246"/>
      <c r="AZ207" s="246"/>
      <c r="BA207" s="246"/>
      <c r="BB207" s="246"/>
      <c r="BC207" s="246"/>
      <c r="BD207" s="246"/>
      <c r="BE207" s="246"/>
      <c r="BF207" s="246"/>
      <c r="BG207" s="246"/>
      <c r="BH207" s="246"/>
      <c r="BI207" s="246"/>
      <c r="BJ207" s="246"/>
      <c r="BK207" s="246"/>
      <c r="BL207" s="246"/>
    </row>
    <row r="208" ht="15.75" customHeight="1">
      <c r="A208" s="246"/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  <c r="AD208" s="246"/>
      <c r="AE208" s="246"/>
      <c r="AF208" s="246"/>
      <c r="AG208" s="246"/>
      <c r="AH208" s="246"/>
      <c r="AI208" s="246"/>
      <c r="AJ208" s="246"/>
      <c r="AK208" s="246"/>
      <c r="AL208" s="246"/>
      <c r="AM208" s="246"/>
      <c r="AN208" s="246"/>
      <c r="AO208" s="246"/>
      <c r="AP208" s="246"/>
      <c r="AQ208" s="246"/>
      <c r="AR208" s="246"/>
      <c r="AS208" s="246"/>
      <c r="AT208" s="246"/>
      <c r="AU208" s="246"/>
      <c r="AV208" s="246"/>
      <c r="AW208" s="246"/>
      <c r="AX208" s="246"/>
      <c r="AY208" s="246"/>
      <c r="AZ208" s="246"/>
      <c r="BA208" s="246"/>
      <c r="BB208" s="246"/>
      <c r="BC208" s="246"/>
      <c r="BD208" s="246"/>
      <c r="BE208" s="246"/>
      <c r="BF208" s="246"/>
      <c r="BG208" s="246"/>
      <c r="BH208" s="246"/>
      <c r="BI208" s="246"/>
      <c r="BJ208" s="246"/>
      <c r="BK208" s="246"/>
      <c r="BL208" s="246"/>
    </row>
    <row r="209" ht="15.75" customHeight="1">
      <c r="A209" s="246"/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6"/>
      <c r="AG209" s="246"/>
      <c r="AH209" s="246"/>
      <c r="AI209" s="246"/>
      <c r="AJ209" s="246"/>
      <c r="AK209" s="246"/>
      <c r="AL209" s="246"/>
      <c r="AM209" s="246"/>
      <c r="AN209" s="246"/>
      <c r="AO209" s="246"/>
      <c r="AP209" s="246"/>
      <c r="AQ209" s="246"/>
      <c r="AR209" s="246"/>
      <c r="AS209" s="246"/>
      <c r="AT209" s="246"/>
      <c r="AU209" s="246"/>
      <c r="AV209" s="246"/>
      <c r="AW209" s="246"/>
      <c r="AX209" s="246"/>
      <c r="AY209" s="246"/>
      <c r="AZ209" s="246"/>
      <c r="BA209" s="246"/>
      <c r="BB209" s="246"/>
      <c r="BC209" s="246"/>
      <c r="BD209" s="246"/>
      <c r="BE209" s="246"/>
      <c r="BF209" s="246"/>
      <c r="BG209" s="246"/>
      <c r="BH209" s="246"/>
      <c r="BI209" s="246"/>
      <c r="BJ209" s="246"/>
      <c r="BK209" s="246"/>
      <c r="BL209" s="246"/>
    </row>
    <row r="210" ht="15.75" customHeight="1">
      <c r="A210" s="246"/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6"/>
      <c r="AG210" s="246"/>
      <c r="AH210" s="246"/>
      <c r="AI210" s="246"/>
      <c r="AJ210" s="246"/>
      <c r="AK210" s="246"/>
      <c r="AL210" s="246"/>
      <c r="AM210" s="246"/>
      <c r="AN210" s="246"/>
      <c r="AO210" s="246"/>
      <c r="AP210" s="246"/>
      <c r="AQ210" s="246"/>
      <c r="AR210" s="246"/>
      <c r="AS210" s="246"/>
      <c r="AT210" s="246"/>
      <c r="AU210" s="246"/>
      <c r="AV210" s="246"/>
      <c r="AW210" s="246"/>
      <c r="AX210" s="246"/>
      <c r="AY210" s="246"/>
      <c r="AZ210" s="246"/>
      <c r="BA210" s="246"/>
      <c r="BB210" s="246"/>
      <c r="BC210" s="246"/>
      <c r="BD210" s="246"/>
      <c r="BE210" s="246"/>
      <c r="BF210" s="246"/>
      <c r="BG210" s="246"/>
      <c r="BH210" s="246"/>
      <c r="BI210" s="246"/>
      <c r="BJ210" s="246"/>
      <c r="BK210" s="246"/>
      <c r="BL210" s="246"/>
    </row>
    <row r="211" ht="15.75" customHeight="1">
      <c r="A211" s="246"/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6"/>
      <c r="AG211" s="246"/>
      <c r="AH211" s="246"/>
      <c r="AI211" s="246"/>
      <c r="AJ211" s="246"/>
      <c r="AK211" s="246"/>
      <c r="AL211" s="246"/>
      <c r="AM211" s="246"/>
      <c r="AN211" s="246"/>
      <c r="AO211" s="246"/>
      <c r="AP211" s="246"/>
      <c r="AQ211" s="246"/>
      <c r="AR211" s="246"/>
      <c r="AS211" s="246"/>
      <c r="AT211" s="246"/>
      <c r="AU211" s="246"/>
      <c r="AV211" s="246"/>
      <c r="AW211" s="246"/>
      <c r="AX211" s="246"/>
      <c r="AY211" s="246"/>
      <c r="AZ211" s="246"/>
      <c r="BA211" s="246"/>
      <c r="BB211" s="246"/>
      <c r="BC211" s="246"/>
      <c r="BD211" s="246"/>
      <c r="BE211" s="246"/>
      <c r="BF211" s="246"/>
      <c r="BG211" s="246"/>
      <c r="BH211" s="246"/>
      <c r="BI211" s="246"/>
      <c r="BJ211" s="246"/>
      <c r="BK211" s="246"/>
      <c r="BL211" s="246"/>
    </row>
    <row r="212" ht="15.75" customHeight="1">
      <c r="A212" s="246"/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  <c r="AF212" s="246"/>
      <c r="AG212" s="246"/>
      <c r="AH212" s="246"/>
      <c r="AI212" s="246"/>
      <c r="AJ212" s="246"/>
      <c r="AK212" s="246"/>
      <c r="AL212" s="246"/>
      <c r="AM212" s="246"/>
      <c r="AN212" s="246"/>
      <c r="AO212" s="246"/>
      <c r="AP212" s="246"/>
      <c r="AQ212" s="246"/>
      <c r="AR212" s="246"/>
      <c r="AS212" s="246"/>
      <c r="AT212" s="246"/>
      <c r="AU212" s="246"/>
      <c r="AV212" s="246"/>
      <c r="AW212" s="246"/>
      <c r="AX212" s="246"/>
      <c r="AY212" s="246"/>
      <c r="AZ212" s="246"/>
      <c r="BA212" s="246"/>
      <c r="BB212" s="246"/>
      <c r="BC212" s="246"/>
      <c r="BD212" s="246"/>
      <c r="BE212" s="246"/>
      <c r="BF212" s="246"/>
      <c r="BG212" s="246"/>
      <c r="BH212" s="246"/>
      <c r="BI212" s="246"/>
      <c r="BJ212" s="246"/>
      <c r="BK212" s="246"/>
      <c r="BL212" s="246"/>
    </row>
    <row r="213" ht="15.75" customHeight="1">
      <c r="A213" s="246"/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  <c r="AF213" s="246"/>
      <c r="AG213" s="246"/>
      <c r="AH213" s="246"/>
      <c r="AI213" s="246"/>
      <c r="AJ213" s="246"/>
      <c r="AK213" s="246"/>
      <c r="AL213" s="246"/>
      <c r="AM213" s="246"/>
      <c r="AN213" s="246"/>
      <c r="AO213" s="246"/>
      <c r="AP213" s="246"/>
      <c r="AQ213" s="246"/>
      <c r="AR213" s="246"/>
      <c r="AS213" s="246"/>
      <c r="AT213" s="246"/>
      <c r="AU213" s="246"/>
      <c r="AV213" s="246"/>
      <c r="AW213" s="246"/>
      <c r="AX213" s="246"/>
      <c r="AY213" s="246"/>
      <c r="AZ213" s="246"/>
      <c r="BA213" s="246"/>
      <c r="BB213" s="246"/>
      <c r="BC213" s="246"/>
      <c r="BD213" s="246"/>
      <c r="BE213" s="246"/>
      <c r="BF213" s="246"/>
      <c r="BG213" s="246"/>
      <c r="BH213" s="246"/>
      <c r="BI213" s="246"/>
      <c r="BJ213" s="246"/>
      <c r="BK213" s="246"/>
      <c r="BL213" s="246"/>
    </row>
    <row r="214" ht="15.75" customHeight="1">
      <c r="A214" s="246"/>
      <c r="B214" s="246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  <c r="AD214" s="246"/>
      <c r="AE214" s="246"/>
      <c r="AF214" s="246"/>
      <c r="AG214" s="246"/>
      <c r="AH214" s="246"/>
      <c r="AI214" s="246"/>
      <c r="AJ214" s="246"/>
      <c r="AK214" s="246"/>
      <c r="AL214" s="246"/>
      <c r="AM214" s="246"/>
      <c r="AN214" s="246"/>
      <c r="AO214" s="246"/>
      <c r="AP214" s="246"/>
      <c r="AQ214" s="246"/>
      <c r="AR214" s="246"/>
      <c r="AS214" s="246"/>
      <c r="AT214" s="246"/>
      <c r="AU214" s="246"/>
      <c r="AV214" s="246"/>
      <c r="AW214" s="246"/>
      <c r="AX214" s="246"/>
      <c r="AY214" s="246"/>
      <c r="AZ214" s="246"/>
      <c r="BA214" s="246"/>
      <c r="BB214" s="246"/>
      <c r="BC214" s="246"/>
      <c r="BD214" s="246"/>
      <c r="BE214" s="246"/>
      <c r="BF214" s="246"/>
      <c r="BG214" s="246"/>
      <c r="BH214" s="246"/>
      <c r="BI214" s="246"/>
      <c r="BJ214" s="246"/>
      <c r="BK214" s="246"/>
      <c r="BL214" s="246"/>
    </row>
    <row r="215" ht="15.75" customHeight="1">
      <c r="A215" s="246"/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  <c r="AF215" s="246"/>
      <c r="AG215" s="246"/>
      <c r="AH215" s="246"/>
      <c r="AI215" s="246"/>
      <c r="AJ215" s="246"/>
      <c r="AK215" s="246"/>
      <c r="AL215" s="246"/>
      <c r="AM215" s="246"/>
      <c r="AN215" s="246"/>
      <c r="AO215" s="246"/>
      <c r="AP215" s="246"/>
      <c r="AQ215" s="246"/>
      <c r="AR215" s="246"/>
      <c r="AS215" s="246"/>
      <c r="AT215" s="246"/>
      <c r="AU215" s="246"/>
      <c r="AV215" s="246"/>
      <c r="AW215" s="246"/>
      <c r="AX215" s="246"/>
      <c r="AY215" s="246"/>
      <c r="AZ215" s="246"/>
      <c r="BA215" s="246"/>
      <c r="BB215" s="246"/>
      <c r="BC215" s="246"/>
      <c r="BD215" s="246"/>
      <c r="BE215" s="246"/>
      <c r="BF215" s="246"/>
      <c r="BG215" s="246"/>
      <c r="BH215" s="246"/>
      <c r="BI215" s="246"/>
      <c r="BJ215" s="246"/>
      <c r="BK215" s="246"/>
      <c r="BL215" s="246"/>
    </row>
    <row r="216" ht="15.75" customHeight="1">
      <c r="A216" s="246"/>
      <c r="B216" s="246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  <c r="AD216" s="246"/>
      <c r="AE216" s="246"/>
      <c r="AF216" s="246"/>
      <c r="AG216" s="246"/>
      <c r="AH216" s="246"/>
      <c r="AI216" s="246"/>
      <c r="AJ216" s="246"/>
      <c r="AK216" s="246"/>
      <c r="AL216" s="246"/>
      <c r="AM216" s="246"/>
      <c r="AN216" s="246"/>
      <c r="AO216" s="246"/>
      <c r="AP216" s="246"/>
      <c r="AQ216" s="246"/>
      <c r="AR216" s="246"/>
      <c r="AS216" s="246"/>
      <c r="AT216" s="246"/>
      <c r="AU216" s="246"/>
      <c r="AV216" s="246"/>
      <c r="AW216" s="246"/>
      <c r="AX216" s="246"/>
      <c r="AY216" s="246"/>
      <c r="AZ216" s="246"/>
      <c r="BA216" s="246"/>
      <c r="BB216" s="246"/>
      <c r="BC216" s="246"/>
      <c r="BD216" s="246"/>
      <c r="BE216" s="246"/>
      <c r="BF216" s="246"/>
      <c r="BG216" s="246"/>
      <c r="BH216" s="246"/>
      <c r="BI216" s="246"/>
      <c r="BJ216" s="246"/>
      <c r="BK216" s="246"/>
      <c r="BL216" s="246"/>
    </row>
    <row r="217" ht="15.75" customHeight="1">
      <c r="A217" s="246"/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  <c r="AF217" s="246"/>
      <c r="AG217" s="246"/>
      <c r="AH217" s="246"/>
      <c r="AI217" s="246"/>
      <c r="AJ217" s="246"/>
      <c r="AK217" s="246"/>
      <c r="AL217" s="246"/>
      <c r="AM217" s="246"/>
      <c r="AN217" s="246"/>
      <c r="AO217" s="246"/>
      <c r="AP217" s="246"/>
      <c r="AQ217" s="246"/>
      <c r="AR217" s="246"/>
      <c r="AS217" s="246"/>
      <c r="AT217" s="246"/>
      <c r="AU217" s="246"/>
      <c r="AV217" s="246"/>
      <c r="AW217" s="246"/>
      <c r="AX217" s="246"/>
      <c r="AY217" s="246"/>
      <c r="AZ217" s="246"/>
      <c r="BA217" s="246"/>
      <c r="BB217" s="246"/>
      <c r="BC217" s="246"/>
      <c r="BD217" s="246"/>
      <c r="BE217" s="246"/>
      <c r="BF217" s="246"/>
      <c r="BG217" s="246"/>
      <c r="BH217" s="246"/>
      <c r="BI217" s="246"/>
      <c r="BJ217" s="246"/>
      <c r="BK217" s="246"/>
      <c r="BL217" s="246"/>
    </row>
    <row r="218" ht="15.75" customHeight="1">
      <c r="A218" s="246"/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  <c r="AD218" s="246"/>
      <c r="AE218" s="246"/>
      <c r="AF218" s="246"/>
      <c r="AG218" s="246"/>
      <c r="AH218" s="246"/>
      <c r="AI218" s="246"/>
      <c r="AJ218" s="246"/>
      <c r="AK218" s="246"/>
      <c r="AL218" s="246"/>
      <c r="AM218" s="246"/>
      <c r="AN218" s="246"/>
      <c r="AO218" s="246"/>
      <c r="AP218" s="246"/>
      <c r="AQ218" s="246"/>
      <c r="AR218" s="246"/>
      <c r="AS218" s="246"/>
      <c r="AT218" s="246"/>
      <c r="AU218" s="246"/>
      <c r="AV218" s="246"/>
      <c r="AW218" s="246"/>
      <c r="AX218" s="246"/>
      <c r="AY218" s="246"/>
      <c r="AZ218" s="246"/>
      <c r="BA218" s="246"/>
      <c r="BB218" s="246"/>
      <c r="BC218" s="246"/>
      <c r="BD218" s="246"/>
      <c r="BE218" s="246"/>
      <c r="BF218" s="246"/>
      <c r="BG218" s="246"/>
      <c r="BH218" s="246"/>
      <c r="BI218" s="246"/>
      <c r="BJ218" s="246"/>
      <c r="BK218" s="246"/>
      <c r="BL218" s="246"/>
    </row>
    <row r="219" ht="15.75" customHeight="1">
      <c r="A219" s="246"/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  <c r="AF219" s="246"/>
      <c r="AG219" s="246"/>
      <c r="AH219" s="246"/>
      <c r="AI219" s="246"/>
      <c r="AJ219" s="246"/>
      <c r="AK219" s="246"/>
      <c r="AL219" s="246"/>
      <c r="AM219" s="246"/>
      <c r="AN219" s="246"/>
      <c r="AO219" s="246"/>
      <c r="AP219" s="246"/>
      <c r="AQ219" s="246"/>
      <c r="AR219" s="246"/>
      <c r="AS219" s="246"/>
      <c r="AT219" s="246"/>
      <c r="AU219" s="246"/>
      <c r="AV219" s="246"/>
      <c r="AW219" s="246"/>
      <c r="AX219" s="246"/>
      <c r="AY219" s="246"/>
      <c r="AZ219" s="246"/>
      <c r="BA219" s="246"/>
      <c r="BB219" s="246"/>
      <c r="BC219" s="246"/>
      <c r="BD219" s="246"/>
      <c r="BE219" s="246"/>
      <c r="BF219" s="246"/>
      <c r="BG219" s="246"/>
      <c r="BH219" s="246"/>
      <c r="BI219" s="246"/>
      <c r="BJ219" s="246"/>
      <c r="BK219" s="246"/>
      <c r="BL219" s="246"/>
    </row>
    <row r="220" ht="15.75" customHeight="1">
      <c r="A220" s="246"/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  <c r="AF220" s="246"/>
      <c r="AG220" s="246"/>
      <c r="AH220" s="246"/>
      <c r="AI220" s="246"/>
      <c r="AJ220" s="246"/>
      <c r="AK220" s="246"/>
      <c r="AL220" s="246"/>
      <c r="AM220" s="246"/>
      <c r="AN220" s="246"/>
      <c r="AO220" s="246"/>
      <c r="AP220" s="246"/>
      <c r="AQ220" s="246"/>
      <c r="AR220" s="246"/>
      <c r="AS220" s="246"/>
      <c r="AT220" s="246"/>
      <c r="AU220" s="246"/>
      <c r="AV220" s="246"/>
      <c r="AW220" s="246"/>
      <c r="AX220" s="246"/>
      <c r="AY220" s="246"/>
      <c r="AZ220" s="246"/>
      <c r="BA220" s="246"/>
      <c r="BB220" s="246"/>
      <c r="BC220" s="246"/>
      <c r="BD220" s="246"/>
      <c r="BE220" s="246"/>
      <c r="BF220" s="246"/>
      <c r="BG220" s="246"/>
      <c r="BH220" s="246"/>
      <c r="BI220" s="246"/>
      <c r="BJ220" s="246"/>
      <c r="BK220" s="246"/>
      <c r="BL220" s="246"/>
    </row>
    <row r="221" ht="15.75" customHeight="1">
      <c r="A221" s="246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  <c r="AF221" s="246"/>
      <c r="AG221" s="246"/>
      <c r="AH221" s="246"/>
      <c r="AI221" s="246"/>
      <c r="AJ221" s="246"/>
      <c r="AK221" s="246"/>
      <c r="AL221" s="246"/>
      <c r="AM221" s="246"/>
      <c r="AN221" s="246"/>
      <c r="AO221" s="246"/>
      <c r="AP221" s="246"/>
      <c r="AQ221" s="246"/>
      <c r="AR221" s="246"/>
      <c r="AS221" s="246"/>
      <c r="AT221" s="246"/>
      <c r="AU221" s="246"/>
      <c r="AV221" s="246"/>
      <c r="AW221" s="246"/>
      <c r="AX221" s="246"/>
      <c r="AY221" s="246"/>
      <c r="AZ221" s="246"/>
      <c r="BA221" s="246"/>
      <c r="BB221" s="246"/>
      <c r="BC221" s="246"/>
      <c r="BD221" s="246"/>
      <c r="BE221" s="246"/>
      <c r="BF221" s="246"/>
      <c r="BG221" s="246"/>
      <c r="BH221" s="246"/>
      <c r="BI221" s="246"/>
      <c r="BJ221" s="246"/>
      <c r="BK221" s="246"/>
      <c r="BL221" s="246"/>
    </row>
    <row r="222" ht="15.75" customHeight="1">
      <c r="A222" s="246"/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  <c r="AF222" s="246"/>
      <c r="AG222" s="246"/>
      <c r="AH222" s="246"/>
      <c r="AI222" s="246"/>
      <c r="AJ222" s="246"/>
      <c r="AK222" s="246"/>
      <c r="AL222" s="246"/>
      <c r="AM222" s="246"/>
      <c r="AN222" s="246"/>
      <c r="AO222" s="246"/>
      <c r="AP222" s="246"/>
      <c r="AQ222" s="246"/>
      <c r="AR222" s="246"/>
      <c r="AS222" s="246"/>
      <c r="AT222" s="246"/>
      <c r="AU222" s="246"/>
      <c r="AV222" s="246"/>
      <c r="AW222" s="246"/>
      <c r="AX222" s="246"/>
      <c r="AY222" s="246"/>
      <c r="AZ222" s="246"/>
      <c r="BA222" s="246"/>
      <c r="BB222" s="246"/>
      <c r="BC222" s="246"/>
      <c r="BD222" s="246"/>
      <c r="BE222" s="246"/>
      <c r="BF222" s="246"/>
      <c r="BG222" s="246"/>
      <c r="BH222" s="246"/>
      <c r="BI222" s="246"/>
      <c r="BJ222" s="246"/>
      <c r="BK222" s="246"/>
      <c r="BL222" s="246"/>
    </row>
    <row r="223" ht="15.75" customHeight="1">
      <c r="A223" s="246"/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  <c r="AF223" s="246"/>
      <c r="AG223" s="246"/>
      <c r="AH223" s="246"/>
      <c r="AI223" s="246"/>
      <c r="AJ223" s="246"/>
      <c r="AK223" s="246"/>
      <c r="AL223" s="246"/>
      <c r="AM223" s="246"/>
      <c r="AN223" s="246"/>
      <c r="AO223" s="246"/>
      <c r="AP223" s="246"/>
      <c r="AQ223" s="246"/>
      <c r="AR223" s="246"/>
      <c r="AS223" s="246"/>
      <c r="AT223" s="246"/>
      <c r="AU223" s="246"/>
      <c r="AV223" s="246"/>
      <c r="AW223" s="246"/>
      <c r="AX223" s="246"/>
      <c r="AY223" s="246"/>
      <c r="AZ223" s="246"/>
      <c r="BA223" s="246"/>
      <c r="BB223" s="246"/>
      <c r="BC223" s="246"/>
      <c r="BD223" s="246"/>
      <c r="BE223" s="246"/>
      <c r="BF223" s="246"/>
      <c r="BG223" s="246"/>
      <c r="BH223" s="246"/>
      <c r="BI223" s="246"/>
      <c r="BJ223" s="246"/>
      <c r="BK223" s="246"/>
      <c r="BL223" s="246"/>
    </row>
    <row r="224" ht="15.75" customHeight="1">
      <c r="A224" s="246"/>
      <c r="B224" s="246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  <c r="AF224" s="246"/>
      <c r="AG224" s="246"/>
      <c r="AH224" s="246"/>
      <c r="AI224" s="246"/>
      <c r="AJ224" s="246"/>
      <c r="AK224" s="246"/>
      <c r="AL224" s="246"/>
      <c r="AM224" s="246"/>
      <c r="AN224" s="246"/>
      <c r="AO224" s="246"/>
      <c r="AP224" s="246"/>
      <c r="AQ224" s="246"/>
      <c r="AR224" s="246"/>
      <c r="AS224" s="246"/>
      <c r="AT224" s="246"/>
      <c r="AU224" s="246"/>
      <c r="AV224" s="246"/>
      <c r="AW224" s="246"/>
      <c r="AX224" s="246"/>
      <c r="AY224" s="246"/>
      <c r="AZ224" s="246"/>
      <c r="BA224" s="246"/>
      <c r="BB224" s="246"/>
      <c r="BC224" s="246"/>
      <c r="BD224" s="246"/>
      <c r="BE224" s="246"/>
      <c r="BF224" s="246"/>
      <c r="BG224" s="246"/>
      <c r="BH224" s="246"/>
      <c r="BI224" s="246"/>
      <c r="BJ224" s="246"/>
      <c r="BK224" s="246"/>
      <c r="BL224" s="246"/>
    </row>
    <row r="225" ht="15.75" customHeight="1">
      <c r="A225" s="246"/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  <c r="AF225" s="246"/>
      <c r="AG225" s="246"/>
      <c r="AH225" s="246"/>
      <c r="AI225" s="246"/>
      <c r="AJ225" s="246"/>
      <c r="AK225" s="246"/>
      <c r="AL225" s="246"/>
      <c r="AM225" s="246"/>
      <c r="AN225" s="246"/>
      <c r="AO225" s="246"/>
      <c r="AP225" s="246"/>
      <c r="AQ225" s="246"/>
      <c r="AR225" s="246"/>
      <c r="AS225" s="246"/>
      <c r="AT225" s="246"/>
      <c r="AU225" s="246"/>
      <c r="AV225" s="246"/>
      <c r="AW225" s="246"/>
      <c r="AX225" s="246"/>
      <c r="AY225" s="246"/>
      <c r="AZ225" s="246"/>
      <c r="BA225" s="246"/>
      <c r="BB225" s="246"/>
      <c r="BC225" s="246"/>
      <c r="BD225" s="246"/>
      <c r="BE225" s="246"/>
      <c r="BF225" s="246"/>
      <c r="BG225" s="246"/>
      <c r="BH225" s="246"/>
      <c r="BI225" s="246"/>
      <c r="BJ225" s="246"/>
      <c r="BK225" s="246"/>
      <c r="BL225" s="246"/>
    </row>
    <row r="226" ht="15.75" customHeight="1">
      <c r="A226" s="246"/>
      <c r="B226" s="246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  <c r="AB226" s="246"/>
      <c r="AC226" s="246"/>
      <c r="AD226" s="246"/>
      <c r="AE226" s="246"/>
      <c r="AF226" s="246"/>
      <c r="AG226" s="246"/>
      <c r="AH226" s="246"/>
      <c r="AI226" s="246"/>
      <c r="AJ226" s="246"/>
      <c r="AK226" s="246"/>
      <c r="AL226" s="246"/>
      <c r="AM226" s="246"/>
      <c r="AN226" s="246"/>
      <c r="AO226" s="246"/>
      <c r="AP226" s="246"/>
      <c r="AQ226" s="246"/>
      <c r="AR226" s="246"/>
      <c r="AS226" s="246"/>
      <c r="AT226" s="246"/>
      <c r="AU226" s="246"/>
      <c r="AV226" s="246"/>
      <c r="AW226" s="246"/>
      <c r="AX226" s="246"/>
      <c r="AY226" s="246"/>
      <c r="AZ226" s="246"/>
      <c r="BA226" s="246"/>
      <c r="BB226" s="246"/>
      <c r="BC226" s="246"/>
      <c r="BD226" s="246"/>
      <c r="BE226" s="246"/>
      <c r="BF226" s="246"/>
      <c r="BG226" s="246"/>
      <c r="BH226" s="246"/>
      <c r="BI226" s="246"/>
      <c r="BJ226" s="246"/>
      <c r="BK226" s="246"/>
      <c r="BL226" s="246"/>
    </row>
    <row r="227" ht="15.75" customHeight="1">
      <c r="A227" s="246"/>
      <c r="B227" s="246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  <c r="AD227" s="246"/>
      <c r="AE227" s="246"/>
      <c r="AF227" s="246"/>
      <c r="AG227" s="246"/>
      <c r="AH227" s="246"/>
      <c r="AI227" s="246"/>
      <c r="AJ227" s="246"/>
      <c r="AK227" s="246"/>
      <c r="AL227" s="246"/>
      <c r="AM227" s="246"/>
      <c r="AN227" s="246"/>
      <c r="AO227" s="246"/>
      <c r="AP227" s="246"/>
      <c r="AQ227" s="246"/>
      <c r="AR227" s="246"/>
      <c r="AS227" s="246"/>
      <c r="AT227" s="246"/>
      <c r="AU227" s="246"/>
      <c r="AV227" s="246"/>
      <c r="AW227" s="246"/>
      <c r="AX227" s="246"/>
      <c r="AY227" s="246"/>
      <c r="AZ227" s="246"/>
      <c r="BA227" s="246"/>
      <c r="BB227" s="246"/>
      <c r="BC227" s="246"/>
      <c r="BD227" s="246"/>
      <c r="BE227" s="246"/>
      <c r="BF227" s="246"/>
      <c r="BG227" s="246"/>
      <c r="BH227" s="246"/>
      <c r="BI227" s="246"/>
      <c r="BJ227" s="246"/>
      <c r="BK227" s="246"/>
      <c r="BL227" s="246"/>
    </row>
    <row r="228" ht="15.75" customHeight="1">
      <c r="A228" s="246"/>
      <c r="B228" s="246"/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  <c r="AF228" s="246"/>
      <c r="AG228" s="246"/>
      <c r="AH228" s="246"/>
      <c r="AI228" s="246"/>
      <c r="AJ228" s="246"/>
      <c r="AK228" s="246"/>
      <c r="AL228" s="246"/>
      <c r="AM228" s="246"/>
      <c r="AN228" s="246"/>
      <c r="AO228" s="246"/>
      <c r="AP228" s="246"/>
      <c r="AQ228" s="246"/>
      <c r="AR228" s="246"/>
      <c r="AS228" s="246"/>
      <c r="AT228" s="246"/>
      <c r="AU228" s="246"/>
      <c r="AV228" s="246"/>
      <c r="AW228" s="246"/>
      <c r="AX228" s="246"/>
      <c r="AY228" s="246"/>
      <c r="AZ228" s="246"/>
      <c r="BA228" s="246"/>
      <c r="BB228" s="246"/>
      <c r="BC228" s="246"/>
      <c r="BD228" s="246"/>
      <c r="BE228" s="246"/>
      <c r="BF228" s="246"/>
      <c r="BG228" s="246"/>
      <c r="BH228" s="246"/>
      <c r="BI228" s="246"/>
      <c r="BJ228" s="246"/>
      <c r="BK228" s="246"/>
      <c r="BL228" s="246"/>
    </row>
    <row r="229" ht="15.75" customHeight="1">
      <c r="A229" s="246"/>
      <c r="B229" s="246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  <c r="AF229" s="246"/>
      <c r="AG229" s="246"/>
      <c r="AH229" s="246"/>
      <c r="AI229" s="246"/>
      <c r="AJ229" s="246"/>
      <c r="AK229" s="246"/>
      <c r="AL229" s="246"/>
      <c r="AM229" s="246"/>
      <c r="AN229" s="246"/>
      <c r="AO229" s="246"/>
      <c r="AP229" s="246"/>
      <c r="AQ229" s="246"/>
      <c r="AR229" s="246"/>
      <c r="AS229" s="246"/>
      <c r="AT229" s="246"/>
      <c r="AU229" s="246"/>
      <c r="AV229" s="246"/>
      <c r="AW229" s="246"/>
      <c r="AX229" s="246"/>
      <c r="AY229" s="246"/>
      <c r="AZ229" s="246"/>
      <c r="BA229" s="246"/>
      <c r="BB229" s="246"/>
      <c r="BC229" s="246"/>
      <c r="BD229" s="246"/>
      <c r="BE229" s="246"/>
      <c r="BF229" s="246"/>
      <c r="BG229" s="246"/>
      <c r="BH229" s="246"/>
      <c r="BI229" s="246"/>
      <c r="BJ229" s="246"/>
      <c r="BK229" s="246"/>
      <c r="BL229" s="246"/>
    </row>
    <row r="230" ht="15.75" customHeight="1">
      <c r="A230" s="246"/>
      <c r="B230" s="246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  <c r="AB230" s="246"/>
      <c r="AC230" s="246"/>
      <c r="AD230" s="246"/>
      <c r="AE230" s="246"/>
      <c r="AF230" s="246"/>
      <c r="AG230" s="246"/>
      <c r="AH230" s="246"/>
      <c r="AI230" s="246"/>
      <c r="AJ230" s="246"/>
      <c r="AK230" s="246"/>
      <c r="AL230" s="246"/>
      <c r="AM230" s="246"/>
      <c r="AN230" s="246"/>
      <c r="AO230" s="246"/>
      <c r="AP230" s="246"/>
      <c r="AQ230" s="246"/>
      <c r="AR230" s="246"/>
      <c r="AS230" s="246"/>
      <c r="AT230" s="246"/>
      <c r="AU230" s="246"/>
      <c r="AV230" s="246"/>
      <c r="AW230" s="246"/>
      <c r="AX230" s="246"/>
      <c r="AY230" s="246"/>
      <c r="AZ230" s="246"/>
      <c r="BA230" s="246"/>
      <c r="BB230" s="246"/>
      <c r="BC230" s="246"/>
      <c r="BD230" s="246"/>
      <c r="BE230" s="246"/>
      <c r="BF230" s="246"/>
      <c r="BG230" s="246"/>
      <c r="BH230" s="246"/>
      <c r="BI230" s="246"/>
      <c r="BJ230" s="246"/>
      <c r="BK230" s="246"/>
      <c r="BL230" s="246"/>
    </row>
    <row r="231" ht="15.75" customHeight="1">
      <c r="A231" s="246"/>
      <c r="B231" s="246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  <c r="AD231" s="246"/>
      <c r="AE231" s="246"/>
      <c r="AF231" s="246"/>
      <c r="AG231" s="246"/>
      <c r="AH231" s="246"/>
      <c r="AI231" s="246"/>
      <c r="AJ231" s="246"/>
      <c r="AK231" s="246"/>
      <c r="AL231" s="246"/>
      <c r="AM231" s="246"/>
      <c r="AN231" s="246"/>
      <c r="AO231" s="246"/>
      <c r="AP231" s="246"/>
      <c r="AQ231" s="246"/>
      <c r="AR231" s="246"/>
      <c r="AS231" s="246"/>
      <c r="AT231" s="246"/>
      <c r="AU231" s="246"/>
      <c r="AV231" s="246"/>
      <c r="AW231" s="246"/>
      <c r="AX231" s="246"/>
      <c r="AY231" s="246"/>
      <c r="AZ231" s="246"/>
      <c r="BA231" s="246"/>
      <c r="BB231" s="246"/>
      <c r="BC231" s="246"/>
      <c r="BD231" s="246"/>
      <c r="BE231" s="246"/>
      <c r="BF231" s="246"/>
      <c r="BG231" s="246"/>
      <c r="BH231" s="246"/>
      <c r="BI231" s="246"/>
      <c r="BJ231" s="246"/>
      <c r="BK231" s="246"/>
      <c r="BL231" s="246"/>
    </row>
    <row r="232" ht="15.75" customHeight="1">
      <c r="A232" s="246"/>
      <c r="B232" s="246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  <c r="AF232" s="246"/>
      <c r="AG232" s="246"/>
      <c r="AH232" s="246"/>
      <c r="AI232" s="246"/>
      <c r="AJ232" s="246"/>
      <c r="AK232" s="246"/>
      <c r="AL232" s="246"/>
      <c r="AM232" s="246"/>
      <c r="AN232" s="246"/>
      <c r="AO232" s="246"/>
      <c r="AP232" s="246"/>
      <c r="AQ232" s="246"/>
      <c r="AR232" s="246"/>
      <c r="AS232" s="246"/>
      <c r="AT232" s="246"/>
      <c r="AU232" s="246"/>
      <c r="AV232" s="246"/>
      <c r="AW232" s="246"/>
      <c r="AX232" s="246"/>
      <c r="AY232" s="246"/>
      <c r="AZ232" s="246"/>
      <c r="BA232" s="246"/>
      <c r="BB232" s="246"/>
      <c r="BC232" s="246"/>
      <c r="BD232" s="246"/>
      <c r="BE232" s="246"/>
      <c r="BF232" s="246"/>
      <c r="BG232" s="246"/>
      <c r="BH232" s="246"/>
      <c r="BI232" s="246"/>
      <c r="BJ232" s="246"/>
      <c r="BK232" s="246"/>
      <c r="BL232" s="246"/>
    </row>
    <row r="233" ht="15.75" customHeight="1">
      <c r="A233" s="246"/>
      <c r="B233" s="246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  <c r="AD233" s="246"/>
      <c r="AE233" s="246"/>
      <c r="AF233" s="246"/>
      <c r="AG233" s="246"/>
      <c r="AH233" s="246"/>
      <c r="AI233" s="246"/>
      <c r="AJ233" s="246"/>
      <c r="AK233" s="246"/>
      <c r="AL233" s="246"/>
      <c r="AM233" s="246"/>
      <c r="AN233" s="246"/>
      <c r="AO233" s="246"/>
      <c r="AP233" s="246"/>
      <c r="AQ233" s="246"/>
      <c r="AR233" s="246"/>
      <c r="AS233" s="246"/>
      <c r="AT233" s="246"/>
      <c r="AU233" s="246"/>
      <c r="AV233" s="246"/>
      <c r="AW233" s="246"/>
      <c r="AX233" s="246"/>
      <c r="AY233" s="246"/>
      <c r="AZ233" s="246"/>
      <c r="BA233" s="246"/>
      <c r="BB233" s="246"/>
      <c r="BC233" s="246"/>
      <c r="BD233" s="246"/>
      <c r="BE233" s="246"/>
      <c r="BF233" s="246"/>
      <c r="BG233" s="246"/>
      <c r="BH233" s="246"/>
      <c r="BI233" s="246"/>
      <c r="BJ233" s="246"/>
      <c r="BK233" s="246"/>
      <c r="BL233" s="246"/>
    </row>
    <row r="234" ht="15.75" customHeight="1">
      <c r="A234" s="246"/>
      <c r="B234" s="246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  <c r="AB234" s="246"/>
      <c r="AC234" s="246"/>
      <c r="AD234" s="246"/>
      <c r="AE234" s="246"/>
      <c r="AF234" s="246"/>
      <c r="AG234" s="246"/>
      <c r="AH234" s="246"/>
      <c r="AI234" s="246"/>
      <c r="AJ234" s="246"/>
      <c r="AK234" s="246"/>
      <c r="AL234" s="246"/>
      <c r="AM234" s="246"/>
      <c r="AN234" s="246"/>
      <c r="AO234" s="246"/>
      <c r="AP234" s="246"/>
      <c r="AQ234" s="246"/>
      <c r="AR234" s="246"/>
      <c r="AS234" s="246"/>
      <c r="AT234" s="246"/>
      <c r="AU234" s="246"/>
      <c r="AV234" s="246"/>
      <c r="AW234" s="246"/>
      <c r="AX234" s="246"/>
      <c r="AY234" s="246"/>
      <c r="AZ234" s="246"/>
      <c r="BA234" s="246"/>
      <c r="BB234" s="246"/>
      <c r="BC234" s="246"/>
      <c r="BD234" s="246"/>
      <c r="BE234" s="246"/>
      <c r="BF234" s="246"/>
      <c r="BG234" s="246"/>
      <c r="BH234" s="246"/>
      <c r="BI234" s="246"/>
      <c r="BJ234" s="246"/>
      <c r="BK234" s="246"/>
      <c r="BL234" s="246"/>
    </row>
    <row r="235" ht="15.75" customHeight="1">
      <c r="A235" s="246"/>
      <c r="B235" s="246"/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  <c r="AB235" s="246"/>
      <c r="AC235" s="246"/>
      <c r="AD235" s="246"/>
      <c r="AE235" s="246"/>
      <c r="AF235" s="246"/>
      <c r="AG235" s="246"/>
      <c r="AH235" s="246"/>
      <c r="AI235" s="246"/>
      <c r="AJ235" s="246"/>
      <c r="AK235" s="246"/>
      <c r="AL235" s="246"/>
      <c r="AM235" s="246"/>
      <c r="AN235" s="246"/>
      <c r="AO235" s="246"/>
      <c r="AP235" s="246"/>
      <c r="AQ235" s="246"/>
      <c r="AR235" s="246"/>
      <c r="AS235" s="246"/>
      <c r="AT235" s="246"/>
      <c r="AU235" s="246"/>
      <c r="AV235" s="246"/>
      <c r="AW235" s="246"/>
      <c r="AX235" s="246"/>
      <c r="AY235" s="246"/>
      <c r="AZ235" s="246"/>
      <c r="BA235" s="246"/>
      <c r="BB235" s="246"/>
      <c r="BC235" s="246"/>
      <c r="BD235" s="246"/>
      <c r="BE235" s="246"/>
      <c r="BF235" s="246"/>
      <c r="BG235" s="246"/>
      <c r="BH235" s="246"/>
      <c r="BI235" s="246"/>
      <c r="BJ235" s="246"/>
      <c r="BK235" s="246"/>
      <c r="BL235" s="246"/>
    </row>
    <row r="236" ht="15.75" customHeight="1">
      <c r="A236" s="246"/>
      <c r="B236" s="246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  <c r="AB236" s="246"/>
      <c r="AC236" s="246"/>
      <c r="AD236" s="246"/>
      <c r="AE236" s="246"/>
      <c r="AF236" s="246"/>
      <c r="AG236" s="246"/>
      <c r="AH236" s="246"/>
      <c r="AI236" s="246"/>
      <c r="AJ236" s="246"/>
      <c r="AK236" s="246"/>
      <c r="AL236" s="246"/>
      <c r="AM236" s="246"/>
      <c r="AN236" s="246"/>
      <c r="AO236" s="246"/>
      <c r="AP236" s="246"/>
      <c r="AQ236" s="246"/>
      <c r="AR236" s="246"/>
      <c r="AS236" s="246"/>
      <c r="AT236" s="246"/>
      <c r="AU236" s="246"/>
      <c r="AV236" s="246"/>
      <c r="AW236" s="246"/>
      <c r="AX236" s="246"/>
      <c r="AY236" s="246"/>
      <c r="AZ236" s="246"/>
      <c r="BA236" s="246"/>
      <c r="BB236" s="246"/>
      <c r="BC236" s="246"/>
      <c r="BD236" s="246"/>
      <c r="BE236" s="246"/>
      <c r="BF236" s="246"/>
      <c r="BG236" s="246"/>
      <c r="BH236" s="246"/>
      <c r="BI236" s="246"/>
      <c r="BJ236" s="246"/>
      <c r="BK236" s="246"/>
      <c r="BL236" s="246"/>
    </row>
    <row r="237" ht="15.75" customHeight="1">
      <c r="A237" s="246"/>
      <c r="B237" s="246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  <c r="AB237" s="246"/>
      <c r="AC237" s="246"/>
      <c r="AD237" s="246"/>
      <c r="AE237" s="246"/>
      <c r="AF237" s="246"/>
      <c r="AG237" s="246"/>
      <c r="AH237" s="246"/>
      <c r="AI237" s="246"/>
      <c r="AJ237" s="246"/>
      <c r="AK237" s="246"/>
      <c r="AL237" s="246"/>
      <c r="AM237" s="246"/>
      <c r="AN237" s="246"/>
      <c r="AO237" s="246"/>
      <c r="AP237" s="246"/>
      <c r="AQ237" s="246"/>
      <c r="AR237" s="246"/>
      <c r="AS237" s="246"/>
      <c r="AT237" s="246"/>
      <c r="AU237" s="246"/>
      <c r="AV237" s="246"/>
      <c r="AW237" s="246"/>
      <c r="AX237" s="246"/>
      <c r="AY237" s="246"/>
      <c r="AZ237" s="246"/>
      <c r="BA237" s="246"/>
      <c r="BB237" s="246"/>
      <c r="BC237" s="246"/>
      <c r="BD237" s="246"/>
      <c r="BE237" s="246"/>
      <c r="BF237" s="246"/>
      <c r="BG237" s="246"/>
      <c r="BH237" s="246"/>
      <c r="BI237" s="246"/>
      <c r="BJ237" s="246"/>
      <c r="BK237" s="246"/>
      <c r="BL237" s="246"/>
    </row>
    <row r="238" ht="15.75" customHeight="1">
      <c r="A238" s="246"/>
      <c r="B238" s="246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  <c r="AB238" s="246"/>
      <c r="AC238" s="246"/>
      <c r="AD238" s="246"/>
      <c r="AE238" s="246"/>
      <c r="AF238" s="246"/>
      <c r="AG238" s="246"/>
      <c r="AH238" s="246"/>
      <c r="AI238" s="246"/>
      <c r="AJ238" s="246"/>
      <c r="AK238" s="246"/>
      <c r="AL238" s="246"/>
      <c r="AM238" s="246"/>
      <c r="AN238" s="246"/>
      <c r="AO238" s="246"/>
      <c r="AP238" s="246"/>
      <c r="AQ238" s="246"/>
      <c r="AR238" s="246"/>
      <c r="AS238" s="246"/>
      <c r="AT238" s="246"/>
      <c r="AU238" s="246"/>
      <c r="AV238" s="246"/>
      <c r="AW238" s="246"/>
      <c r="AX238" s="246"/>
      <c r="AY238" s="246"/>
      <c r="AZ238" s="246"/>
      <c r="BA238" s="246"/>
      <c r="BB238" s="246"/>
      <c r="BC238" s="246"/>
      <c r="BD238" s="246"/>
      <c r="BE238" s="246"/>
      <c r="BF238" s="246"/>
      <c r="BG238" s="246"/>
      <c r="BH238" s="246"/>
      <c r="BI238" s="246"/>
      <c r="BJ238" s="246"/>
      <c r="BK238" s="246"/>
      <c r="BL238" s="246"/>
    </row>
    <row r="239" ht="15.75" customHeight="1">
      <c r="A239" s="246"/>
      <c r="B239" s="246"/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  <c r="AB239" s="246"/>
      <c r="AC239" s="246"/>
      <c r="AD239" s="246"/>
      <c r="AE239" s="246"/>
      <c r="AF239" s="246"/>
      <c r="AG239" s="246"/>
      <c r="AH239" s="246"/>
      <c r="AI239" s="246"/>
      <c r="AJ239" s="246"/>
      <c r="AK239" s="246"/>
      <c r="AL239" s="246"/>
      <c r="AM239" s="246"/>
      <c r="AN239" s="246"/>
      <c r="AO239" s="246"/>
      <c r="AP239" s="246"/>
      <c r="AQ239" s="246"/>
      <c r="AR239" s="246"/>
      <c r="AS239" s="246"/>
      <c r="AT239" s="246"/>
      <c r="AU239" s="246"/>
      <c r="AV239" s="246"/>
      <c r="AW239" s="246"/>
      <c r="AX239" s="246"/>
      <c r="AY239" s="246"/>
      <c r="AZ239" s="246"/>
      <c r="BA239" s="246"/>
      <c r="BB239" s="246"/>
      <c r="BC239" s="246"/>
      <c r="BD239" s="246"/>
      <c r="BE239" s="246"/>
      <c r="BF239" s="246"/>
      <c r="BG239" s="246"/>
      <c r="BH239" s="246"/>
      <c r="BI239" s="246"/>
      <c r="BJ239" s="246"/>
      <c r="BK239" s="246"/>
      <c r="BL239" s="246"/>
    </row>
    <row r="240" ht="15.75" customHeight="1">
      <c r="A240" s="246"/>
      <c r="B240" s="246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  <c r="AB240" s="246"/>
      <c r="AC240" s="246"/>
      <c r="AD240" s="246"/>
      <c r="AE240" s="246"/>
      <c r="AF240" s="246"/>
      <c r="AG240" s="246"/>
      <c r="AH240" s="246"/>
      <c r="AI240" s="246"/>
      <c r="AJ240" s="246"/>
      <c r="AK240" s="246"/>
      <c r="AL240" s="246"/>
      <c r="AM240" s="246"/>
      <c r="AN240" s="246"/>
      <c r="AO240" s="246"/>
      <c r="AP240" s="246"/>
      <c r="AQ240" s="246"/>
      <c r="AR240" s="246"/>
      <c r="AS240" s="246"/>
      <c r="AT240" s="246"/>
      <c r="AU240" s="246"/>
      <c r="AV240" s="246"/>
      <c r="AW240" s="246"/>
      <c r="AX240" s="246"/>
      <c r="AY240" s="246"/>
      <c r="AZ240" s="246"/>
      <c r="BA240" s="246"/>
      <c r="BB240" s="246"/>
      <c r="BC240" s="246"/>
      <c r="BD240" s="246"/>
      <c r="BE240" s="246"/>
      <c r="BF240" s="246"/>
      <c r="BG240" s="246"/>
      <c r="BH240" s="246"/>
      <c r="BI240" s="246"/>
      <c r="BJ240" s="246"/>
      <c r="BK240" s="246"/>
      <c r="BL240" s="246"/>
    </row>
    <row r="241" ht="15.75" customHeight="1">
      <c r="A241" s="246"/>
      <c r="B241" s="246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  <c r="AB241" s="246"/>
      <c r="AC241" s="246"/>
      <c r="AD241" s="246"/>
      <c r="AE241" s="246"/>
      <c r="AF241" s="246"/>
      <c r="AG241" s="246"/>
      <c r="AH241" s="246"/>
      <c r="AI241" s="246"/>
      <c r="AJ241" s="246"/>
      <c r="AK241" s="246"/>
      <c r="AL241" s="246"/>
      <c r="AM241" s="246"/>
      <c r="AN241" s="246"/>
      <c r="AO241" s="246"/>
      <c r="AP241" s="246"/>
      <c r="AQ241" s="246"/>
      <c r="AR241" s="246"/>
      <c r="AS241" s="246"/>
      <c r="AT241" s="246"/>
      <c r="AU241" s="246"/>
      <c r="AV241" s="246"/>
      <c r="AW241" s="246"/>
      <c r="AX241" s="246"/>
      <c r="AY241" s="246"/>
      <c r="AZ241" s="246"/>
      <c r="BA241" s="246"/>
      <c r="BB241" s="246"/>
      <c r="BC241" s="246"/>
      <c r="BD241" s="246"/>
      <c r="BE241" s="246"/>
      <c r="BF241" s="246"/>
      <c r="BG241" s="246"/>
      <c r="BH241" s="246"/>
      <c r="BI241" s="246"/>
      <c r="BJ241" s="246"/>
      <c r="BK241" s="246"/>
      <c r="BL241" s="246"/>
    </row>
    <row r="242" ht="15.75" customHeight="1">
      <c r="A242" s="246"/>
      <c r="B242" s="246"/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  <c r="AB242" s="246"/>
      <c r="AC242" s="246"/>
      <c r="AD242" s="246"/>
      <c r="AE242" s="246"/>
      <c r="AF242" s="246"/>
      <c r="AG242" s="246"/>
      <c r="AH242" s="246"/>
      <c r="AI242" s="246"/>
      <c r="AJ242" s="246"/>
      <c r="AK242" s="246"/>
      <c r="AL242" s="246"/>
      <c r="AM242" s="246"/>
      <c r="AN242" s="246"/>
      <c r="AO242" s="246"/>
      <c r="AP242" s="246"/>
      <c r="AQ242" s="246"/>
      <c r="AR242" s="246"/>
      <c r="AS242" s="246"/>
      <c r="AT242" s="246"/>
      <c r="AU242" s="246"/>
      <c r="AV242" s="246"/>
      <c r="AW242" s="246"/>
      <c r="AX242" s="246"/>
      <c r="AY242" s="246"/>
      <c r="AZ242" s="246"/>
      <c r="BA242" s="246"/>
      <c r="BB242" s="246"/>
      <c r="BC242" s="246"/>
      <c r="BD242" s="246"/>
      <c r="BE242" s="246"/>
      <c r="BF242" s="246"/>
      <c r="BG242" s="246"/>
      <c r="BH242" s="246"/>
      <c r="BI242" s="246"/>
      <c r="BJ242" s="246"/>
      <c r="BK242" s="246"/>
      <c r="BL242" s="246"/>
    </row>
    <row r="243" ht="15.75" customHeight="1">
      <c r="A243" s="246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  <c r="AB243" s="246"/>
      <c r="AC243" s="246"/>
      <c r="AD243" s="246"/>
      <c r="AE243" s="246"/>
      <c r="AF243" s="246"/>
      <c r="AG243" s="246"/>
      <c r="AH243" s="246"/>
      <c r="AI243" s="246"/>
      <c r="AJ243" s="246"/>
      <c r="AK243" s="246"/>
      <c r="AL243" s="246"/>
      <c r="AM243" s="246"/>
      <c r="AN243" s="246"/>
      <c r="AO243" s="246"/>
      <c r="AP243" s="246"/>
      <c r="AQ243" s="246"/>
      <c r="AR243" s="246"/>
      <c r="AS243" s="246"/>
      <c r="AT243" s="246"/>
      <c r="AU243" s="246"/>
      <c r="AV243" s="246"/>
      <c r="AW243" s="246"/>
      <c r="AX243" s="246"/>
      <c r="AY243" s="246"/>
      <c r="AZ243" s="246"/>
      <c r="BA243" s="246"/>
      <c r="BB243" s="246"/>
      <c r="BC243" s="246"/>
      <c r="BD243" s="246"/>
      <c r="BE243" s="246"/>
      <c r="BF243" s="246"/>
      <c r="BG243" s="246"/>
      <c r="BH243" s="246"/>
      <c r="BI243" s="246"/>
      <c r="BJ243" s="246"/>
      <c r="BK243" s="246"/>
      <c r="BL243" s="246"/>
    </row>
    <row r="244" ht="15.75" customHeight="1">
      <c r="A244" s="246"/>
      <c r="B244" s="246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  <c r="AA244" s="246"/>
      <c r="AB244" s="246"/>
      <c r="AC244" s="246"/>
      <c r="AD244" s="246"/>
      <c r="AE244" s="246"/>
      <c r="AF244" s="246"/>
      <c r="AG244" s="246"/>
      <c r="AH244" s="246"/>
      <c r="AI244" s="246"/>
      <c r="AJ244" s="246"/>
      <c r="AK244" s="246"/>
      <c r="AL244" s="246"/>
      <c r="AM244" s="246"/>
      <c r="AN244" s="246"/>
      <c r="AO244" s="246"/>
      <c r="AP244" s="246"/>
      <c r="AQ244" s="246"/>
      <c r="AR244" s="246"/>
      <c r="AS244" s="246"/>
      <c r="AT244" s="246"/>
      <c r="AU244" s="246"/>
      <c r="AV244" s="246"/>
      <c r="AW244" s="246"/>
      <c r="AX244" s="246"/>
      <c r="AY244" s="246"/>
      <c r="AZ244" s="246"/>
      <c r="BA244" s="246"/>
      <c r="BB244" s="246"/>
      <c r="BC244" s="246"/>
      <c r="BD244" s="246"/>
      <c r="BE244" s="246"/>
      <c r="BF244" s="246"/>
      <c r="BG244" s="246"/>
      <c r="BH244" s="246"/>
      <c r="BI244" s="246"/>
      <c r="BJ244" s="246"/>
      <c r="BK244" s="246"/>
      <c r="BL244" s="246"/>
    </row>
    <row r="245" ht="15.75" customHeight="1">
      <c r="A245" s="246"/>
      <c r="B245" s="246"/>
      <c r="C245" s="246"/>
      <c r="D245" s="246"/>
      <c r="E245" s="246"/>
      <c r="F245" s="246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246"/>
      <c r="S245" s="246"/>
      <c r="T245" s="246"/>
      <c r="U245" s="246"/>
      <c r="V245" s="246"/>
      <c r="W245" s="246"/>
      <c r="X245" s="246"/>
      <c r="Y245" s="246"/>
      <c r="Z245" s="246"/>
      <c r="AA245" s="246"/>
      <c r="AB245" s="246"/>
      <c r="AC245" s="246"/>
      <c r="AD245" s="246"/>
      <c r="AE245" s="246"/>
      <c r="AF245" s="246"/>
      <c r="AG245" s="246"/>
      <c r="AH245" s="246"/>
      <c r="AI245" s="246"/>
      <c r="AJ245" s="246"/>
      <c r="AK245" s="246"/>
      <c r="AL245" s="246"/>
      <c r="AM245" s="246"/>
      <c r="AN245" s="246"/>
      <c r="AO245" s="246"/>
      <c r="AP245" s="246"/>
      <c r="AQ245" s="246"/>
      <c r="AR245" s="246"/>
      <c r="AS245" s="246"/>
      <c r="AT245" s="246"/>
      <c r="AU245" s="246"/>
      <c r="AV245" s="246"/>
      <c r="AW245" s="246"/>
      <c r="AX245" s="246"/>
      <c r="AY245" s="246"/>
      <c r="AZ245" s="246"/>
      <c r="BA245" s="246"/>
      <c r="BB245" s="246"/>
      <c r="BC245" s="246"/>
      <c r="BD245" s="246"/>
      <c r="BE245" s="246"/>
      <c r="BF245" s="246"/>
      <c r="BG245" s="246"/>
      <c r="BH245" s="246"/>
      <c r="BI245" s="246"/>
      <c r="BJ245" s="246"/>
      <c r="BK245" s="246"/>
      <c r="BL245" s="246"/>
    </row>
    <row r="246" ht="15.75" customHeight="1">
      <c r="A246" s="246"/>
      <c r="B246" s="246"/>
      <c r="C246" s="246"/>
      <c r="D246" s="246"/>
      <c r="E246" s="246"/>
      <c r="F246" s="246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246"/>
      <c r="S246" s="246"/>
      <c r="T246" s="246"/>
      <c r="U246" s="246"/>
      <c r="V246" s="246"/>
      <c r="W246" s="246"/>
      <c r="X246" s="246"/>
      <c r="Y246" s="246"/>
      <c r="Z246" s="246"/>
      <c r="AA246" s="246"/>
      <c r="AB246" s="246"/>
      <c r="AC246" s="246"/>
      <c r="AD246" s="246"/>
      <c r="AE246" s="246"/>
      <c r="AF246" s="246"/>
      <c r="AG246" s="246"/>
      <c r="AH246" s="246"/>
      <c r="AI246" s="246"/>
      <c r="AJ246" s="246"/>
      <c r="AK246" s="246"/>
      <c r="AL246" s="246"/>
      <c r="AM246" s="246"/>
      <c r="AN246" s="246"/>
      <c r="AO246" s="246"/>
      <c r="AP246" s="246"/>
      <c r="AQ246" s="246"/>
      <c r="AR246" s="246"/>
      <c r="AS246" s="246"/>
      <c r="AT246" s="246"/>
      <c r="AU246" s="246"/>
      <c r="AV246" s="246"/>
      <c r="AW246" s="246"/>
      <c r="AX246" s="246"/>
      <c r="AY246" s="246"/>
      <c r="AZ246" s="246"/>
      <c r="BA246" s="246"/>
      <c r="BB246" s="246"/>
      <c r="BC246" s="246"/>
      <c r="BD246" s="246"/>
      <c r="BE246" s="246"/>
      <c r="BF246" s="246"/>
      <c r="BG246" s="246"/>
      <c r="BH246" s="246"/>
      <c r="BI246" s="246"/>
      <c r="BJ246" s="246"/>
      <c r="BK246" s="246"/>
      <c r="BL246" s="246"/>
    </row>
    <row r="247" ht="15.75" customHeight="1">
      <c r="A247" s="246"/>
      <c r="B247" s="246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246"/>
      <c r="S247" s="246"/>
      <c r="T247" s="246"/>
      <c r="U247" s="246"/>
      <c r="V247" s="246"/>
      <c r="W247" s="246"/>
      <c r="X247" s="246"/>
      <c r="Y247" s="246"/>
      <c r="Z247" s="246"/>
      <c r="AA247" s="246"/>
      <c r="AB247" s="246"/>
      <c r="AC247" s="246"/>
      <c r="AD247" s="246"/>
      <c r="AE247" s="246"/>
      <c r="AF247" s="246"/>
      <c r="AG247" s="246"/>
      <c r="AH247" s="246"/>
      <c r="AI247" s="246"/>
      <c r="AJ247" s="246"/>
      <c r="AK247" s="246"/>
      <c r="AL247" s="246"/>
      <c r="AM247" s="246"/>
      <c r="AN247" s="246"/>
      <c r="AO247" s="246"/>
      <c r="AP247" s="246"/>
      <c r="AQ247" s="246"/>
      <c r="AR247" s="246"/>
      <c r="AS247" s="246"/>
      <c r="AT247" s="246"/>
      <c r="AU247" s="246"/>
      <c r="AV247" s="246"/>
      <c r="AW247" s="246"/>
      <c r="AX247" s="246"/>
      <c r="AY247" s="246"/>
      <c r="AZ247" s="246"/>
      <c r="BA247" s="246"/>
      <c r="BB247" s="246"/>
      <c r="BC247" s="246"/>
      <c r="BD247" s="246"/>
      <c r="BE247" s="246"/>
      <c r="BF247" s="246"/>
      <c r="BG247" s="246"/>
      <c r="BH247" s="246"/>
      <c r="BI247" s="246"/>
      <c r="BJ247" s="246"/>
      <c r="BK247" s="246"/>
      <c r="BL247" s="246"/>
    </row>
    <row r="248" ht="15.75" customHeight="1">
      <c r="A248" s="246"/>
      <c r="B248" s="246"/>
      <c r="C248" s="246"/>
      <c r="D248" s="246"/>
      <c r="E248" s="246"/>
      <c r="F248" s="246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246"/>
      <c r="S248" s="246"/>
      <c r="T248" s="246"/>
      <c r="U248" s="246"/>
      <c r="V248" s="246"/>
      <c r="W248" s="246"/>
      <c r="X248" s="246"/>
      <c r="Y248" s="246"/>
      <c r="Z248" s="246"/>
      <c r="AA248" s="246"/>
      <c r="AB248" s="246"/>
      <c r="AC248" s="246"/>
      <c r="AD248" s="246"/>
      <c r="AE248" s="246"/>
      <c r="AF248" s="246"/>
      <c r="AG248" s="246"/>
      <c r="AH248" s="246"/>
      <c r="AI248" s="246"/>
      <c r="AJ248" s="246"/>
      <c r="AK248" s="246"/>
      <c r="AL248" s="246"/>
      <c r="AM248" s="246"/>
      <c r="AN248" s="246"/>
      <c r="AO248" s="246"/>
      <c r="AP248" s="246"/>
      <c r="AQ248" s="246"/>
      <c r="AR248" s="246"/>
      <c r="AS248" s="246"/>
      <c r="AT248" s="246"/>
      <c r="AU248" s="246"/>
      <c r="AV248" s="246"/>
      <c r="AW248" s="246"/>
      <c r="AX248" s="246"/>
      <c r="AY248" s="246"/>
      <c r="AZ248" s="246"/>
      <c r="BA248" s="246"/>
      <c r="BB248" s="246"/>
      <c r="BC248" s="246"/>
      <c r="BD248" s="246"/>
      <c r="BE248" s="246"/>
      <c r="BF248" s="246"/>
      <c r="BG248" s="246"/>
      <c r="BH248" s="246"/>
      <c r="BI248" s="246"/>
      <c r="BJ248" s="246"/>
      <c r="BK248" s="246"/>
      <c r="BL248" s="246"/>
    </row>
    <row r="249" ht="15.75" customHeight="1">
      <c r="A249" s="246"/>
      <c r="B249" s="246"/>
      <c r="C249" s="246"/>
      <c r="D249" s="246"/>
      <c r="E249" s="246"/>
      <c r="F249" s="246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246"/>
      <c r="S249" s="246"/>
      <c r="T249" s="246"/>
      <c r="U249" s="246"/>
      <c r="V249" s="246"/>
      <c r="W249" s="246"/>
      <c r="X249" s="246"/>
      <c r="Y249" s="246"/>
      <c r="Z249" s="246"/>
      <c r="AA249" s="246"/>
      <c r="AB249" s="246"/>
      <c r="AC249" s="246"/>
      <c r="AD249" s="246"/>
      <c r="AE249" s="246"/>
      <c r="AF249" s="246"/>
      <c r="AG249" s="246"/>
      <c r="AH249" s="246"/>
      <c r="AI249" s="246"/>
      <c r="AJ249" s="246"/>
      <c r="AK249" s="246"/>
      <c r="AL249" s="246"/>
      <c r="AM249" s="246"/>
      <c r="AN249" s="246"/>
      <c r="AO249" s="246"/>
      <c r="AP249" s="246"/>
      <c r="AQ249" s="246"/>
      <c r="AR249" s="246"/>
      <c r="AS249" s="246"/>
      <c r="AT249" s="246"/>
      <c r="AU249" s="246"/>
      <c r="AV249" s="246"/>
      <c r="AW249" s="246"/>
      <c r="AX249" s="246"/>
      <c r="AY249" s="246"/>
      <c r="AZ249" s="246"/>
      <c r="BA249" s="246"/>
      <c r="BB249" s="246"/>
      <c r="BC249" s="246"/>
      <c r="BD249" s="246"/>
      <c r="BE249" s="246"/>
      <c r="BF249" s="246"/>
      <c r="BG249" s="246"/>
      <c r="BH249" s="246"/>
      <c r="BI249" s="246"/>
      <c r="BJ249" s="246"/>
      <c r="BK249" s="246"/>
      <c r="BL249" s="246"/>
    </row>
    <row r="250" ht="15.75" customHeight="1">
      <c r="A250" s="246"/>
      <c r="B250" s="246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246"/>
      <c r="S250" s="246"/>
      <c r="T250" s="246"/>
      <c r="U250" s="246"/>
      <c r="V250" s="246"/>
      <c r="W250" s="246"/>
      <c r="X250" s="246"/>
      <c r="Y250" s="246"/>
      <c r="Z250" s="246"/>
      <c r="AA250" s="246"/>
      <c r="AB250" s="246"/>
      <c r="AC250" s="246"/>
      <c r="AD250" s="246"/>
      <c r="AE250" s="246"/>
      <c r="AF250" s="246"/>
      <c r="AG250" s="246"/>
      <c r="AH250" s="246"/>
      <c r="AI250" s="246"/>
      <c r="AJ250" s="246"/>
      <c r="AK250" s="246"/>
      <c r="AL250" s="246"/>
      <c r="AM250" s="246"/>
      <c r="AN250" s="246"/>
      <c r="AO250" s="246"/>
      <c r="AP250" s="246"/>
      <c r="AQ250" s="246"/>
      <c r="AR250" s="246"/>
      <c r="AS250" s="246"/>
      <c r="AT250" s="246"/>
      <c r="AU250" s="246"/>
      <c r="AV250" s="246"/>
      <c r="AW250" s="246"/>
      <c r="AX250" s="246"/>
      <c r="AY250" s="246"/>
      <c r="AZ250" s="246"/>
      <c r="BA250" s="246"/>
      <c r="BB250" s="246"/>
      <c r="BC250" s="246"/>
      <c r="BD250" s="246"/>
      <c r="BE250" s="246"/>
      <c r="BF250" s="246"/>
      <c r="BG250" s="246"/>
      <c r="BH250" s="246"/>
      <c r="BI250" s="246"/>
      <c r="BJ250" s="246"/>
      <c r="BK250" s="246"/>
      <c r="BL250" s="246"/>
    </row>
    <row r="251" ht="15.75" customHeight="1">
      <c r="A251" s="246"/>
      <c r="B251" s="246"/>
      <c r="C251" s="246"/>
      <c r="D251" s="246"/>
      <c r="E251" s="246"/>
      <c r="F251" s="246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246"/>
      <c r="S251" s="246"/>
      <c r="T251" s="246"/>
      <c r="U251" s="246"/>
      <c r="V251" s="246"/>
      <c r="W251" s="246"/>
      <c r="X251" s="246"/>
      <c r="Y251" s="246"/>
      <c r="Z251" s="246"/>
      <c r="AA251" s="246"/>
      <c r="AB251" s="246"/>
      <c r="AC251" s="246"/>
      <c r="AD251" s="246"/>
      <c r="AE251" s="246"/>
      <c r="AF251" s="246"/>
      <c r="AG251" s="246"/>
      <c r="AH251" s="246"/>
      <c r="AI251" s="246"/>
      <c r="AJ251" s="246"/>
      <c r="AK251" s="246"/>
      <c r="AL251" s="246"/>
      <c r="AM251" s="246"/>
      <c r="AN251" s="246"/>
      <c r="AO251" s="246"/>
      <c r="AP251" s="246"/>
      <c r="AQ251" s="246"/>
      <c r="AR251" s="246"/>
      <c r="AS251" s="246"/>
      <c r="AT251" s="246"/>
      <c r="AU251" s="246"/>
      <c r="AV251" s="246"/>
      <c r="AW251" s="246"/>
      <c r="AX251" s="246"/>
      <c r="AY251" s="246"/>
      <c r="AZ251" s="246"/>
      <c r="BA251" s="246"/>
      <c r="BB251" s="246"/>
      <c r="BC251" s="246"/>
      <c r="BD251" s="246"/>
      <c r="BE251" s="246"/>
      <c r="BF251" s="246"/>
      <c r="BG251" s="246"/>
      <c r="BH251" s="246"/>
      <c r="BI251" s="246"/>
      <c r="BJ251" s="246"/>
      <c r="BK251" s="246"/>
      <c r="BL251" s="246"/>
    </row>
    <row r="252" ht="15.75" customHeight="1">
      <c r="A252" s="246"/>
      <c r="B252" s="246"/>
      <c r="C252" s="246"/>
      <c r="D252" s="246"/>
      <c r="E252" s="246"/>
      <c r="F252" s="246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246"/>
      <c r="S252" s="246"/>
      <c r="T252" s="246"/>
      <c r="U252" s="246"/>
      <c r="V252" s="246"/>
      <c r="W252" s="246"/>
      <c r="X252" s="246"/>
      <c r="Y252" s="246"/>
      <c r="Z252" s="246"/>
      <c r="AA252" s="246"/>
      <c r="AB252" s="246"/>
      <c r="AC252" s="246"/>
      <c r="AD252" s="246"/>
      <c r="AE252" s="246"/>
      <c r="AF252" s="246"/>
      <c r="AG252" s="246"/>
      <c r="AH252" s="246"/>
      <c r="AI252" s="246"/>
      <c r="AJ252" s="246"/>
      <c r="AK252" s="246"/>
      <c r="AL252" s="246"/>
      <c r="AM252" s="246"/>
      <c r="AN252" s="246"/>
      <c r="AO252" s="246"/>
      <c r="AP252" s="246"/>
      <c r="AQ252" s="246"/>
      <c r="AR252" s="246"/>
      <c r="AS252" s="246"/>
      <c r="AT252" s="246"/>
      <c r="AU252" s="246"/>
      <c r="AV252" s="246"/>
      <c r="AW252" s="246"/>
      <c r="AX252" s="246"/>
      <c r="AY252" s="246"/>
      <c r="AZ252" s="246"/>
      <c r="BA252" s="246"/>
      <c r="BB252" s="246"/>
      <c r="BC252" s="246"/>
      <c r="BD252" s="246"/>
      <c r="BE252" s="246"/>
      <c r="BF252" s="246"/>
      <c r="BG252" s="246"/>
      <c r="BH252" s="246"/>
      <c r="BI252" s="246"/>
      <c r="BJ252" s="246"/>
      <c r="BK252" s="246"/>
      <c r="BL252" s="246"/>
    </row>
    <row r="253" ht="15.75" customHeight="1">
      <c r="A253" s="246"/>
      <c r="B253" s="246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6"/>
      <c r="Y253" s="246"/>
      <c r="Z253" s="246"/>
      <c r="AA253" s="246"/>
      <c r="AB253" s="246"/>
      <c r="AC253" s="246"/>
      <c r="AD253" s="246"/>
      <c r="AE253" s="246"/>
      <c r="AF253" s="246"/>
      <c r="AG253" s="246"/>
      <c r="AH253" s="246"/>
      <c r="AI253" s="246"/>
      <c r="AJ253" s="246"/>
      <c r="AK253" s="246"/>
      <c r="AL253" s="246"/>
      <c r="AM253" s="246"/>
      <c r="AN253" s="246"/>
      <c r="AO253" s="246"/>
      <c r="AP253" s="246"/>
      <c r="AQ253" s="246"/>
      <c r="AR253" s="246"/>
      <c r="AS253" s="246"/>
      <c r="AT253" s="246"/>
      <c r="AU253" s="246"/>
      <c r="AV253" s="246"/>
      <c r="AW253" s="246"/>
      <c r="AX253" s="246"/>
      <c r="AY253" s="246"/>
      <c r="AZ253" s="246"/>
      <c r="BA253" s="246"/>
      <c r="BB253" s="246"/>
      <c r="BC253" s="246"/>
      <c r="BD253" s="246"/>
      <c r="BE253" s="246"/>
      <c r="BF253" s="246"/>
      <c r="BG253" s="246"/>
      <c r="BH253" s="246"/>
      <c r="BI253" s="246"/>
      <c r="BJ253" s="246"/>
      <c r="BK253" s="246"/>
      <c r="BL253" s="246"/>
    </row>
    <row r="254" ht="15.75" customHeight="1">
      <c r="A254" s="246"/>
      <c r="B254" s="246"/>
      <c r="C254" s="246"/>
      <c r="D254" s="246"/>
      <c r="E254" s="246"/>
      <c r="F254" s="246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246"/>
      <c r="S254" s="246"/>
      <c r="T254" s="246"/>
      <c r="U254" s="246"/>
      <c r="V254" s="246"/>
      <c r="W254" s="246"/>
      <c r="X254" s="246"/>
      <c r="Y254" s="246"/>
      <c r="Z254" s="246"/>
      <c r="AA254" s="246"/>
      <c r="AB254" s="246"/>
      <c r="AC254" s="246"/>
      <c r="AD254" s="246"/>
      <c r="AE254" s="246"/>
      <c r="AF254" s="246"/>
      <c r="AG254" s="246"/>
      <c r="AH254" s="246"/>
      <c r="AI254" s="246"/>
      <c r="AJ254" s="246"/>
      <c r="AK254" s="246"/>
      <c r="AL254" s="246"/>
      <c r="AM254" s="246"/>
      <c r="AN254" s="246"/>
      <c r="AO254" s="246"/>
      <c r="AP254" s="246"/>
      <c r="AQ254" s="246"/>
      <c r="AR254" s="246"/>
      <c r="AS254" s="246"/>
      <c r="AT254" s="246"/>
      <c r="AU254" s="246"/>
      <c r="AV254" s="246"/>
      <c r="AW254" s="246"/>
      <c r="AX254" s="246"/>
      <c r="AY254" s="246"/>
      <c r="AZ254" s="246"/>
      <c r="BA254" s="246"/>
      <c r="BB254" s="246"/>
      <c r="BC254" s="246"/>
      <c r="BD254" s="246"/>
      <c r="BE254" s="246"/>
      <c r="BF254" s="246"/>
      <c r="BG254" s="246"/>
      <c r="BH254" s="246"/>
      <c r="BI254" s="246"/>
      <c r="BJ254" s="246"/>
      <c r="BK254" s="246"/>
      <c r="BL254" s="246"/>
    </row>
    <row r="255" ht="15.75" customHeight="1">
      <c r="A255" s="246"/>
      <c r="B255" s="246"/>
      <c r="C255" s="246"/>
      <c r="D255" s="246"/>
      <c r="E255" s="246"/>
      <c r="F255" s="246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246"/>
      <c r="S255" s="246"/>
      <c r="T255" s="246"/>
      <c r="U255" s="246"/>
      <c r="V255" s="246"/>
      <c r="W255" s="246"/>
      <c r="X255" s="246"/>
      <c r="Y255" s="246"/>
      <c r="Z255" s="246"/>
      <c r="AA255" s="246"/>
      <c r="AB255" s="246"/>
      <c r="AC255" s="246"/>
      <c r="AD255" s="246"/>
      <c r="AE255" s="246"/>
      <c r="AF255" s="246"/>
      <c r="AG255" s="246"/>
      <c r="AH255" s="246"/>
      <c r="AI255" s="246"/>
      <c r="AJ255" s="246"/>
      <c r="AK255" s="246"/>
      <c r="AL255" s="246"/>
      <c r="AM255" s="246"/>
      <c r="AN255" s="246"/>
      <c r="AO255" s="246"/>
      <c r="AP255" s="246"/>
      <c r="AQ255" s="246"/>
      <c r="AR255" s="246"/>
      <c r="AS255" s="246"/>
      <c r="AT255" s="246"/>
      <c r="AU255" s="246"/>
      <c r="AV255" s="246"/>
      <c r="AW255" s="246"/>
      <c r="AX255" s="246"/>
      <c r="AY255" s="246"/>
      <c r="AZ255" s="246"/>
      <c r="BA255" s="246"/>
      <c r="BB255" s="246"/>
      <c r="BC255" s="246"/>
      <c r="BD255" s="246"/>
      <c r="BE255" s="246"/>
      <c r="BF255" s="246"/>
      <c r="BG255" s="246"/>
      <c r="BH255" s="246"/>
      <c r="BI255" s="246"/>
      <c r="BJ255" s="246"/>
      <c r="BK255" s="246"/>
      <c r="BL255" s="246"/>
    </row>
    <row r="256" ht="15.75" customHeight="1">
      <c r="A256" s="246"/>
      <c r="B256" s="246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246"/>
      <c r="S256" s="246"/>
      <c r="T256" s="246"/>
      <c r="U256" s="246"/>
      <c r="V256" s="246"/>
      <c r="W256" s="246"/>
      <c r="X256" s="246"/>
      <c r="Y256" s="246"/>
      <c r="Z256" s="246"/>
      <c r="AA256" s="246"/>
      <c r="AB256" s="246"/>
      <c r="AC256" s="246"/>
      <c r="AD256" s="246"/>
      <c r="AE256" s="246"/>
      <c r="AF256" s="246"/>
      <c r="AG256" s="246"/>
      <c r="AH256" s="246"/>
      <c r="AI256" s="246"/>
      <c r="AJ256" s="246"/>
      <c r="AK256" s="246"/>
      <c r="AL256" s="246"/>
      <c r="AM256" s="246"/>
      <c r="AN256" s="246"/>
      <c r="AO256" s="246"/>
      <c r="AP256" s="246"/>
      <c r="AQ256" s="246"/>
      <c r="AR256" s="246"/>
      <c r="AS256" s="246"/>
      <c r="AT256" s="246"/>
      <c r="AU256" s="246"/>
      <c r="AV256" s="246"/>
      <c r="AW256" s="246"/>
      <c r="AX256" s="246"/>
      <c r="AY256" s="246"/>
      <c r="AZ256" s="246"/>
      <c r="BA256" s="246"/>
      <c r="BB256" s="246"/>
      <c r="BC256" s="246"/>
      <c r="BD256" s="246"/>
      <c r="BE256" s="246"/>
      <c r="BF256" s="246"/>
      <c r="BG256" s="246"/>
      <c r="BH256" s="246"/>
      <c r="BI256" s="246"/>
      <c r="BJ256" s="246"/>
      <c r="BK256" s="246"/>
      <c r="BL256" s="246"/>
    </row>
    <row r="257" ht="15.75" customHeight="1">
      <c r="A257" s="246"/>
      <c r="B257" s="246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246"/>
      <c r="S257" s="246"/>
      <c r="T257" s="246"/>
      <c r="U257" s="246"/>
      <c r="V257" s="246"/>
      <c r="W257" s="246"/>
      <c r="X257" s="246"/>
      <c r="Y257" s="246"/>
      <c r="Z257" s="246"/>
      <c r="AA257" s="246"/>
      <c r="AB257" s="246"/>
      <c r="AC257" s="246"/>
      <c r="AD257" s="246"/>
      <c r="AE257" s="246"/>
      <c r="AF257" s="246"/>
      <c r="AG257" s="246"/>
      <c r="AH257" s="246"/>
      <c r="AI257" s="246"/>
      <c r="AJ257" s="246"/>
      <c r="AK257" s="246"/>
      <c r="AL257" s="246"/>
      <c r="AM257" s="246"/>
      <c r="AN257" s="246"/>
      <c r="AO257" s="246"/>
      <c r="AP257" s="246"/>
      <c r="AQ257" s="246"/>
      <c r="AR257" s="246"/>
      <c r="AS257" s="246"/>
      <c r="AT257" s="246"/>
      <c r="AU257" s="246"/>
      <c r="AV257" s="246"/>
      <c r="AW257" s="246"/>
      <c r="AX257" s="246"/>
      <c r="AY257" s="246"/>
      <c r="AZ257" s="246"/>
      <c r="BA257" s="246"/>
      <c r="BB257" s="246"/>
      <c r="BC257" s="246"/>
      <c r="BD257" s="246"/>
      <c r="BE257" s="246"/>
      <c r="BF257" s="246"/>
      <c r="BG257" s="246"/>
      <c r="BH257" s="246"/>
      <c r="BI257" s="246"/>
      <c r="BJ257" s="246"/>
      <c r="BK257" s="246"/>
      <c r="BL257" s="246"/>
    </row>
    <row r="258" ht="15.75" customHeight="1">
      <c r="A258" s="246"/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6"/>
      <c r="S258" s="246"/>
      <c r="T258" s="246"/>
      <c r="U258" s="246"/>
      <c r="V258" s="246"/>
      <c r="W258" s="246"/>
      <c r="X258" s="246"/>
      <c r="Y258" s="246"/>
      <c r="Z258" s="246"/>
      <c r="AA258" s="246"/>
      <c r="AB258" s="246"/>
      <c r="AC258" s="246"/>
      <c r="AD258" s="246"/>
      <c r="AE258" s="246"/>
      <c r="AF258" s="246"/>
      <c r="AG258" s="246"/>
      <c r="AH258" s="246"/>
      <c r="AI258" s="246"/>
      <c r="AJ258" s="246"/>
      <c r="AK258" s="246"/>
      <c r="AL258" s="246"/>
      <c r="AM258" s="246"/>
      <c r="AN258" s="246"/>
      <c r="AO258" s="246"/>
      <c r="AP258" s="246"/>
      <c r="AQ258" s="246"/>
      <c r="AR258" s="246"/>
      <c r="AS258" s="246"/>
      <c r="AT258" s="246"/>
      <c r="AU258" s="246"/>
      <c r="AV258" s="246"/>
      <c r="AW258" s="246"/>
      <c r="AX258" s="246"/>
      <c r="AY258" s="246"/>
      <c r="AZ258" s="246"/>
      <c r="BA258" s="246"/>
      <c r="BB258" s="246"/>
      <c r="BC258" s="246"/>
      <c r="BD258" s="246"/>
      <c r="BE258" s="246"/>
      <c r="BF258" s="246"/>
      <c r="BG258" s="246"/>
      <c r="BH258" s="246"/>
      <c r="BI258" s="246"/>
      <c r="BJ258" s="246"/>
      <c r="BK258" s="246"/>
      <c r="BL258" s="246"/>
    </row>
    <row r="259" ht="15.75" customHeight="1">
      <c r="A259" s="246"/>
      <c r="B259" s="246"/>
      <c r="C259" s="246"/>
      <c r="D259" s="246"/>
      <c r="E259" s="246"/>
      <c r="F259" s="246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246"/>
      <c r="S259" s="246"/>
      <c r="T259" s="246"/>
      <c r="U259" s="246"/>
      <c r="V259" s="246"/>
      <c r="W259" s="246"/>
      <c r="X259" s="246"/>
      <c r="Y259" s="246"/>
      <c r="Z259" s="246"/>
      <c r="AA259" s="246"/>
      <c r="AB259" s="246"/>
      <c r="AC259" s="246"/>
      <c r="AD259" s="246"/>
      <c r="AE259" s="246"/>
      <c r="AF259" s="246"/>
      <c r="AG259" s="246"/>
      <c r="AH259" s="246"/>
      <c r="AI259" s="246"/>
      <c r="AJ259" s="246"/>
      <c r="AK259" s="246"/>
      <c r="AL259" s="246"/>
      <c r="AM259" s="246"/>
      <c r="AN259" s="246"/>
      <c r="AO259" s="246"/>
      <c r="AP259" s="246"/>
      <c r="AQ259" s="246"/>
      <c r="AR259" s="246"/>
      <c r="AS259" s="246"/>
      <c r="AT259" s="246"/>
      <c r="AU259" s="246"/>
      <c r="AV259" s="246"/>
      <c r="AW259" s="246"/>
      <c r="AX259" s="246"/>
      <c r="AY259" s="246"/>
      <c r="AZ259" s="246"/>
      <c r="BA259" s="246"/>
      <c r="BB259" s="246"/>
      <c r="BC259" s="246"/>
      <c r="BD259" s="246"/>
      <c r="BE259" s="246"/>
      <c r="BF259" s="246"/>
      <c r="BG259" s="246"/>
      <c r="BH259" s="246"/>
      <c r="BI259" s="246"/>
      <c r="BJ259" s="246"/>
      <c r="BK259" s="246"/>
      <c r="BL259" s="246"/>
    </row>
    <row r="260" ht="15.75" customHeight="1">
      <c r="A260" s="246"/>
      <c r="B260" s="246"/>
      <c r="C260" s="246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246"/>
      <c r="S260" s="246"/>
      <c r="T260" s="246"/>
      <c r="U260" s="246"/>
      <c r="V260" s="246"/>
      <c r="W260" s="246"/>
      <c r="X260" s="246"/>
      <c r="Y260" s="246"/>
      <c r="Z260" s="246"/>
      <c r="AA260" s="246"/>
      <c r="AB260" s="246"/>
      <c r="AC260" s="246"/>
      <c r="AD260" s="246"/>
      <c r="AE260" s="246"/>
      <c r="AF260" s="246"/>
      <c r="AG260" s="246"/>
      <c r="AH260" s="246"/>
      <c r="AI260" s="246"/>
      <c r="AJ260" s="246"/>
      <c r="AK260" s="246"/>
      <c r="AL260" s="246"/>
      <c r="AM260" s="246"/>
      <c r="AN260" s="246"/>
      <c r="AO260" s="246"/>
      <c r="AP260" s="246"/>
      <c r="AQ260" s="246"/>
      <c r="AR260" s="246"/>
      <c r="AS260" s="246"/>
      <c r="AT260" s="246"/>
      <c r="AU260" s="246"/>
      <c r="AV260" s="246"/>
      <c r="AW260" s="246"/>
      <c r="AX260" s="246"/>
      <c r="AY260" s="246"/>
      <c r="AZ260" s="246"/>
      <c r="BA260" s="246"/>
      <c r="BB260" s="246"/>
      <c r="BC260" s="246"/>
      <c r="BD260" s="246"/>
      <c r="BE260" s="246"/>
      <c r="BF260" s="246"/>
      <c r="BG260" s="246"/>
      <c r="BH260" s="246"/>
      <c r="BI260" s="246"/>
      <c r="BJ260" s="246"/>
      <c r="BK260" s="246"/>
      <c r="BL260" s="246"/>
    </row>
    <row r="261" ht="15.75" customHeight="1">
      <c r="A261" s="246"/>
      <c r="B261" s="246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46"/>
      <c r="S261" s="246"/>
      <c r="T261" s="246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6"/>
      <c r="AG261" s="246"/>
      <c r="AH261" s="246"/>
      <c r="AI261" s="246"/>
      <c r="AJ261" s="246"/>
      <c r="AK261" s="246"/>
      <c r="AL261" s="246"/>
      <c r="AM261" s="246"/>
      <c r="AN261" s="246"/>
      <c r="AO261" s="246"/>
      <c r="AP261" s="246"/>
      <c r="AQ261" s="246"/>
      <c r="AR261" s="246"/>
      <c r="AS261" s="246"/>
      <c r="AT261" s="246"/>
      <c r="AU261" s="246"/>
      <c r="AV261" s="246"/>
      <c r="AW261" s="246"/>
      <c r="AX261" s="246"/>
      <c r="AY261" s="246"/>
      <c r="AZ261" s="246"/>
      <c r="BA261" s="246"/>
      <c r="BB261" s="246"/>
      <c r="BC261" s="246"/>
      <c r="BD261" s="246"/>
      <c r="BE261" s="246"/>
      <c r="BF261" s="246"/>
      <c r="BG261" s="246"/>
      <c r="BH261" s="246"/>
      <c r="BI261" s="246"/>
      <c r="BJ261" s="246"/>
      <c r="BK261" s="246"/>
      <c r="BL261" s="246"/>
    </row>
    <row r="262" ht="15.75" customHeight="1">
      <c r="A262" s="246"/>
      <c r="B262" s="246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246"/>
      <c r="S262" s="246"/>
      <c r="T262" s="246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6"/>
      <c r="AG262" s="246"/>
      <c r="AH262" s="246"/>
      <c r="AI262" s="246"/>
      <c r="AJ262" s="246"/>
      <c r="AK262" s="246"/>
      <c r="AL262" s="246"/>
      <c r="AM262" s="246"/>
      <c r="AN262" s="246"/>
      <c r="AO262" s="246"/>
      <c r="AP262" s="246"/>
      <c r="AQ262" s="246"/>
      <c r="AR262" s="246"/>
      <c r="AS262" s="246"/>
      <c r="AT262" s="246"/>
      <c r="AU262" s="246"/>
      <c r="AV262" s="246"/>
      <c r="AW262" s="246"/>
      <c r="AX262" s="246"/>
      <c r="AY262" s="246"/>
      <c r="AZ262" s="246"/>
      <c r="BA262" s="246"/>
      <c r="BB262" s="246"/>
      <c r="BC262" s="246"/>
      <c r="BD262" s="246"/>
      <c r="BE262" s="246"/>
      <c r="BF262" s="246"/>
      <c r="BG262" s="246"/>
      <c r="BH262" s="246"/>
      <c r="BI262" s="246"/>
      <c r="BJ262" s="246"/>
      <c r="BK262" s="246"/>
      <c r="BL262" s="246"/>
    </row>
    <row r="263" ht="15.75" customHeight="1">
      <c r="A263" s="246"/>
      <c r="B263" s="246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246"/>
      <c r="S263" s="246"/>
      <c r="T263" s="246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6"/>
      <c r="AG263" s="246"/>
      <c r="AH263" s="246"/>
      <c r="AI263" s="246"/>
      <c r="AJ263" s="246"/>
      <c r="AK263" s="246"/>
      <c r="AL263" s="246"/>
      <c r="AM263" s="246"/>
      <c r="AN263" s="246"/>
      <c r="AO263" s="246"/>
      <c r="AP263" s="246"/>
      <c r="AQ263" s="246"/>
      <c r="AR263" s="246"/>
      <c r="AS263" s="246"/>
      <c r="AT263" s="246"/>
      <c r="AU263" s="246"/>
      <c r="AV263" s="246"/>
      <c r="AW263" s="246"/>
      <c r="AX263" s="246"/>
      <c r="AY263" s="246"/>
      <c r="AZ263" s="246"/>
      <c r="BA263" s="246"/>
      <c r="BB263" s="246"/>
      <c r="BC263" s="246"/>
      <c r="BD263" s="246"/>
      <c r="BE263" s="246"/>
      <c r="BF263" s="246"/>
      <c r="BG263" s="246"/>
      <c r="BH263" s="246"/>
      <c r="BI263" s="246"/>
      <c r="BJ263" s="246"/>
      <c r="BK263" s="246"/>
      <c r="BL263" s="246"/>
    </row>
    <row r="264" ht="15.75" customHeight="1">
      <c r="A264" s="246"/>
      <c r="B264" s="246"/>
      <c r="C264" s="246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246"/>
      <c r="S264" s="246"/>
      <c r="T264" s="246"/>
      <c r="U264" s="246"/>
      <c r="V264" s="246"/>
      <c r="W264" s="246"/>
      <c r="X264" s="246"/>
      <c r="Y264" s="246"/>
      <c r="Z264" s="246"/>
      <c r="AA264" s="246"/>
      <c r="AB264" s="246"/>
      <c r="AC264" s="246"/>
      <c r="AD264" s="246"/>
      <c r="AE264" s="246"/>
      <c r="AF264" s="246"/>
      <c r="AG264" s="246"/>
      <c r="AH264" s="246"/>
      <c r="AI264" s="246"/>
      <c r="AJ264" s="246"/>
      <c r="AK264" s="246"/>
      <c r="AL264" s="246"/>
      <c r="AM264" s="246"/>
      <c r="AN264" s="246"/>
      <c r="AO264" s="246"/>
      <c r="AP264" s="246"/>
      <c r="AQ264" s="246"/>
      <c r="AR264" s="246"/>
      <c r="AS264" s="246"/>
      <c r="AT264" s="246"/>
      <c r="AU264" s="246"/>
      <c r="AV264" s="246"/>
      <c r="AW264" s="246"/>
      <c r="AX264" s="246"/>
      <c r="AY264" s="246"/>
      <c r="AZ264" s="246"/>
      <c r="BA264" s="246"/>
      <c r="BB264" s="246"/>
      <c r="BC264" s="246"/>
      <c r="BD264" s="246"/>
      <c r="BE264" s="246"/>
      <c r="BF264" s="246"/>
      <c r="BG264" s="246"/>
      <c r="BH264" s="246"/>
      <c r="BI264" s="246"/>
      <c r="BJ264" s="246"/>
      <c r="BK264" s="246"/>
      <c r="BL264" s="246"/>
    </row>
    <row r="265" ht="15.75" customHeight="1">
      <c r="A265" s="246"/>
      <c r="B265" s="246"/>
      <c r="C265" s="246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246"/>
      <c r="S265" s="246"/>
      <c r="T265" s="246"/>
      <c r="U265" s="246"/>
      <c r="V265" s="246"/>
      <c r="W265" s="246"/>
      <c r="X265" s="246"/>
      <c r="Y265" s="246"/>
      <c r="Z265" s="246"/>
      <c r="AA265" s="246"/>
      <c r="AB265" s="246"/>
      <c r="AC265" s="246"/>
      <c r="AD265" s="246"/>
      <c r="AE265" s="246"/>
      <c r="AF265" s="246"/>
      <c r="AG265" s="246"/>
      <c r="AH265" s="246"/>
      <c r="AI265" s="246"/>
      <c r="AJ265" s="246"/>
      <c r="AK265" s="246"/>
      <c r="AL265" s="246"/>
      <c r="AM265" s="246"/>
      <c r="AN265" s="246"/>
      <c r="AO265" s="246"/>
      <c r="AP265" s="246"/>
      <c r="AQ265" s="246"/>
      <c r="AR265" s="246"/>
      <c r="AS265" s="246"/>
      <c r="AT265" s="246"/>
      <c r="AU265" s="246"/>
      <c r="AV265" s="246"/>
      <c r="AW265" s="246"/>
      <c r="AX265" s="246"/>
      <c r="AY265" s="246"/>
      <c r="AZ265" s="246"/>
      <c r="BA265" s="246"/>
      <c r="BB265" s="246"/>
      <c r="BC265" s="246"/>
      <c r="BD265" s="246"/>
      <c r="BE265" s="246"/>
      <c r="BF265" s="246"/>
      <c r="BG265" s="246"/>
      <c r="BH265" s="246"/>
      <c r="BI265" s="246"/>
      <c r="BJ265" s="246"/>
      <c r="BK265" s="246"/>
      <c r="BL265" s="246"/>
    </row>
    <row r="266" ht="15.75" customHeight="1">
      <c r="A266" s="246"/>
      <c r="B266" s="246"/>
      <c r="C266" s="246"/>
      <c r="D266" s="246"/>
      <c r="E266" s="246"/>
      <c r="F266" s="246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246"/>
      <c r="S266" s="246"/>
      <c r="T266" s="246"/>
      <c r="U266" s="246"/>
      <c r="V266" s="246"/>
      <c r="W266" s="246"/>
      <c r="X266" s="246"/>
      <c r="Y266" s="246"/>
      <c r="Z266" s="246"/>
      <c r="AA266" s="246"/>
      <c r="AB266" s="246"/>
      <c r="AC266" s="246"/>
      <c r="AD266" s="246"/>
      <c r="AE266" s="246"/>
      <c r="AF266" s="246"/>
      <c r="AG266" s="246"/>
      <c r="AH266" s="246"/>
      <c r="AI266" s="246"/>
      <c r="AJ266" s="246"/>
      <c r="AK266" s="246"/>
      <c r="AL266" s="246"/>
      <c r="AM266" s="246"/>
      <c r="AN266" s="246"/>
      <c r="AO266" s="246"/>
      <c r="AP266" s="246"/>
      <c r="AQ266" s="246"/>
      <c r="AR266" s="246"/>
      <c r="AS266" s="246"/>
      <c r="AT266" s="246"/>
      <c r="AU266" s="246"/>
      <c r="AV266" s="246"/>
      <c r="AW266" s="246"/>
      <c r="AX266" s="246"/>
      <c r="AY266" s="246"/>
      <c r="AZ266" s="246"/>
      <c r="BA266" s="246"/>
      <c r="BB266" s="246"/>
      <c r="BC266" s="246"/>
      <c r="BD266" s="246"/>
      <c r="BE266" s="246"/>
      <c r="BF266" s="246"/>
      <c r="BG266" s="246"/>
      <c r="BH266" s="246"/>
      <c r="BI266" s="246"/>
      <c r="BJ266" s="246"/>
      <c r="BK266" s="246"/>
      <c r="BL266" s="246"/>
    </row>
    <row r="267" ht="15.75" customHeight="1">
      <c r="A267" s="246"/>
      <c r="B267" s="246"/>
      <c r="C267" s="246"/>
      <c r="D267" s="246"/>
      <c r="E267" s="246"/>
      <c r="F267" s="246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246"/>
      <c r="S267" s="246"/>
      <c r="T267" s="246"/>
      <c r="U267" s="246"/>
      <c r="V267" s="246"/>
      <c r="W267" s="246"/>
      <c r="X267" s="246"/>
      <c r="Y267" s="246"/>
      <c r="Z267" s="246"/>
      <c r="AA267" s="246"/>
      <c r="AB267" s="246"/>
      <c r="AC267" s="246"/>
      <c r="AD267" s="246"/>
      <c r="AE267" s="246"/>
      <c r="AF267" s="246"/>
      <c r="AG267" s="246"/>
      <c r="AH267" s="246"/>
      <c r="AI267" s="246"/>
      <c r="AJ267" s="246"/>
      <c r="AK267" s="246"/>
      <c r="AL267" s="246"/>
      <c r="AM267" s="246"/>
      <c r="AN267" s="246"/>
      <c r="AO267" s="246"/>
      <c r="AP267" s="246"/>
      <c r="AQ267" s="246"/>
      <c r="AR267" s="246"/>
      <c r="AS267" s="246"/>
      <c r="AT267" s="246"/>
      <c r="AU267" s="246"/>
      <c r="AV267" s="246"/>
      <c r="AW267" s="246"/>
      <c r="AX267" s="246"/>
      <c r="AY267" s="246"/>
      <c r="AZ267" s="246"/>
      <c r="BA267" s="246"/>
      <c r="BB267" s="246"/>
      <c r="BC267" s="246"/>
      <c r="BD267" s="246"/>
      <c r="BE267" s="246"/>
      <c r="BF267" s="246"/>
      <c r="BG267" s="246"/>
      <c r="BH267" s="246"/>
      <c r="BI267" s="246"/>
      <c r="BJ267" s="246"/>
      <c r="BK267" s="246"/>
      <c r="BL267" s="246"/>
    </row>
    <row r="268" ht="15.75" customHeight="1">
      <c r="A268" s="246"/>
      <c r="B268" s="246"/>
      <c r="C268" s="246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246"/>
      <c r="S268" s="246"/>
      <c r="T268" s="246"/>
      <c r="U268" s="246"/>
      <c r="V268" s="246"/>
      <c r="W268" s="246"/>
      <c r="X268" s="246"/>
      <c r="Y268" s="246"/>
      <c r="Z268" s="246"/>
      <c r="AA268" s="246"/>
      <c r="AB268" s="246"/>
      <c r="AC268" s="246"/>
      <c r="AD268" s="246"/>
      <c r="AE268" s="246"/>
      <c r="AF268" s="246"/>
      <c r="AG268" s="246"/>
      <c r="AH268" s="246"/>
      <c r="AI268" s="246"/>
      <c r="AJ268" s="246"/>
      <c r="AK268" s="246"/>
      <c r="AL268" s="246"/>
      <c r="AM268" s="246"/>
      <c r="AN268" s="246"/>
      <c r="AO268" s="246"/>
      <c r="AP268" s="246"/>
      <c r="AQ268" s="246"/>
      <c r="AR268" s="246"/>
      <c r="AS268" s="246"/>
      <c r="AT268" s="246"/>
      <c r="AU268" s="246"/>
      <c r="AV268" s="246"/>
      <c r="AW268" s="246"/>
      <c r="AX268" s="246"/>
      <c r="AY268" s="246"/>
      <c r="AZ268" s="246"/>
      <c r="BA268" s="246"/>
      <c r="BB268" s="246"/>
      <c r="BC268" s="246"/>
      <c r="BD268" s="246"/>
      <c r="BE268" s="246"/>
      <c r="BF268" s="246"/>
      <c r="BG268" s="246"/>
      <c r="BH268" s="246"/>
      <c r="BI268" s="246"/>
      <c r="BJ268" s="246"/>
      <c r="BK268" s="246"/>
      <c r="BL268" s="246"/>
    </row>
    <row r="269" ht="15.75" customHeight="1">
      <c r="A269" s="246"/>
      <c r="B269" s="246"/>
      <c r="C269" s="246"/>
      <c r="D269" s="246"/>
      <c r="E269" s="246"/>
      <c r="F269" s="246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246"/>
      <c r="S269" s="246"/>
      <c r="T269" s="246"/>
      <c r="U269" s="246"/>
      <c r="V269" s="246"/>
      <c r="W269" s="246"/>
      <c r="X269" s="246"/>
      <c r="Y269" s="246"/>
      <c r="Z269" s="246"/>
      <c r="AA269" s="246"/>
      <c r="AB269" s="246"/>
      <c r="AC269" s="246"/>
      <c r="AD269" s="246"/>
      <c r="AE269" s="246"/>
      <c r="AF269" s="246"/>
      <c r="AG269" s="246"/>
      <c r="AH269" s="246"/>
      <c r="AI269" s="246"/>
      <c r="AJ269" s="246"/>
      <c r="AK269" s="246"/>
      <c r="AL269" s="246"/>
      <c r="AM269" s="246"/>
      <c r="AN269" s="246"/>
      <c r="AO269" s="246"/>
      <c r="AP269" s="246"/>
      <c r="AQ269" s="246"/>
      <c r="AR269" s="246"/>
      <c r="AS269" s="246"/>
      <c r="AT269" s="246"/>
      <c r="AU269" s="246"/>
      <c r="AV269" s="246"/>
      <c r="AW269" s="246"/>
      <c r="AX269" s="246"/>
      <c r="AY269" s="246"/>
      <c r="AZ269" s="246"/>
      <c r="BA269" s="246"/>
      <c r="BB269" s="246"/>
      <c r="BC269" s="246"/>
      <c r="BD269" s="246"/>
      <c r="BE269" s="246"/>
      <c r="BF269" s="246"/>
      <c r="BG269" s="246"/>
      <c r="BH269" s="246"/>
      <c r="BI269" s="246"/>
      <c r="BJ269" s="246"/>
      <c r="BK269" s="246"/>
      <c r="BL269" s="24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 ht="15.75" customHeight="1">
      <c r="A1" s="43" t="s">
        <v>0</v>
      </c>
      <c r="B1" s="203"/>
      <c r="C1" s="203"/>
      <c r="D1" s="43" t="s">
        <v>7</v>
      </c>
      <c r="E1" s="43" t="s">
        <v>8</v>
      </c>
      <c r="F1" s="43" t="s">
        <v>9</v>
      </c>
      <c r="G1" s="43" t="s">
        <v>10</v>
      </c>
      <c r="H1" s="43" t="s">
        <v>11</v>
      </c>
      <c r="I1" s="43" t="s">
        <v>12</v>
      </c>
      <c r="J1" s="43" t="s">
        <v>13</v>
      </c>
      <c r="K1" s="43" t="s">
        <v>63</v>
      </c>
      <c r="L1" s="43" t="s">
        <v>64</v>
      </c>
      <c r="M1" s="43" t="s">
        <v>65</v>
      </c>
      <c r="N1" s="43" t="s">
        <v>66</v>
      </c>
      <c r="O1" s="43" t="s">
        <v>67</v>
      </c>
      <c r="P1" s="43" t="s">
        <v>68</v>
      </c>
      <c r="Q1" s="43" t="s">
        <v>69</v>
      </c>
      <c r="R1" s="43" t="s">
        <v>70</v>
      </c>
      <c r="S1" s="43" t="str">
        <f t="array" ref="S1:AD1">transpose(A22:A33)</f>
        <v>Q1 26</v>
      </c>
      <c r="T1" s="43" t="s">
        <v>72</v>
      </c>
      <c r="U1" s="43" t="s">
        <v>73</v>
      </c>
      <c r="V1" s="43" t="s">
        <v>74</v>
      </c>
      <c r="W1" s="43" t="s">
        <v>75</v>
      </c>
      <c r="X1" s="43" t="s">
        <v>76</v>
      </c>
      <c r="Y1" s="43" t="s">
        <v>77</v>
      </c>
      <c r="Z1" s="43" t="s">
        <v>78</v>
      </c>
      <c r="AA1" s="43" t="s">
        <v>79</v>
      </c>
      <c r="AB1" s="43" t="s">
        <v>80</v>
      </c>
      <c r="AC1" s="43" t="s">
        <v>81</v>
      </c>
      <c r="AD1" s="43" t="s">
        <v>82</v>
      </c>
      <c r="AE1" s="204"/>
      <c r="AF1" s="43" t="s">
        <v>14</v>
      </c>
      <c r="AG1" s="43" t="s">
        <v>2</v>
      </c>
      <c r="AH1" s="43" t="s">
        <v>3</v>
      </c>
      <c r="AI1" s="43" t="s">
        <v>4</v>
      </c>
      <c r="AJ1" s="43" t="s">
        <v>5</v>
      </c>
      <c r="AK1" s="43" t="s">
        <v>6</v>
      </c>
      <c r="AL1" s="43" t="s">
        <v>7</v>
      </c>
      <c r="AM1" s="43" t="s">
        <v>8</v>
      </c>
      <c r="AN1" s="43" t="s">
        <v>9</v>
      </c>
      <c r="AO1" s="43" t="s">
        <v>10</v>
      </c>
      <c r="AP1" s="43" t="s">
        <v>11</v>
      </c>
      <c r="AQ1" s="43" t="s">
        <v>12</v>
      </c>
      <c r="AR1" s="43" t="s">
        <v>13</v>
      </c>
      <c r="AS1" s="43" t="s">
        <v>63</v>
      </c>
      <c r="AT1" s="43" t="s">
        <v>64</v>
      </c>
      <c r="AU1" s="43" t="s">
        <v>65</v>
      </c>
      <c r="AV1" s="43" t="s">
        <v>66</v>
      </c>
      <c r="AW1" s="43" t="s">
        <v>67</v>
      </c>
      <c r="AX1" s="43" t="s">
        <v>68</v>
      </c>
      <c r="AY1" s="43" t="s">
        <v>69</v>
      </c>
      <c r="AZ1" s="43" t="s">
        <v>70</v>
      </c>
      <c r="BA1" s="43" t="str">
        <f t="array" ref="BA1:BL1">transpose(A22:A33)</f>
        <v>Q1 26</v>
      </c>
      <c r="BB1" s="43" t="s">
        <v>72</v>
      </c>
      <c r="BC1" s="43" t="s">
        <v>73</v>
      </c>
      <c r="BD1" s="43" t="s">
        <v>74</v>
      </c>
      <c r="BE1" s="43" t="s">
        <v>75</v>
      </c>
      <c r="BF1" s="43" t="s">
        <v>76</v>
      </c>
      <c r="BG1" s="43" t="s">
        <v>77</v>
      </c>
      <c r="BH1" s="43" t="s">
        <v>78</v>
      </c>
      <c r="BI1" s="43" t="s">
        <v>79</v>
      </c>
      <c r="BJ1" s="43" t="s">
        <v>80</v>
      </c>
      <c r="BK1" s="43" t="s">
        <v>81</v>
      </c>
      <c r="BL1" s="43" t="s">
        <v>82</v>
      </c>
    </row>
    <row r="2" ht="15.75" customHeight="1">
      <c r="A2" s="43" t="s">
        <v>2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4"/>
      <c r="AF2" s="205"/>
      <c r="AG2" s="206">
        <v>0.14</v>
      </c>
      <c r="AH2" s="206">
        <v>0.33</v>
      </c>
      <c r="AI2" s="206">
        <v>0.25</v>
      </c>
      <c r="AJ2" s="206">
        <v>0.15</v>
      </c>
      <c r="AK2" s="206">
        <v>0.07</v>
      </c>
      <c r="AL2" s="206">
        <v>0.04</v>
      </c>
      <c r="AM2" s="206">
        <v>0.02</v>
      </c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</row>
    <row r="3" ht="15.75" customHeight="1">
      <c r="A3" s="43" t="s">
        <v>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4"/>
      <c r="AF3" s="205"/>
      <c r="AG3" s="205"/>
      <c r="AH3" s="206">
        <v>0.14</v>
      </c>
      <c r="AI3" s="206">
        <v>0.33</v>
      </c>
      <c r="AJ3" s="206">
        <v>0.25</v>
      </c>
      <c r="AK3" s="206">
        <v>0.15</v>
      </c>
      <c r="AL3" s="206">
        <v>0.07</v>
      </c>
      <c r="AM3" s="206">
        <v>0.04</v>
      </c>
      <c r="AN3" s="206">
        <v>0.02</v>
      </c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</row>
    <row r="4" ht="15.75" customHeight="1">
      <c r="A4" s="43" t="s">
        <v>4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4"/>
      <c r="AF4" s="205"/>
      <c r="AG4" s="205"/>
      <c r="AH4" s="205"/>
      <c r="AI4" s="206">
        <v>0.14</v>
      </c>
      <c r="AJ4" s="206">
        <v>0.33</v>
      </c>
      <c r="AK4" s="206">
        <v>0.25</v>
      </c>
      <c r="AL4" s="206">
        <v>0.15</v>
      </c>
      <c r="AM4" s="206">
        <v>0.07</v>
      </c>
      <c r="AN4" s="206">
        <v>0.04</v>
      </c>
      <c r="AO4" s="206">
        <v>0.02</v>
      </c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</row>
    <row r="5" ht="15.75" customHeight="1">
      <c r="A5" s="43" t="s">
        <v>5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4"/>
      <c r="AF5" s="205"/>
      <c r="AG5" s="205"/>
      <c r="AH5" s="205"/>
      <c r="AI5" s="205"/>
      <c r="AJ5" s="206">
        <v>0.14</v>
      </c>
      <c r="AK5" s="206">
        <v>0.33</v>
      </c>
      <c r="AL5" s="206">
        <v>0.25</v>
      </c>
      <c r="AM5" s="206">
        <v>0.15</v>
      </c>
      <c r="AN5" s="206">
        <v>0.07</v>
      </c>
      <c r="AO5" s="206">
        <v>0.04</v>
      </c>
      <c r="AP5" s="206">
        <v>0.02</v>
      </c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</row>
    <row r="6" ht="15.75" customHeight="1">
      <c r="A6" s="43" t="s">
        <v>6</v>
      </c>
      <c r="B6" s="205"/>
      <c r="C6" s="205"/>
      <c r="D6" s="206">
        <v>0.1</v>
      </c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8"/>
      <c r="AF6" s="207"/>
      <c r="AG6" s="207"/>
      <c r="AH6" s="207"/>
      <c r="AI6" s="207"/>
      <c r="AJ6" s="207"/>
      <c r="AK6" s="206">
        <v>0.14</v>
      </c>
      <c r="AL6" s="206">
        <v>0.33</v>
      </c>
      <c r="AM6" s="206">
        <v>0.25</v>
      </c>
      <c r="AN6" s="206">
        <v>0.15</v>
      </c>
      <c r="AO6" s="206">
        <v>0.07</v>
      </c>
      <c r="AP6" s="206">
        <v>0.04</v>
      </c>
      <c r="AQ6" s="206">
        <v>0.02</v>
      </c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</row>
    <row r="7" ht="15.75" customHeight="1">
      <c r="A7" s="43" t="s">
        <v>7</v>
      </c>
      <c r="B7" s="205"/>
      <c r="C7" s="205"/>
      <c r="D7" s="206">
        <f>227/255</f>
        <v>0.8901960784</v>
      </c>
      <c r="E7" s="206">
        <v>0.1</v>
      </c>
      <c r="F7" s="206">
        <v>0.01</v>
      </c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8"/>
      <c r="AF7" s="207"/>
      <c r="AG7" s="207"/>
      <c r="AH7" s="207"/>
      <c r="AI7" s="207"/>
      <c r="AJ7" s="207"/>
      <c r="AK7" s="207"/>
      <c r="AL7" s="206">
        <v>0.14</v>
      </c>
      <c r="AM7" s="206">
        <v>0.33</v>
      </c>
      <c r="AN7" s="206">
        <v>0.25</v>
      </c>
      <c r="AO7" s="206">
        <v>0.15</v>
      </c>
      <c r="AP7" s="206">
        <v>0.07</v>
      </c>
      <c r="AQ7" s="206">
        <v>0.04</v>
      </c>
      <c r="AR7" s="206">
        <v>0.02</v>
      </c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</row>
    <row r="8" ht="15.75" customHeight="1">
      <c r="A8" s="43" t="s">
        <v>8</v>
      </c>
      <c r="B8" s="205"/>
      <c r="C8" s="205"/>
      <c r="D8" s="207"/>
      <c r="E8" s="206">
        <f>227/255</f>
        <v>0.8901960784</v>
      </c>
      <c r="F8" s="206">
        <v>0.1</v>
      </c>
      <c r="G8" s="206">
        <v>0.01</v>
      </c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8"/>
      <c r="AF8" s="207"/>
      <c r="AG8" s="207"/>
      <c r="AH8" s="207"/>
      <c r="AI8" s="207"/>
      <c r="AJ8" s="207"/>
      <c r="AK8" s="207"/>
      <c r="AL8" s="207"/>
      <c r="AM8" s="206">
        <v>0.14</v>
      </c>
      <c r="AN8" s="206">
        <v>0.33</v>
      </c>
      <c r="AO8" s="206">
        <v>0.25</v>
      </c>
      <c r="AP8" s="206">
        <v>0.15</v>
      </c>
      <c r="AQ8" s="206">
        <v>0.07</v>
      </c>
      <c r="AR8" s="206">
        <v>0.04</v>
      </c>
      <c r="AS8" s="206">
        <v>0.02</v>
      </c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</row>
    <row r="9" ht="15.75" customHeight="1">
      <c r="A9" s="43" t="s">
        <v>9</v>
      </c>
      <c r="B9" s="205"/>
      <c r="C9" s="205"/>
      <c r="D9" s="207"/>
      <c r="E9" s="207"/>
      <c r="F9" s="206">
        <f>227/255</f>
        <v>0.8901960784</v>
      </c>
      <c r="G9" s="206">
        <v>0.1</v>
      </c>
      <c r="H9" s="206">
        <v>0.01</v>
      </c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8"/>
      <c r="AF9" s="207"/>
      <c r="AG9" s="207"/>
      <c r="AH9" s="207"/>
      <c r="AI9" s="207"/>
      <c r="AJ9" s="207"/>
      <c r="AK9" s="207"/>
      <c r="AL9" s="207"/>
      <c r="AM9" s="207"/>
      <c r="AN9" s="206">
        <v>0.14</v>
      </c>
      <c r="AO9" s="206">
        <v>0.33</v>
      </c>
      <c r="AP9" s="206">
        <v>0.25</v>
      </c>
      <c r="AQ9" s="206">
        <v>0.15</v>
      </c>
      <c r="AR9" s="206">
        <v>0.07</v>
      </c>
      <c r="AS9" s="206">
        <v>0.04</v>
      </c>
      <c r="AT9" s="206">
        <v>0.02</v>
      </c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</row>
    <row r="10" ht="15.75" customHeight="1">
      <c r="A10" s="43" t="s">
        <v>10</v>
      </c>
      <c r="B10" s="205"/>
      <c r="C10" s="205"/>
      <c r="D10" s="207"/>
      <c r="E10" s="207"/>
      <c r="F10" s="207"/>
      <c r="G10" s="206">
        <f>227/255</f>
        <v>0.8901960784</v>
      </c>
      <c r="H10" s="206">
        <v>0.1</v>
      </c>
      <c r="I10" s="206">
        <v>0.01</v>
      </c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8"/>
      <c r="AF10" s="207"/>
      <c r="AG10" s="207"/>
      <c r="AH10" s="207"/>
      <c r="AI10" s="207"/>
      <c r="AJ10" s="207"/>
      <c r="AK10" s="207"/>
      <c r="AL10" s="207"/>
      <c r="AM10" s="207"/>
      <c r="AN10" s="207"/>
      <c r="AO10" s="206">
        <v>0.14</v>
      </c>
      <c r="AP10" s="206">
        <v>0.33</v>
      </c>
      <c r="AQ10" s="206">
        <v>0.25</v>
      </c>
      <c r="AR10" s="206">
        <v>0.15</v>
      </c>
      <c r="AS10" s="206">
        <v>0.07</v>
      </c>
      <c r="AT10" s="206">
        <v>0.04</v>
      </c>
      <c r="AU10" s="206">
        <v>0.02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</row>
    <row r="11" ht="15.75" customHeight="1">
      <c r="A11" s="43" t="s">
        <v>11</v>
      </c>
      <c r="B11" s="205"/>
      <c r="C11" s="205"/>
      <c r="D11" s="207"/>
      <c r="E11" s="207"/>
      <c r="F11" s="207"/>
      <c r="G11" s="207"/>
      <c r="H11" s="206">
        <f>227/255</f>
        <v>0.8901960784</v>
      </c>
      <c r="I11" s="206">
        <v>0.1</v>
      </c>
      <c r="J11" s="206">
        <v>0.01</v>
      </c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8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6">
        <v>0.14</v>
      </c>
      <c r="AQ11" s="206">
        <v>0.33</v>
      </c>
      <c r="AR11" s="206">
        <v>0.25</v>
      </c>
      <c r="AS11" s="206">
        <v>0.15</v>
      </c>
      <c r="AT11" s="206">
        <v>0.07</v>
      </c>
      <c r="AU11" s="206">
        <v>0.04</v>
      </c>
      <c r="AV11" s="206">
        <v>0.02</v>
      </c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</row>
    <row r="12" ht="15.75" customHeight="1">
      <c r="A12" s="43" t="s">
        <v>12</v>
      </c>
      <c r="B12" s="205"/>
      <c r="C12" s="205"/>
      <c r="D12" s="207"/>
      <c r="E12" s="207"/>
      <c r="F12" s="207"/>
      <c r="G12" s="207"/>
      <c r="H12" s="207"/>
      <c r="I12" s="206">
        <f>227/255</f>
        <v>0.8901960784</v>
      </c>
      <c r="J12" s="206">
        <v>0.1</v>
      </c>
      <c r="K12" s="206">
        <v>0.01</v>
      </c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8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>
        <v>0.14</v>
      </c>
      <c r="AR12" s="206">
        <v>0.33</v>
      </c>
      <c r="AS12" s="206">
        <v>0.25</v>
      </c>
      <c r="AT12" s="206">
        <v>0.15</v>
      </c>
      <c r="AU12" s="206">
        <v>0.07</v>
      </c>
      <c r="AV12" s="206">
        <v>0.04</v>
      </c>
      <c r="AW12" s="206">
        <v>0.02</v>
      </c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</row>
    <row r="13" ht="15.75" customHeight="1">
      <c r="A13" s="43" t="s">
        <v>13</v>
      </c>
      <c r="B13" s="205"/>
      <c r="C13" s="205"/>
      <c r="D13" s="207"/>
      <c r="E13" s="207"/>
      <c r="F13" s="207"/>
      <c r="G13" s="207"/>
      <c r="H13" s="207"/>
      <c r="I13" s="207"/>
      <c r="J13" s="206">
        <f>227/255</f>
        <v>0.8901960784</v>
      </c>
      <c r="K13" s="206">
        <v>0.1</v>
      </c>
      <c r="L13" s="206">
        <v>0.01</v>
      </c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8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6">
        <v>0.14</v>
      </c>
      <c r="AS13" s="206">
        <v>0.33</v>
      </c>
      <c r="AT13" s="206">
        <v>0.25</v>
      </c>
      <c r="AU13" s="206">
        <v>0.15</v>
      </c>
      <c r="AV13" s="206">
        <v>0.07</v>
      </c>
      <c r="AW13" s="206">
        <v>0.04</v>
      </c>
      <c r="AX13" s="206">
        <v>0.02</v>
      </c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</row>
    <row r="14" ht="15.75" customHeight="1">
      <c r="A14" s="43" t="s">
        <v>63</v>
      </c>
      <c r="B14" s="205"/>
      <c r="C14" s="205"/>
      <c r="D14" s="207"/>
      <c r="E14" s="207"/>
      <c r="F14" s="207"/>
      <c r="G14" s="207"/>
      <c r="H14" s="207"/>
      <c r="I14" s="207"/>
      <c r="J14" s="207"/>
      <c r="K14" s="206">
        <f>227/255</f>
        <v>0.8901960784</v>
      </c>
      <c r="L14" s="206">
        <v>0.1</v>
      </c>
      <c r="M14" s="206">
        <v>0.01</v>
      </c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8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6">
        <v>0.14</v>
      </c>
      <c r="AT14" s="206">
        <v>0.33</v>
      </c>
      <c r="AU14" s="206">
        <v>0.25</v>
      </c>
      <c r="AV14" s="206">
        <v>0.15</v>
      </c>
      <c r="AW14" s="206">
        <v>0.07</v>
      </c>
      <c r="AX14" s="206">
        <v>0.04</v>
      </c>
      <c r="AY14" s="206">
        <v>0.02</v>
      </c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</row>
    <row r="15" ht="15.75" customHeight="1">
      <c r="A15" s="43" t="s">
        <v>64</v>
      </c>
      <c r="B15" s="205"/>
      <c r="C15" s="205"/>
      <c r="D15" s="207"/>
      <c r="E15" s="207"/>
      <c r="F15" s="207"/>
      <c r="G15" s="207"/>
      <c r="H15" s="207"/>
      <c r="I15" s="207"/>
      <c r="J15" s="207"/>
      <c r="K15" s="207"/>
      <c r="L15" s="206">
        <f>227/255</f>
        <v>0.8901960784</v>
      </c>
      <c r="M15" s="206">
        <v>0.1</v>
      </c>
      <c r="N15" s="206">
        <v>0.01</v>
      </c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8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6">
        <v>0.14</v>
      </c>
      <c r="AU15" s="206">
        <v>0.33</v>
      </c>
      <c r="AV15" s="206">
        <v>0.25</v>
      </c>
      <c r="AW15" s="206">
        <v>0.15</v>
      </c>
      <c r="AX15" s="206">
        <v>0.07</v>
      </c>
      <c r="AY15" s="206">
        <v>0.04</v>
      </c>
      <c r="AZ15" s="206">
        <v>0.02</v>
      </c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</row>
    <row r="16" ht="15.75" customHeight="1">
      <c r="A16" s="43" t="s">
        <v>65</v>
      </c>
      <c r="B16" s="205"/>
      <c r="C16" s="205"/>
      <c r="D16" s="207"/>
      <c r="E16" s="207"/>
      <c r="F16" s="207"/>
      <c r="G16" s="207"/>
      <c r="H16" s="207"/>
      <c r="I16" s="207"/>
      <c r="J16" s="207"/>
      <c r="K16" s="207"/>
      <c r="L16" s="207"/>
      <c r="M16" s="206">
        <f>227/255</f>
        <v>0.8901960784</v>
      </c>
      <c r="N16" s="206">
        <v>0.1</v>
      </c>
      <c r="O16" s="206">
        <v>0.01</v>
      </c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8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6">
        <v>0.14</v>
      </c>
      <c r="AV16" s="206">
        <v>0.33</v>
      </c>
      <c r="AW16" s="206">
        <v>0.25</v>
      </c>
      <c r="AX16" s="206">
        <v>0.15</v>
      </c>
      <c r="AY16" s="206">
        <v>0.07</v>
      </c>
      <c r="AZ16" s="206">
        <v>0.04</v>
      </c>
      <c r="BA16" s="206">
        <v>0.02</v>
      </c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</row>
    <row r="17" ht="15.75" customHeight="1">
      <c r="A17" s="43" t="s">
        <v>66</v>
      </c>
      <c r="B17" s="205"/>
      <c r="C17" s="205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6">
        <v>0.89</v>
      </c>
      <c r="O17" s="206">
        <v>0.1</v>
      </c>
      <c r="P17" s="206">
        <v>0.01</v>
      </c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8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6">
        <v>0.14</v>
      </c>
      <c r="AW17" s="206">
        <v>0.33</v>
      </c>
      <c r="AX17" s="206">
        <v>0.25</v>
      </c>
      <c r="AY17" s="206">
        <v>0.15</v>
      </c>
      <c r="AZ17" s="206">
        <v>0.07</v>
      </c>
      <c r="BA17" s="206">
        <v>0.04</v>
      </c>
      <c r="BB17" s="206">
        <v>0.02</v>
      </c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</row>
    <row r="18" ht="15.75" customHeight="1">
      <c r="A18" s="43" t="s">
        <v>67</v>
      </c>
      <c r="B18" s="205"/>
      <c r="C18" s="205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6">
        <v>0.89</v>
      </c>
      <c r="P18" s="206">
        <v>0.1</v>
      </c>
      <c r="Q18" s="206">
        <v>0.01</v>
      </c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8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6">
        <v>0.14</v>
      </c>
      <c r="AX18" s="206">
        <v>0.33</v>
      </c>
      <c r="AY18" s="206">
        <v>0.25</v>
      </c>
      <c r="AZ18" s="206">
        <v>0.15</v>
      </c>
      <c r="BA18" s="206">
        <v>0.07</v>
      </c>
      <c r="BB18" s="206">
        <v>0.04</v>
      </c>
      <c r="BC18" s="206">
        <v>0.02</v>
      </c>
      <c r="BD18" s="207"/>
      <c r="BE18" s="207"/>
      <c r="BF18" s="207"/>
      <c r="BG18" s="207"/>
      <c r="BH18" s="207"/>
      <c r="BI18" s="207"/>
      <c r="BJ18" s="207"/>
      <c r="BK18" s="207"/>
      <c r="BL18" s="207"/>
    </row>
    <row r="19" ht="15.75" customHeight="1">
      <c r="A19" s="43" t="s">
        <v>68</v>
      </c>
      <c r="B19" s="205"/>
      <c r="C19" s="205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6">
        <v>0.89</v>
      </c>
      <c r="Q19" s="206">
        <v>0.1</v>
      </c>
      <c r="R19" s="206">
        <v>0.01</v>
      </c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8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6">
        <v>0.14</v>
      </c>
      <c r="AY19" s="206">
        <v>0.33</v>
      </c>
      <c r="AZ19" s="206">
        <v>0.25</v>
      </c>
      <c r="BA19" s="206">
        <v>0.15</v>
      </c>
      <c r="BB19" s="206">
        <v>0.07</v>
      </c>
      <c r="BC19" s="206">
        <v>0.04</v>
      </c>
      <c r="BD19" s="206">
        <v>0.02</v>
      </c>
      <c r="BE19" s="207"/>
      <c r="BF19" s="207"/>
      <c r="BG19" s="207"/>
      <c r="BH19" s="207"/>
      <c r="BI19" s="207"/>
      <c r="BJ19" s="207"/>
      <c r="BK19" s="207"/>
      <c r="BL19" s="207"/>
    </row>
    <row r="20" ht="15.75" customHeight="1">
      <c r="A20" s="43" t="s">
        <v>69</v>
      </c>
      <c r="B20" s="205"/>
      <c r="C20" s="205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6">
        <v>0.89</v>
      </c>
      <c r="R20" s="206">
        <v>0.1</v>
      </c>
      <c r="S20" s="206">
        <v>0.01</v>
      </c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8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6">
        <v>0.14</v>
      </c>
      <c r="AZ20" s="206">
        <v>0.33</v>
      </c>
      <c r="BA20" s="206">
        <v>0.25</v>
      </c>
      <c r="BB20" s="206">
        <v>0.15</v>
      </c>
      <c r="BC20" s="206">
        <v>0.07</v>
      </c>
      <c r="BD20" s="206">
        <v>0.04</v>
      </c>
      <c r="BE20" s="206">
        <v>0.02</v>
      </c>
      <c r="BF20" s="207"/>
      <c r="BG20" s="207"/>
      <c r="BH20" s="207"/>
      <c r="BI20" s="207"/>
      <c r="BJ20" s="207"/>
      <c r="BK20" s="207"/>
      <c r="BL20" s="207"/>
    </row>
    <row r="21" ht="15.75" customHeight="1">
      <c r="A21" s="43" t="s">
        <v>70</v>
      </c>
      <c r="B21" s="205"/>
      <c r="C21" s="205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6">
        <v>0.89</v>
      </c>
      <c r="S21" s="206">
        <v>0.1</v>
      </c>
      <c r="T21" s="206">
        <v>0.01</v>
      </c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8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6">
        <v>0.14</v>
      </c>
      <c r="BA21" s="206">
        <v>0.33</v>
      </c>
      <c r="BB21" s="206">
        <v>0.25</v>
      </c>
      <c r="BC21" s="206">
        <v>0.15</v>
      </c>
      <c r="BD21" s="206">
        <v>0.07</v>
      </c>
      <c r="BE21" s="206">
        <v>0.04</v>
      </c>
      <c r="BF21" s="206">
        <v>0.02</v>
      </c>
      <c r="BG21" s="207"/>
      <c r="BH21" s="207"/>
      <c r="BI21" s="207"/>
      <c r="BJ21" s="207"/>
      <c r="BK21" s="207"/>
      <c r="BL21" s="207"/>
    </row>
    <row r="22" ht="15.75" customHeight="1">
      <c r="A22" s="43" t="s">
        <v>71</v>
      </c>
      <c r="B22" s="205"/>
      <c r="C22" s="205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6">
        <f>227/255</f>
        <v>0.8901960784</v>
      </c>
      <c r="T22" s="206">
        <v>0.1</v>
      </c>
      <c r="U22" s="206">
        <v>0.01</v>
      </c>
      <c r="V22" s="207"/>
      <c r="W22" s="207"/>
      <c r="X22" s="207"/>
      <c r="Y22" s="207"/>
      <c r="Z22" s="207"/>
      <c r="AA22" s="207"/>
      <c r="AB22" s="207"/>
      <c r="AC22" s="207"/>
      <c r="AD22" s="207"/>
      <c r="AE22" s="208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6">
        <v>0.14</v>
      </c>
      <c r="BB22" s="206">
        <v>0.33</v>
      </c>
      <c r="BC22" s="206">
        <v>0.25</v>
      </c>
      <c r="BD22" s="206">
        <v>0.15</v>
      </c>
      <c r="BE22" s="206">
        <v>0.07</v>
      </c>
      <c r="BF22" s="206">
        <v>0.04</v>
      </c>
      <c r="BG22" s="206">
        <v>0.02</v>
      </c>
      <c r="BH22" s="207"/>
      <c r="BI22" s="207"/>
      <c r="BJ22" s="207"/>
      <c r="BK22" s="207"/>
      <c r="BL22" s="207"/>
    </row>
    <row r="23" ht="15.75" customHeight="1">
      <c r="A23" s="43" t="s">
        <v>72</v>
      </c>
      <c r="B23" s="205"/>
      <c r="C23" s="205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6">
        <f>227/255</f>
        <v>0.8901960784</v>
      </c>
      <c r="U23" s="206">
        <v>0.1</v>
      </c>
      <c r="V23" s="206">
        <v>0.01</v>
      </c>
      <c r="W23" s="207"/>
      <c r="X23" s="207"/>
      <c r="Y23" s="207"/>
      <c r="Z23" s="207"/>
      <c r="AA23" s="207"/>
      <c r="AB23" s="207"/>
      <c r="AC23" s="207"/>
      <c r="AD23" s="207"/>
      <c r="AE23" s="208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6">
        <v>0.14</v>
      </c>
      <c r="BC23" s="206">
        <v>0.33</v>
      </c>
      <c r="BD23" s="206">
        <v>0.25</v>
      </c>
      <c r="BE23" s="206">
        <v>0.15</v>
      </c>
      <c r="BF23" s="206">
        <v>0.07</v>
      </c>
      <c r="BG23" s="206">
        <v>0.04</v>
      </c>
      <c r="BH23" s="206">
        <v>0.02</v>
      </c>
      <c r="BI23" s="207"/>
      <c r="BJ23" s="207"/>
      <c r="BK23" s="207"/>
      <c r="BL23" s="207"/>
    </row>
    <row r="24" ht="15.75" customHeight="1">
      <c r="A24" s="43" t="s">
        <v>73</v>
      </c>
      <c r="B24" s="205"/>
      <c r="C24" s="205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6">
        <f>227/255</f>
        <v>0.8901960784</v>
      </c>
      <c r="V24" s="206">
        <v>0.1</v>
      </c>
      <c r="W24" s="206">
        <v>0.01</v>
      </c>
      <c r="X24" s="207"/>
      <c r="Y24" s="207"/>
      <c r="Z24" s="207"/>
      <c r="AA24" s="207"/>
      <c r="AB24" s="207"/>
      <c r="AC24" s="207"/>
      <c r="AD24" s="207"/>
      <c r="AE24" s="208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6">
        <v>0.14</v>
      </c>
      <c r="BD24" s="206">
        <v>0.33</v>
      </c>
      <c r="BE24" s="206">
        <v>0.25</v>
      </c>
      <c r="BF24" s="206">
        <v>0.15</v>
      </c>
      <c r="BG24" s="206">
        <v>0.07</v>
      </c>
      <c r="BH24" s="206">
        <v>0.04</v>
      </c>
      <c r="BI24" s="206">
        <v>0.02</v>
      </c>
      <c r="BJ24" s="207"/>
      <c r="BK24" s="207"/>
      <c r="BL24" s="207"/>
    </row>
    <row r="25" ht="15.75" customHeight="1">
      <c r="A25" s="43" t="s">
        <v>74</v>
      </c>
      <c r="B25" s="205"/>
      <c r="C25" s="205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6">
        <f>227/255</f>
        <v>0.8901960784</v>
      </c>
      <c r="W25" s="206">
        <v>0.1</v>
      </c>
      <c r="X25" s="206">
        <v>0.01</v>
      </c>
      <c r="Y25" s="207"/>
      <c r="Z25" s="207"/>
      <c r="AA25" s="207"/>
      <c r="AB25" s="207"/>
      <c r="AC25" s="207"/>
      <c r="AD25" s="207"/>
      <c r="AE25" s="208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6">
        <v>0.14</v>
      </c>
      <c r="BE25" s="206">
        <v>0.33</v>
      </c>
      <c r="BF25" s="206">
        <v>0.25</v>
      </c>
      <c r="BG25" s="206">
        <v>0.15</v>
      </c>
      <c r="BH25" s="206">
        <v>0.07</v>
      </c>
      <c r="BI25" s="206">
        <v>0.04</v>
      </c>
      <c r="BJ25" s="206">
        <v>0.02</v>
      </c>
      <c r="BK25" s="207"/>
      <c r="BL25" s="207"/>
    </row>
    <row r="26" ht="15.75" customHeight="1">
      <c r="A26" s="43" t="s">
        <v>75</v>
      </c>
      <c r="B26" s="205"/>
      <c r="C26" s="205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6">
        <f>227/255</f>
        <v>0.8901960784</v>
      </c>
      <c r="X26" s="206">
        <v>0.1</v>
      </c>
      <c r="Y26" s="206">
        <v>0.01</v>
      </c>
      <c r="Z26" s="207"/>
      <c r="AA26" s="207"/>
      <c r="AB26" s="207"/>
      <c r="AC26" s="207"/>
      <c r="AD26" s="207"/>
      <c r="AE26" s="208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6">
        <v>0.14</v>
      </c>
      <c r="BF26" s="206">
        <v>0.33</v>
      </c>
      <c r="BG26" s="206">
        <v>0.25</v>
      </c>
      <c r="BH26" s="206">
        <v>0.15</v>
      </c>
      <c r="BI26" s="206">
        <v>0.07</v>
      </c>
      <c r="BJ26" s="206">
        <v>0.04</v>
      </c>
      <c r="BK26" s="206">
        <v>0.02</v>
      </c>
      <c r="BL26" s="207"/>
    </row>
    <row r="27" ht="15.75" customHeight="1">
      <c r="A27" s="43" t="s">
        <v>76</v>
      </c>
      <c r="B27" s="205"/>
      <c r="C27" s="205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6">
        <f>227/255</f>
        <v>0.8901960784</v>
      </c>
      <c r="Y27" s="206">
        <v>0.1</v>
      </c>
      <c r="Z27" s="206">
        <v>0.01</v>
      </c>
      <c r="AA27" s="207"/>
      <c r="AB27" s="207"/>
      <c r="AC27" s="207"/>
      <c r="AD27" s="207"/>
      <c r="AE27" s="208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6">
        <v>0.14</v>
      </c>
      <c r="BG27" s="206">
        <v>0.33</v>
      </c>
      <c r="BH27" s="206">
        <v>0.25</v>
      </c>
      <c r="BI27" s="206">
        <v>0.15</v>
      </c>
      <c r="BJ27" s="206">
        <v>0.07</v>
      </c>
      <c r="BK27" s="206">
        <v>0.04</v>
      </c>
      <c r="BL27" s="206">
        <v>0.02</v>
      </c>
    </row>
    <row r="28" ht="15.75" customHeight="1">
      <c r="A28" s="43" t="s">
        <v>77</v>
      </c>
      <c r="B28" s="205"/>
      <c r="C28" s="205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6">
        <f>227/255</f>
        <v>0.8901960784</v>
      </c>
      <c r="Z28" s="206">
        <v>0.1</v>
      </c>
      <c r="AA28" s="206">
        <v>0.01</v>
      </c>
      <c r="AB28" s="207"/>
      <c r="AC28" s="207"/>
      <c r="AD28" s="207"/>
      <c r="AE28" s="208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6">
        <v>0.14</v>
      </c>
      <c r="BH28" s="206">
        <v>0.33</v>
      </c>
      <c r="BI28" s="206">
        <v>0.25</v>
      </c>
      <c r="BJ28" s="206">
        <v>0.15</v>
      </c>
      <c r="BK28" s="206">
        <v>0.07</v>
      </c>
      <c r="BL28" s="206">
        <v>0.04</v>
      </c>
    </row>
    <row r="29" ht="15.75" customHeight="1">
      <c r="A29" s="43" t="s">
        <v>78</v>
      </c>
      <c r="B29" s="205"/>
      <c r="C29" s="205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6">
        <v>0.89</v>
      </c>
      <c r="AA29" s="206">
        <v>0.1</v>
      </c>
      <c r="AB29" s="206">
        <v>0.01</v>
      </c>
      <c r="AC29" s="207"/>
      <c r="AD29" s="207"/>
      <c r="AE29" s="208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6">
        <v>0.14</v>
      </c>
      <c r="BI29" s="206">
        <v>0.33</v>
      </c>
      <c r="BJ29" s="206">
        <v>0.25</v>
      </c>
      <c r="BK29" s="206">
        <v>0.15</v>
      </c>
      <c r="BL29" s="206">
        <v>0.07</v>
      </c>
    </row>
    <row r="30" ht="15.75" customHeight="1">
      <c r="A30" s="43" t="s">
        <v>79</v>
      </c>
      <c r="B30" s="205"/>
      <c r="C30" s="205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6">
        <v>0.89</v>
      </c>
      <c r="AB30" s="206">
        <v>0.1</v>
      </c>
      <c r="AC30" s="206">
        <v>0.01</v>
      </c>
      <c r="AD30" s="207"/>
      <c r="AE30" s="208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6">
        <v>0.14</v>
      </c>
      <c r="BJ30" s="206">
        <v>0.33</v>
      </c>
      <c r="BK30" s="206">
        <v>0.25</v>
      </c>
      <c r="BL30" s="206">
        <v>0.15</v>
      </c>
    </row>
    <row r="31" ht="15.75" customHeight="1">
      <c r="A31" s="43" t="s">
        <v>80</v>
      </c>
      <c r="B31" s="205"/>
      <c r="C31" s="205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6">
        <v>0.89</v>
      </c>
      <c r="AC31" s="206">
        <v>0.1</v>
      </c>
      <c r="AD31" s="206">
        <v>0.01</v>
      </c>
      <c r="AE31" s="208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6">
        <v>0.14</v>
      </c>
      <c r="BK31" s="206">
        <v>0.33</v>
      </c>
      <c r="BL31" s="206">
        <v>0.25</v>
      </c>
    </row>
    <row r="32" ht="15.75" customHeight="1">
      <c r="A32" s="43" t="s">
        <v>81</v>
      </c>
      <c r="B32" s="205"/>
      <c r="C32" s="205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6">
        <v>0.89</v>
      </c>
      <c r="AD32" s="206">
        <v>0.1</v>
      </c>
      <c r="AE32" s="208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6">
        <v>0.14</v>
      </c>
      <c r="BL32" s="206">
        <v>0.33</v>
      </c>
    </row>
    <row r="33" ht="15.75" customHeight="1">
      <c r="A33" s="43" t="s">
        <v>82</v>
      </c>
      <c r="B33" s="205"/>
      <c r="C33" s="205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6">
        <v>0.89</v>
      </c>
      <c r="AE33" s="208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6">
        <v>0.14</v>
      </c>
    </row>
    <row r="34" ht="15.75" customHeight="1">
      <c r="A34" s="205"/>
      <c r="B34" s="209" t="s">
        <v>54</v>
      </c>
      <c r="C34" s="209" t="s">
        <v>170</v>
      </c>
      <c r="D34" s="209" t="s">
        <v>7</v>
      </c>
      <c r="E34" s="209" t="s">
        <v>8</v>
      </c>
      <c r="F34" s="209" t="s">
        <v>9</v>
      </c>
      <c r="G34" s="209" t="s">
        <v>10</v>
      </c>
      <c r="H34" s="209" t="s">
        <v>11</v>
      </c>
      <c r="I34" s="209" t="s">
        <v>12</v>
      </c>
      <c r="J34" s="209" t="s">
        <v>13</v>
      </c>
      <c r="K34" s="209" t="s">
        <v>63</v>
      </c>
      <c r="L34" s="209" t="s">
        <v>64</v>
      </c>
      <c r="M34" s="209" t="s">
        <v>65</v>
      </c>
      <c r="N34" s="209" t="s">
        <v>66</v>
      </c>
      <c r="O34" s="209" t="s">
        <v>67</v>
      </c>
      <c r="P34" s="209" t="s">
        <v>68</v>
      </c>
      <c r="Q34" s="209" t="s">
        <v>69</v>
      </c>
      <c r="R34" s="209" t="s">
        <v>70</v>
      </c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04"/>
      <c r="AF34" s="209" t="s">
        <v>14</v>
      </c>
      <c r="AG34" s="209" t="s">
        <v>2</v>
      </c>
      <c r="AH34" s="209" t="s">
        <v>3</v>
      </c>
      <c r="AI34" s="209" t="s">
        <v>4</v>
      </c>
      <c r="AJ34" s="209" t="s">
        <v>5</v>
      </c>
      <c r="AK34" s="209" t="s">
        <v>6</v>
      </c>
      <c r="AL34" s="209" t="s">
        <v>7</v>
      </c>
      <c r="AM34" s="209" t="s">
        <v>8</v>
      </c>
      <c r="AN34" s="209" t="s">
        <v>9</v>
      </c>
      <c r="AO34" s="209" t="s">
        <v>10</v>
      </c>
      <c r="AP34" s="209" t="s">
        <v>11</v>
      </c>
      <c r="AQ34" s="209" t="s">
        <v>12</v>
      </c>
      <c r="AR34" s="209" t="s">
        <v>13</v>
      </c>
      <c r="AS34" s="209" t="s">
        <v>63</v>
      </c>
      <c r="AT34" s="209" t="s">
        <v>64</v>
      </c>
      <c r="AU34" s="209" t="s">
        <v>65</v>
      </c>
      <c r="AV34" s="209" t="s">
        <v>66</v>
      </c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</row>
    <row r="35" ht="15.75" customHeight="1">
      <c r="A35" s="209" t="s">
        <v>2</v>
      </c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04"/>
      <c r="AF35" s="212">
        <v>0.0</v>
      </c>
      <c r="AG35" s="53">
        <f t="shared" ref="AG35:AM35" si="1">$AF35*AG2</f>
        <v>0</v>
      </c>
      <c r="AH35" s="53">
        <f t="shared" si="1"/>
        <v>0</v>
      </c>
      <c r="AI35" s="53">
        <f t="shared" si="1"/>
        <v>0</v>
      </c>
      <c r="AJ35" s="53">
        <f t="shared" si="1"/>
        <v>0</v>
      </c>
      <c r="AK35" s="53">
        <f t="shared" si="1"/>
        <v>0</v>
      </c>
      <c r="AL35" s="53">
        <f t="shared" si="1"/>
        <v>0</v>
      </c>
      <c r="AM35" s="53">
        <f t="shared" si="1"/>
        <v>0</v>
      </c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</row>
    <row r="36" ht="15.75" customHeight="1">
      <c r="A36" s="209" t="s">
        <v>3</v>
      </c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04"/>
      <c r="AF36" s="212">
        <v>0.0</v>
      </c>
      <c r="AG36" s="211"/>
      <c r="AH36" s="53">
        <f t="shared" ref="AH36:AN36" si="2">$AF36*AH3</f>
        <v>0</v>
      </c>
      <c r="AI36" s="53">
        <f t="shared" si="2"/>
        <v>0</v>
      </c>
      <c r="AJ36" s="53">
        <f t="shared" si="2"/>
        <v>0</v>
      </c>
      <c r="AK36" s="53">
        <f t="shared" si="2"/>
        <v>0</v>
      </c>
      <c r="AL36" s="53">
        <f t="shared" si="2"/>
        <v>0</v>
      </c>
      <c r="AM36" s="53">
        <f t="shared" si="2"/>
        <v>0</v>
      </c>
      <c r="AN36" s="53">
        <f t="shared" si="2"/>
        <v>0</v>
      </c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</row>
    <row r="37" ht="15.75" customHeight="1">
      <c r="A37" s="209" t="s">
        <v>4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04"/>
      <c r="AF37" s="212">
        <v>0.0</v>
      </c>
      <c r="AG37" s="207"/>
      <c r="AH37" s="211"/>
      <c r="AI37" s="53">
        <f t="shared" ref="AI37:AO37" si="3">$AF37*AI4</f>
        <v>0</v>
      </c>
      <c r="AJ37" s="53">
        <f t="shared" si="3"/>
        <v>0</v>
      </c>
      <c r="AK37" s="53">
        <f t="shared" si="3"/>
        <v>0</v>
      </c>
      <c r="AL37" s="53">
        <f t="shared" si="3"/>
        <v>0</v>
      </c>
      <c r="AM37" s="53">
        <f t="shared" si="3"/>
        <v>0</v>
      </c>
      <c r="AN37" s="53">
        <f t="shared" si="3"/>
        <v>0</v>
      </c>
      <c r="AO37" s="53">
        <f t="shared" si="3"/>
        <v>0</v>
      </c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</row>
    <row r="38" ht="15.75" customHeight="1">
      <c r="A38" s="209" t="s">
        <v>5</v>
      </c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04"/>
      <c r="AF38" s="212">
        <v>0.0</v>
      </c>
      <c r="AG38" s="207"/>
      <c r="AH38" s="211"/>
      <c r="AI38" s="211"/>
      <c r="AJ38" s="53">
        <f t="shared" ref="AJ38:AP38" si="4">$AF38*AJ5</f>
        <v>0</v>
      </c>
      <c r="AK38" s="53">
        <f t="shared" si="4"/>
        <v>0</v>
      </c>
      <c r="AL38" s="53">
        <f t="shared" si="4"/>
        <v>0</v>
      </c>
      <c r="AM38" s="53">
        <f t="shared" si="4"/>
        <v>0</v>
      </c>
      <c r="AN38" s="53">
        <f t="shared" si="4"/>
        <v>0</v>
      </c>
      <c r="AO38" s="53">
        <f t="shared" si="4"/>
        <v>0</v>
      </c>
      <c r="AP38" s="53">
        <f t="shared" si="4"/>
        <v>0</v>
      </c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</row>
    <row r="39" ht="15.75" customHeight="1">
      <c r="A39" s="209" t="s">
        <v>6</v>
      </c>
      <c r="B39" s="159"/>
      <c r="C39" s="159"/>
      <c r="D39" s="53">
        <f>$B39*D6</f>
        <v>0</v>
      </c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04"/>
      <c r="AF39" s="212">
        <v>0.0</v>
      </c>
      <c r="AG39" s="207"/>
      <c r="AH39" s="211"/>
      <c r="AI39" s="211"/>
      <c r="AJ39" s="211"/>
      <c r="AK39" s="53">
        <f t="shared" ref="AK39:AQ39" si="5">$AF39*AK6</f>
        <v>0</v>
      </c>
      <c r="AL39" s="53">
        <f t="shared" si="5"/>
        <v>0</v>
      </c>
      <c r="AM39" s="53">
        <f t="shared" si="5"/>
        <v>0</v>
      </c>
      <c r="AN39" s="53">
        <f t="shared" si="5"/>
        <v>0</v>
      </c>
      <c r="AO39" s="53">
        <f t="shared" si="5"/>
        <v>0</v>
      </c>
      <c r="AP39" s="53">
        <f t="shared" si="5"/>
        <v>0</v>
      </c>
      <c r="AQ39" s="53">
        <f t="shared" si="5"/>
        <v>0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</row>
    <row r="40" ht="15.75" customHeight="1">
      <c r="A40" s="209" t="s">
        <v>7</v>
      </c>
      <c r="B40" s="205"/>
      <c r="C40" s="207"/>
      <c r="D40" s="53">
        <f t="shared" ref="D40:F40" si="6">$B40*D7*$C40</f>
        <v>0</v>
      </c>
      <c r="E40" s="53">
        <f t="shared" si="6"/>
        <v>0</v>
      </c>
      <c r="F40" s="53">
        <f t="shared" si="6"/>
        <v>0</v>
      </c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5"/>
      <c r="AF40" s="216">
        <f t="array" ref="AF40:AF66">transpose(D67:AD67)</f>
        <v>0</v>
      </c>
      <c r="AG40" s="207"/>
      <c r="AH40" s="211"/>
      <c r="AI40" s="211"/>
      <c r="AJ40" s="211"/>
      <c r="AK40" s="211"/>
      <c r="AL40" s="53">
        <f t="shared" ref="AL40:AR40" si="7">$AF40*AL7</f>
        <v>0</v>
      </c>
      <c r="AM40" s="53">
        <f t="shared" si="7"/>
        <v>0</v>
      </c>
      <c r="AN40" s="53">
        <f t="shared" si="7"/>
        <v>0</v>
      </c>
      <c r="AO40" s="53">
        <f t="shared" si="7"/>
        <v>0</v>
      </c>
      <c r="AP40" s="53">
        <f t="shared" si="7"/>
        <v>0</v>
      </c>
      <c r="AQ40" s="53">
        <f t="shared" si="7"/>
        <v>0</v>
      </c>
      <c r="AR40" s="53">
        <f t="shared" si="7"/>
        <v>0</v>
      </c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</row>
    <row r="41" ht="15.75" customHeight="1">
      <c r="A41" s="209" t="s">
        <v>8</v>
      </c>
      <c r="B41" s="205"/>
      <c r="C41" s="207"/>
      <c r="D41" s="211"/>
      <c r="E41" s="53">
        <f t="shared" ref="E41:G41" si="8">$B41*E8*$C41</f>
        <v>0</v>
      </c>
      <c r="F41" s="53">
        <f t="shared" si="8"/>
        <v>0</v>
      </c>
      <c r="G41" s="53">
        <f t="shared" si="8"/>
        <v>0</v>
      </c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7"/>
      <c r="AF41" s="53">
        <v>0.0</v>
      </c>
      <c r="AG41" s="207"/>
      <c r="AH41" s="211"/>
      <c r="AI41" s="211"/>
      <c r="AJ41" s="211"/>
      <c r="AK41" s="211"/>
      <c r="AL41" s="211"/>
      <c r="AM41" s="53">
        <f t="shared" ref="AM41:AS41" si="9">$AF41*AM8</f>
        <v>0</v>
      </c>
      <c r="AN41" s="53">
        <f t="shared" si="9"/>
        <v>0</v>
      </c>
      <c r="AO41" s="53">
        <f t="shared" si="9"/>
        <v>0</v>
      </c>
      <c r="AP41" s="53">
        <f t="shared" si="9"/>
        <v>0</v>
      </c>
      <c r="AQ41" s="53">
        <f t="shared" si="9"/>
        <v>0</v>
      </c>
      <c r="AR41" s="53">
        <f t="shared" si="9"/>
        <v>0</v>
      </c>
      <c r="AS41" s="53">
        <f t="shared" si="9"/>
        <v>0</v>
      </c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</row>
    <row r="42" ht="15.75" customHeight="1">
      <c r="A42" s="209" t="s">
        <v>9</v>
      </c>
      <c r="B42" s="205"/>
      <c r="C42" s="207"/>
      <c r="D42" s="205"/>
      <c r="E42" s="211"/>
      <c r="F42" s="53">
        <f t="shared" ref="F42:H42" si="10">$B42*F9*$C42</f>
        <v>0</v>
      </c>
      <c r="G42" s="53">
        <f t="shared" si="10"/>
        <v>0</v>
      </c>
      <c r="H42" s="53">
        <f t="shared" si="10"/>
        <v>0</v>
      </c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7"/>
      <c r="AF42" s="53">
        <v>0.0</v>
      </c>
      <c r="AG42" s="207"/>
      <c r="AH42" s="211"/>
      <c r="AI42" s="211"/>
      <c r="AJ42" s="211"/>
      <c r="AK42" s="211"/>
      <c r="AL42" s="211"/>
      <c r="AM42" s="211"/>
      <c r="AN42" s="53">
        <f t="shared" ref="AN42:AT42" si="11">$AF42*AN9</f>
        <v>0</v>
      </c>
      <c r="AO42" s="53">
        <f t="shared" si="11"/>
        <v>0</v>
      </c>
      <c r="AP42" s="53">
        <f t="shared" si="11"/>
        <v>0</v>
      </c>
      <c r="AQ42" s="53">
        <f t="shared" si="11"/>
        <v>0</v>
      </c>
      <c r="AR42" s="53">
        <f t="shared" si="11"/>
        <v>0</v>
      </c>
      <c r="AS42" s="53">
        <f t="shared" si="11"/>
        <v>0</v>
      </c>
      <c r="AT42" s="53">
        <f t="shared" si="11"/>
        <v>0</v>
      </c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</row>
    <row r="43" ht="15.75" customHeight="1">
      <c r="A43" s="209" t="s">
        <v>10</v>
      </c>
      <c r="B43" s="213">
        <v>0.0</v>
      </c>
      <c r="C43" s="214">
        <v>0.15</v>
      </c>
      <c r="D43" s="205"/>
      <c r="E43" s="205"/>
      <c r="F43" s="211"/>
      <c r="G43" s="53">
        <f t="shared" ref="G43:I43" si="12">$B43*G10*$C43</f>
        <v>0</v>
      </c>
      <c r="H43" s="53">
        <f t="shared" si="12"/>
        <v>0</v>
      </c>
      <c r="I43" s="53">
        <f t="shared" si="12"/>
        <v>0</v>
      </c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7"/>
      <c r="AF43" s="53">
        <v>0.0</v>
      </c>
      <c r="AG43" s="207"/>
      <c r="AH43" s="211"/>
      <c r="AI43" s="211"/>
      <c r="AJ43" s="211"/>
      <c r="AK43" s="211"/>
      <c r="AL43" s="211"/>
      <c r="AM43" s="211"/>
      <c r="AN43" s="211"/>
      <c r="AO43" s="53">
        <f t="shared" ref="AO43:AU43" si="13">$AF43*AO10</f>
        <v>0</v>
      </c>
      <c r="AP43" s="53">
        <f t="shared" si="13"/>
        <v>0</v>
      </c>
      <c r="AQ43" s="53">
        <f t="shared" si="13"/>
        <v>0</v>
      </c>
      <c r="AR43" s="53">
        <f t="shared" si="13"/>
        <v>0</v>
      </c>
      <c r="AS43" s="53">
        <f t="shared" si="13"/>
        <v>0</v>
      </c>
      <c r="AT43" s="53">
        <f t="shared" si="13"/>
        <v>0</v>
      </c>
      <c r="AU43" s="53">
        <f t="shared" si="13"/>
        <v>0</v>
      </c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</row>
    <row r="44" ht="15.75" customHeight="1">
      <c r="A44" s="209" t="s">
        <v>11</v>
      </c>
      <c r="B44" s="213">
        <v>0.0</v>
      </c>
      <c r="C44" s="214">
        <v>0.15</v>
      </c>
      <c r="D44" s="205"/>
      <c r="E44" s="205"/>
      <c r="F44" s="205"/>
      <c r="G44" s="205"/>
      <c r="H44" s="53">
        <f t="shared" ref="H44:J44" si="14">$B44*H11*$C44</f>
        <v>0</v>
      </c>
      <c r="I44" s="53">
        <f t="shared" si="14"/>
        <v>0</v>
      </c>
      <c r="J44" s="53">
        <f t="shared" si="14"/>
        <v>0</v>
      </c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7"/>
      <c r="AF44" s="53">
        <v>0.0</v>
      </c>
      <c r="AG44" s="207"/>
      <c r="AH44" s="211"/>
      <c r="AI44" s="211"/>
      <c r="AJ44" s="211"/>
      <c r="AK44" s="211"/>
      <c r="AL44" s="211"/>
      <c r="AM44" s="211"/>
      <c r="AN44" s="211"/>
      <c r="AO44" s="211"/>
      <c r="AP44" s="53">
        <f t="shared" ref="AP44:AV44" si="15">$AF44*AP11</f>
        <v>0</v>
      </c>
      <c r="AQ44" s="53">
        <f t="shared" si="15"/>
        <v>0</v>
      </c>
      <c r="AR44" s="53">
        <f t="shared" si="15"/>
        <v>0</v>
      </c>
      <c r="AS44" s="53">
        <f t="shared" si="15"/>
        <v>0</v>
      </c>
      <c r="AT44" s="53">
        <f t="shared" si="15"/>
        <v>0</v>
      </c>
      <c r="AU44" s="53">
        <f t="shared" si="15"/>
        <v>0</v>
      </c>
      <c r="AV44" s="53">
        <f t="shared" si="15"/>
        <v>0</v>
      </c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</row>
    <row r="45" ht="15.75" customHeight="1">
      <c r="A45" s="209" t="s">
        <v>12</v>
      </c>
      <c r="B45" s="213">
        <v>0.0</v>
      </c>
      <c r="C45" s="214">
        <v>0.15</v>
      </c>
      <c r="D45" s="205"/>
      <c r="E45" s="205"/>
      <c r="F45" s="205"/>
      <c r="G45" s="205"/>
      <c r="H45" s="205"/>
      <c r="I45" s="53">
        <f t="shared" ref="I45:K45" si="16">$B45*I12*$C45</f>
        <v>0</v>
      </c>
      <c r="J45" s="53">
        <f t="shared" si="16"/>
        <v>0</v>
      </c>
      <c r="K45" s="53">
        <f t="shared" si="16"/>
        <v>0</v>
      </c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7"/>
      <c r="AF45" s="53">
        <v>0.0</v>
      </c>
      <c r="AG45" s="207"/>
      <c r="AH45" s="211"/>
      <c r="AI45" s="211"/>
      <c r="AJ45" s="211"/>
      <c r="AK45" s="211"/>
      <c r="AL45" s="211"/>
      <c r="AM45" s="211"/>
      <c r="AN45" s="211"/>
      <c r="AO45" s="211"/>
      <c r="AP45" s="211"/>
      <c r="AQ45" s="53">
        <f t="shared" ref="AQ45:AW45" si="17">$AF45*AQ12</f>
        <v>0</v>
      </c>
      <c r="AR45" s="53">
        <f t="shared" si="17"/>
        <v>0</v>
      </c>
      <c r="AS45" s="53">
        <f t="shared" si="17"/>
        <v>0</v>
      </c>
      <c r="AT45" s="53">
        <f t="shared" si="17"/>
        <v>0</v>
      </c>
      <c r="AU45" s="53">
        <f t="shared" si="17"/>
        <v>0</v>
      </c>
      <c r="AV45" s="53">
        <f t="shared" si="17"/>
        <v>0</v>
      </c>
      <c r="AW45" s="53">
        <f t="shared" si="17"/>
        <v>0</v>
      </c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</row>
    <row r="46" ht="15.75" customHeight="1">
      <c r="A46" s="209" t="s">
        <v>13</v>
      </c>
      <c r="B46" s="213">
        <v>0.0</v>
      </c>
      <c r="C46" s="214">
        <v>0.15</v>
      </c>
      <c r="D46" s="205"/>
      <c r="E46" s="205"/>
      <c r="F46" s="205"/>
      <c r="G46" s="205"/>
      <c r="H46" s="205"/>
      <c r="I46" s="205"/>
      <c r="J46" s="53">
        <f t="shared" ref="J46:L46" si="18">$B46*J13*$C46</f>
        <v>0</v>
      </c>
      <c r="K46" s="53">
        <f t="shared" si="18"/>
        <v>0</v>
      </c>
      <c r="L46" s="53">
        <f t="shared" si="18"/>
        <v>0</v>
      </c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7"/>
      <c r="AF46" s="53">
        <v>0.0</v>
      </c>
      <c r="AG46" s="207"/>
      <c r="AH46" s="211"/>
      <c r="AI46" s="211"/>
      <c r="AJ46" s="211"/>
      <c r="AK46" s="211"/>
      <c r="AL46" s="211"/>
      <c r="AM46" s="211"/>
      <c r="AN46" s="211"/>
      <c r="AO46" s="211"/>
      <c r="AP46" s="207"/>
      <c r="AQ46" s="211"/>
      <c r="AR46" s="53">
        <f t="shared" ref="AR46:AX46" si="19">$AF46*AR13</f>
        <v>0</v>
      </c>
      <c r="AS46" s="53">
        <f t="shared" si="19"/>
        <v>0</v>
      </c>
      <c r="AT46" s="53">
        <f t="shared" si="19"/>
        <v>0</v>
      </c>
      <c r="AU46" s="53">
        <f t="shared" si="19"/>
        <v>0</v>
      </c>
      <c r="AV46" s="53">
        <f t="shared" si="19"/>
        <v>0</v>
      </c>
      <c r="AW46" s="53">
        <f t="shared" si="19"/>
        <v>0</v>
      </c>
      <c r="AX46" s="53">
        <f t="shared" si="19"/>
        <v>0</v>
      </c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</row>
    <row r="47" ht="15.75" customHeight="1">
      <c r="A47" s="209" t="s">
        <v>63</v>
      </c>
      <c r="B47" s="213">
        <v>4.0</v>
      </c>
      <c r="C47" s="214">
        <v>0.15</v>
      </c>
      <c r="D47" s="205"/>
      <c r="E47" s="205"/>
      <c r="F47" s="205"/>
      <c r="G47" s="205"/>
      <c r="H47" s="205"/>
      <c r="I47" s="205"/>
      <c r="J47" s="211"/>
      <c r="K47" s="53">
        <f t="shared" ref="K47:M47" si="20">$B47*K14*$C47</f>
        <v>0.5341176471</v>
      </c>
      <c r="L47" s="53">
        <f t="shared" si="20"/>
        <v>0.06</v>
      </c>
      <c r="M47" s="53">
        <f t="shared" si="20"/>
        <v>0.006</v>
      </c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7"/>
      <c r="AF47" s="53">
        <v>0.5341176470588235</v>
      </c>
      <c r="AG47" s="207"/>
      <c r="AH47" s="211"/>
      <c r="AI47" s="211"/>
      <c r="AJ47" s="211"/>
      <c r="AK47" s="211"/>
      <c r="AL47" s="211"/>
      <c r="AM47" s="211"/>
      <c r="AN47" s="211"/>
      <c r="AO47" s="211"/>
      <c r="AP47" s="207"/>
      <c r="AQ47" s="211"/>
      <c r="AR47" s="211"/>
      <c r="AS47" s="53">
        <f t="shared" ref="AS47:AY47" si="21">$AF47*AS14</f>
        <v>0.07477647059</v>
      </c>
      <c r="AT47" s="53">
        <f t="shared" si="21"/>
        <v>0.1762588235</v>
      </c>
      <c r="AU47" s="53">
        <f t="shared" si="21"/>
        <v>0.1335294118</v>
      </c>
      <c r="AV47" s="53">
        <f t="shared" si="21"/>
        <v>0.08011764706</v>
      </c>
      <c r="AW47" s="53">
        <f t="shared" si="21"/>
        <v>0.03738823529</v>
      </c>
      <c r="AX47" s="53">
        <f t="shared" si="21"/>
        <v>0.02136470588</v>
      </c>
      <c r="AY47" s="53">
        <f t="shared" si="21"/>
        <v>0.01068235294</v>
      </c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</row>
    <row r="48" ht="15.75" customHeight="1">
      <c r="A48" s="209" t="s">
        <v>64</v>
      </c>
      <c r="B48" s="213">
        <v>4.0</v>
      </c>
      <c r="C48" s="214">
        <v>0.15</v>
      </c>
      <c r="D48" s="205"/>
      <c r="E48" s="205"/>
      <c r="F48" s="205"/>
      <c r="G48" s="205"/>
      <c r="H48" s="205"/>
      <c r="I48" s="205"/>
      <c r="J48" s="211"/>
      <c r="K48" s="211"/>
      <c r="L48" s="53">
        <f t="shared" ref="L48:N48" si="22">$B48*L15*$C48</f>
        <v>0.5341176471</v>
      </c>
      <c r="M48" s="53">
        <f t="shared" si="22"/>
        <v>0.06</v>
      </c>
      <c r="N48" s="53">
        <f t="shared" si="22"/>
        <v>0.006</v>
      </c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7"/>
      <c r="AF48" s="53">
        <v>0.5941176470588234</v>
      </c>
      <c r="AG48" s="207"/>
      <c r="AH48" s="211"/>
      <c r="AI48" s="211"/>
      <c r="AJ48" s="211"/>
      <c r="AK48" s="211"/>
      <c r="AL48" s="211"/>
      <c r="AM48" s="211"/>
      <c r="AN48" s="211"/>
      <c r="AO48" s="211"/>
      <c r="AP48" s="207"/>
      <c r="AQ48" s="211"/>
      <c r="AR48" s="211"/>
      <c r="AS48" s="211"/>
      <c r="AT48" s="53">
        <f t="shared" ref="AT48:AZ48" si="23">$AF48*AT15</f>
        <v>0.08317647059</v>
      </c>
      <c r="AU48" s="53">
        <f t="shared" si="23"/>
        <v>0.1960588235</v>
      </c>
      <c r="AV48" s="53">
        <f t="shared" si="23"/>
        <v>0.1485294118</v>
      </c>
      <c r="AW48" s="53">
        <f t="shared" si="23"/>
        <v>0.08911764706</v>
      </c>
      <c r="AX48" s="53">
        <f t="shared" si="23"/>
        <v>0.04158823529</v>
      </c>
      <c r="AY48" s="53">
        <f t="shared" si="23"/>
        <v>0.02376470588</v>
      </c>
      <c r="AZ48" s="53">
        <f t="shared" si="23"/>
        <v>0.01188235294</v>
      </c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</row>
    <row r="49" ht="15.75" customHeight="1">
      <c r="A49" s="209" t="s">
        <v>65</v>
      </c>
      <c r="B49" s="213">
        <v>4.0</v>
      </c>
      <c r="C49" s="214">
        <v>0.15</v>
      </c>
      <c r="D49" s="205"/>
      <c r="E49" s="205"/>
      <c r="F49" s="205"/>
      <c r="G49" s="205"/>
      <c r="H49" s="205"/>
      <c r="I49" s="205"/>
      <c r="J49" s="211"/>
      <c r="K49" s="211"/>
      <c r="L49" s="211"/>
      <c r="M49" s="53">
        <f t="shared" ref="M49:O49" si="24">$B49*M16*$C49</f>
        <v>0.5341176471</v>
      </c>
      <c r="N49" s="53">
        <f t="shared" si="24"/>
        <v>0.06</v>
      </c>
      <c r="O49" s="53">
        <f t="shared" si="24"/>
        <v>0.006</v>
      </c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7"/>
      <c r="AF49" s="53">
        <v>0.6001176470588234</v>
      </c>
      <c r="AG49" s="207"/>
      <c r="AH49" s="211"/>
      <c r="AI49" s="211"/>
      <c r="AJ49" s="211"/>
      <c r="AK49" s="211"/>
      <c r="AL49" s="211"/>
      <c r="AM49" s="211"/>
      <c r="AN49" s="211"/>
      <c r="AO49" s="211"/>
      <c r="AP49" s="207"/>
      <c r="AQ49" s="211"/>
      <c r="AR49" s="211"/>
      <c r="AS49" s="211"/>
      <c r="AT49" s="211"/>
      <c r="AU49" s="53">
        <f t="shared" ref="AU49:BA49" si="25">$AF49*AU16</f>
        <v>0.08401647059</v>
      </c>
      <c r="AV49" s="53">
        <f t="shared" si="25"/>
        <v>0.1980388235</v>
      </c>
      <c r="AW49" s="53">
        <f t="shared" si="25"/>
        <v>0.1500294118</v>
      </c>
      <c r="AX49" s="53">
        <f t="shared" si="25"/>
        <v>0.09001764706</v>
      </c>
      <c r="AY49" s="53">
        <f t="shared" si="25"/>
        <v>0.04200823529</v>
      </c>
      <c r="AZ49" s="53">
        <f t="shared" si="25"/>
        <v>0.02400470588</v>
      </c>
      <c r="BA49" s="53">
        <f t="shared" si="25"/>
        <v>0.01200235294</v>
      </c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</row>
    <row r="50" ht="15.75" customHeight="1">
      <c r="A50" s="209" t="s">
        <v>66</v>
      </c>
      <c r="B50" s="213">
        <v>4.0</v>
      </c>
      <c r="C50" s="214">
        <v>0.15</v>
      </c>
      <c r="D50" s="205"/>
      <c r="E50" s="205"/>
      <c r="F50" s="205"/>
      <c r="G50" s="205"/>
      <c r="H50" s="205"/>
      <c r="I50" s="205"/>
      <c r="J50" s="211"/>
      <c r="K50" s="211"/>
      <c r="L50" s="211"/>
      <c r="M50" s="211"/>
      <c r="N50" s="53">
        <f t="shared" ref="N50:P50" si="26">$B50*N17*$C50</f>
        <v>0.534</v>
      </c>
      <c r="O50" s="53">
        <f t="shared" si="26"/>
        <v>0.06</v>
      </c>
      <c r="P50" s="53">
        <f t="shared" si="26"/>
        <v>0.006</v>
      </c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7"/>
      <c r="AF50" s="53">
        <v>0.6000000000000001</v>
      </c>
      <c r="AG50" s="207"/>
      <c r="AH50" s="211"/>
      <c r="AI50" s="211"/>
      <c r="AJ50" s="211"/>
      <c r="AK50" s="211"/>
      <c r="AL50" s="211"/>
      <c r="AM50" s="211"/>
      <c r="AN50" s="211"/>
      <c r="AO50" s="211"/>
      <c r="AP50" s="207"/>
      <c r="AQ50" s="211"/>
      <c r="AR50" s="211"/>
      <c r="AS50" s="211"/>
      <c r="AT50" s="211"/>
      <c r="AU50" s="211"/>
      <c r="AV50" s="53">
        <f t="shared" ref="AV50:BB50" si="27">$AF50*AV17</f>
        <v>0.084</v>
      </c>
      <c r="AW50" s="53">
        <f t="shared" si="27"/>
        <v>0.198</v>
      </c>
      <c r="AX50" s="53">
        <f t="shared" si="27"/>
        <v>0.15</v>
      </c>
      <c r="AY50" s="53">
        <f t="shared" si="27"/>
        <v>0.09</v>
      </c>
      <c r="AZ50" s="53">
        <f t="shared" si="27"/>
        <v>0.042</v>
      </c>
      <c r="BA50" s="53">
        <f t="shared" si="27"/>
        <v>0.024</v>
      </c>
      <c r="BB50" s="53">
        <f t="shared" si="27"/>
        <v>0.012</v>
      </c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</row>
    <row r="51" ht="15.75" customHeight="1">
      <c r="A51" s="209" t="s">
        <v>67</v>
      </c>
      <c r="B51" s="213">
        <v>4.0</v>
      </c>
      <c r="C51" s="214">
        <v>0.15</v>
      </c>
      <c r="D51" s="205"/>
      <c r="E51" s="205"/>
      <c r="F51" s="205"/>
      <c r="G51" s="205"/>
      <c r="H51" s="205"/>
      <c r="I51" s="205"/>
      <c r="J51" s="211"/>
      <c r="K51" s="211"/>
      <c r="L51" s="211"/>
      <c r="M51" s="211"/>
      <c r="N51" s="211"/>
      <c r="O51" s="53">
        <f t="shared" ref="O51:Q51" si="28">$B51*O18*$C51</f>
        <v>0.534</v>
      </c>
      <c r="P51" s="53">
        <f t="shared" si="28"/>
        <v>0.06</v>
      </c>
      <c r="Q51" s="53">
        <f t="shared" si="28"/>
        <v>0.006</v>
      </c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7"/>
      <c r="AF51" s="53">
        <v>0.6000000000000001</v>
      </c>
      <c r="AG51" s="207"/>
      <c r="AH51" s="211"/>
      <c r="AI51" s="211"/>
      <c r="AJ51" s="211"/>
      <c r="AK51" s="211"/>
      <c r="AL51" s="211"/>
      <c r="AM51" s="211"/>
      <c r="AN51" s="211"/>
      <c r="AO51" s="211"/>
      <c r="AP51" s="207"/>
      <c r="AQ51" s="211"/>
      <c r="AR51" s="211"/>
      <c r="AS51" s="211"/>
      <c r="AT51" s="211"/>
      <c r="AU51" s="211"/>
      <c r="AV51" s="211"/>
      <c r="AW51" s="53">
        <f t="shared" ref="AW51:BC51" si="29">$AF51*AW18</f>
        <v>0.084</v>
      </c>
      <c r="AX51" s="53">
        <f t="shared" si="29"/>
        <v>0.198</v>
      </c>
      <c r="AY51" s="53">
        <f t="shared" si="29"/>
        <v>0.15</v>
      </c>
      <c r="AZ51" s="53">
        <f t="shared" si="29"/>
        <v>0.09</v>
      </c>
      <c r="BA51" s="53">
        <f t="shared" si="29"/>
        <v>0.042</v>
      </c>
      <c r="BB51" s="53">
        <f t="shared" si="29"/>
        <v>0.024</v>
      </c>
      <c r="BC51" s="53">
        <f t="shared" si="29"/>
        <v>0.012</v>
      </c>
      <c r="BD51" s="211"/>
      <c r="BE51" s="211"/>
      <c r="BF51" s="211"/>
      <c r="BG51" s="211"/>
      <c r="BH51" s="211"/>
      <c r="BI51" s="211"/>
      <c r="BJ51" s="211"/>
      <c r="BK51" s="211"/>
      <c r="BL51" s="211"/>
    </row>
    <row r="52" ht="15.75" customHeight="1">
      <c r="A52" s="209" t="s">
        <v>68</v>
      </c>
      <c r="B52" s="213">
        <v>1.0</v>
      </c>
      <c r="C52" s="214">
        <v>0.15</v>
      </c>
      <c r="D52" s="205"/>
      <c r="E52" s="205"/>
      <c r="F52" s="205"/>
      <c r="G52" s="205"/>
      <c r="H52" s="205"/>
      <c r="I52" s="205"/>
      <c r="J52" s="211"/>
      <c r="K52" s="211"/>
      <c r="L52" s="211"/>
      <c r="M52" s="211"/>
      <c r="N52" s="211"/>
      <c r="O52" s="211"/>
      <c r="P52" s="53">
        <f t="shared" ref="P52:R52" si="30">$B52*P19*$C52</f>
        <v>0.1335</v>
      </c>
      <c r="Q52" s="53">
        <f t="shared" si="30"/>
        <v>0.015</v>
      </c>
      <c r="R52" s="53">
        <f t="shared" si="30"/>
        <v>0.0015</v>
      </c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7"/>
      <c r="AF52" s="53">
        <v>0.1995</v>
      </c>
      <c r="AG52" s="211"/>
      <c r="AH52" s="211"/>
      <c r="AI52" s="211"/>
      <c r="AJ52" s="211"/>
      <c r="AK52" s="211"/>
      <c r="AL52" s="211"/>
      <c r="AM52" s="211"/>
      <c r="AN52" s="211"/>
      <c r="AO52" s="211"/>
      <c r="AP52" s="207"/>
      <c r="AQ52" s="211"/>
      <c r="AR52" s="211"/>
      <c r="AS52" s="211"/>
      <c r="AT52" s="211"/>
      <c r="AU52" s="211"/>
      <c r="AV52" s="211"/>
      <c r="AW52" s="211"/>
      <c r="AX52" s="53">
        <f t="shared" ref="AX52:BD52" si="31">$AF52*AX19</f>
        <v>0.02793</v>
      </c>
      <c r="AY52" s="53">
        <f t="shared" si="31"/>
        <v>0.065835</v>
      </c>
      <c r="AZ52" s="53">
        <f t="shared" si="31"/>
        <v>0.049875</v>
      </c>
      <c r="BA52" s="53">
        <f t="shared" si="31"/>
        <v>0.029925</v>
      </c>
      <c r="BB52" s="53">
        <f t="shared" si="31"/>
        <v>0.013965</v>
      </c>
      <c r="BC52" s="53">
        <f t="shared" si="31"/>
        <v>0.00798</v>
      </c>
      <c r="BD52" s="53">
        <f t="shared" si="31"/>
        <v>0.00399</v>
      </c>
      <c r="BE52" s="211"/>
      <c r="BF52" s="211"/>
      <c r="BG52" s="211"/>
      <c r="BH52" s="211"/>
      <c r="BI52" s="211"/>
      <c r="BJ52" s="211"/>
      <c r="BK52" s="211"/>
      <c r="BL52" s="211"/>
    </row>
    <row r="53" ht="15.75" customHeight="1">
      <c r="A53" s="209" t="s">
        <v>69</v>
      </c>
      <c r="B53" s="213">
        <v>4.0</v>
      </c>
      <c r="C53" s="214">
        <v>0.15</v>
      </c>
      <c r="D53" s="205"/>
      <c r="E53" s="205"/>
      <c r="F53" s="205"/>
      <c r="G53" s="205"/>
      <c r="H53" s="205"/>
      <c r="I53" s="205"/>
      <c r="J53" s="211"/>
      <c r="K53" s="211"/>
      <c r="L53" s="211"/>
      <c r="M53" s="211"/>
      <c r="N53" s="211"/>
      <c r="O53" s="211"/>
      <c r="P53" s="211"/>
      <c r="Q53" s="53">
        <f t="shared" ref="Q53:S53" si="32">$B53*Q20*$C53</f>
        <v>0.534</v>
      </c>
      <c r="R53" s="53">
        <f t="shared" si="32"/>
        <v>0.06</v>
      </c>
      <c r="S53" s="53">
        <f t="shared" si="32"/>
        <v>0.006</v>
      </c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7"/>
      <c r="AF53" s="53">
        <v>0.555</v>
      </c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53">
        <f t="shared" ref="AY53:BE53" si="33">$AF53*AY20</f>
        <v>0.0777</v>
      </c>
      <c r="AZ53" s="53">
        <f t="shared" si="33"/>
        <v>0.18315</v>
      </c>
      <c r="BA53" s="53">
        <f t="shared" si="33"/>
        <v>0.13875</v>
      </c>
      <c r="BB53" s="53">
        <f t="shared" si="33"/>
        <v>0.08325</v>
      </c>
      <c r="BC53" s="53">
        <f t="shared" si="33"/>
        <v>0.03885</v>
      </c>
      <c r="BD53" s="53">
        <f t="shared" si="33"/>
        <v>0.0222</v>
      </c>
      <c r="BE53" s="53">
        <f t="shared" si="33"/>
        <v>0.0111</v>
      </c>
      <c r="BF53" s="211"/>
      <c r="BG53" s="211"/>
      <c r="BH53" s="211"/>
      <c r="BI53" s="211"/>
      <c r="BJ53" s="211"/>
      <c r="BK53" s="211"/>
      <c r="BL53" s="211"/>
    </row>
    <row r="54" ht="15.75" customHeight="1">
      <c r="A54" s="218" t="s">
        <v>70</v>
      </c>
      <c r="B54" s="213">
        <f>sum('BDR Rollout'!I7)</f>
        <v>0</v>
      </c>
      <c r="C54" s="214">
        <v>0.15</v>
      </c>
      <c r="D54" s="205"/>
      <c r="E54" s="205"/>
      <c r="F54" s="205"/>
      <c r="G54" s="205"/>
      <c r="H54" s="205"/>
      <c r="I54" s="205"/>
      <c r="J54" s="211"/>
      <c r="K54" s="211"/>
      <c r="L54" s="211"/>
      <c r="M54" s="211"/>
      <c r="N54" s="211"/>
      <c r="O54" s="211"/>
      <c r="P54" s="211"/>
      <c r="Q54" s="211"/>
      <c r="R54" s="53">
        <f t="shared" ref="R54:T54" si="34">$B54*R21*$C54</f>
        <v>0</v>
      </c>
      <c r="S54" s="53">
        <f t="shared" si="34"/>
        <v>0</v>
      </c>
      <c r="T54" s="53">
        <f t="shared" si="34"/>
        <v>0</v>
      </c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7"/>
      <c r="AF54" s="53">
        <v>0.0615</v>
      </c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53">
        <f t="shared" ref="AZ54:BF54" si="35">$AF54*AZ21</f>
        <v>0.00861</v>
      </c>
      <c r="BA54" s="53">
        <f t="shared" si="35"/>
        <v>0.020295</v>
      </c>
      <c r="BB54" s="53">
        <f t="shared" si="35"/>
        <v>0.015375</v>
      </c>
      <c r="BC54" s="53">
        <f t="shared" si="35"/>
        <v>0.009225</v>
      </c>
      <c r="BD54" s="53">
        <f t="shared" si="35"/>
        <v>0.004305</v>
      </c>
      <c r="BE54" s="53">
        <f t="shared" si="35"/>
        <v>0.00246</v>
      </c>
      <c r="BF54" s="53">
        <f t="shared" si="35"/>
        <v>0.00123</v>
      </c>
      <c r="BG54" s="211"/>
      <c r="BH54" s="211"/>
      <c r="BI54" s="211"/>
      <c r="BJ54" s="211"/>
      <c r="BK54" s="211"/>
      <c r="BL54" s="211"/>
    </row>
    <row r="55" ht="15.75" customHeight="1">
      <c r="A55" s="209" t="s">
        <v>71</v>
      </c>
      <c r="B55" s="213">
        <f>sum('BDR Rollout'!I8)</f>
        <v>0</v>
      </c>
      <c r="C55" s="214">
        <v>0.15</v>
      </c>
      <c r="D55" s="205"/>
      <c r="E55" s="205"/>
      <c r="F55" s="205"/>
      <c r="G55" s="205"/>
      <c r="H55" s="205"/>
      <c r="I55" s="205"/>
      <c r="J55" s="211"/>
      <c r="K55" s="211"/>
      <c r="L55" s="211"/>
      <c r="M55" s="211"/>
      <c r="N55" s="211"/>
      <c r="O55" s="211"/>
      <c r="P55" s="211"/>
      <c r="Q55" s="211"/>
      <c r="R55" s="211"/>
      <c r="S55" s="53">
        <f t="shared" ref="S55:U55" si="36">$B55*S22*$C55</f>
        <v>0</v>
      </c>
      <c r="T55" s="53">
        <f t="shared" si="36"/>
        <v>0</v>
      </c>
      <c r="U55" s="53">
        <f t="shared" si="36"/>
        <v>0</v>
      </c>
      <c r="V55" s="211"/>
      <c r="W55" s="211"/>
      <c r="X55" s="211"/>
      <c r="Y55" s="211"/>
      <c r="Z55" s="211"/>
      <c r="AA55" s="211"/>
      <c r="AB55" s="211"/>
      <c r="AC55" s="211"/>
      <c r="AD55" s="211"/>
      <c r="AE55" s="217"/>
      <c r="AF55" s="53">
        <v>0.006</v>
      </c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07"/>
      <c r="AZ55" s="211"/>
      <c r="BA55" s="53">
        <f t="shared" ref="BA55:BG55" si="37">$AF55*BA22</f>
        <v>0.00084</v>
      </c>
      <c r="BB55" s="53">
        <f t="shared" si="37"/>
        <v>0.00198</v>
      </c>
      <c r="BC55" s="53">
        <f t="shared" si="37"/>
        <v>0.0015</v>
      </c>
      <c r="BD55" s="53">
        <f t="shared" si="37"/>
        <v>0.0009</v>
      </c>
      <c r="BE55" s="53">
        <f t="shared" si="37"/>
        <v>0.00042</v>
      </c>
      <c r="BF55" s="53">
        <f t="shared" si="37"/>
        <v>0.00024</v>
      </c>
      <c r="BG55" s="53">
        <f t="shared" si="37"/>
        <v>0.00012</v>
      </c>
      <c r="BH55" s="211"/>
      <c r="BI55" s="211"/>
      <c r="BJ55" s="211"/>
      <c r="BK55" s="211"/>
      <c r="BL55" s="211"/>
    </row>
    <row r="56" ht="15.75" customHeight="1">
      <c r="A56" s="209" t="s">
        <v>72</v>
      </c>
      <c r="B56" s="213">
        <f>sum('BDR Rollout'!I9)</f>
        <v>0</v>
      </c>
      <c r="C56" s="214">
        <v>0.15</v>
      </c>
      <c r="D56" s="205"/>
      <c r="E56" s="205"/>
      <c r="F56" s="205"/>
      <c r="G56" s="205"/>
      <c r="H56" s="205"/>
      <c r="I56" s="205"/>
      <c r="J56" s="211"/>
      <c r="K56" s="211"/>
      <c r="L56" s="211"/>
      <c r="M56" s="211"/>
      <c r="N56" s="211"/>
      <c r="O56" s="211"/>
      <c r="P56" s="211"/>
      <c r="Q56" s="211"/>
      <c r="R56" s="211"/>
      <c r="S56" s="205"/>
      <c r="T56" s="53">
        <f t="shared" ref="T56:V56" si="38">$B56*T23*$C56</f>
        <v>0</v>
      </c>
      <c r="U56" s="53">
        <f t="shared" si="38"/>
        <v>0</v>
      </c>
      <c r="V56" s="53">
        <f t="shared" si="38"/>
        <v>0</v>
      </c>
      <c r="W56" s="211"/>
      <c r="X56" s="211"/>
      <c r="Y56" s="211"/>
      <c r="Z56" s="211"/>
      <c r="AA56" s="211"/>
      <c r="AB56" s="211"/>
      <c r="AC56" s="211"/>
      <c r="AD56" s="211"/>
      <c r="AE56" s="217"/>
      <c r="AF56" s="53">
        <v>0.0</v>
      </c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07"/>
      <c r="AZ56" s="211"/>
      <c r="BA56" s="211"/>
      <c r="BB56" s="53">
        <f t="shared" ref="BB56:BH56" si="39">$AF56*BB23</f>
        <v>0</v>
      </c>
      <c r="BC56" s="53">
        <f t="shared" si="39"/>
        <v>0</v>
      </c>
      <c r="BD56" s="53">
        <f t="shared" si="39"/>
        <v>0</v>
      </c>
      <c r="BE56" s="53">
        <f t="shared" si="39"/>
        <v>0</v>
      </c>
      <c r="BF56" s="53">
        <f t="shared" si="39"/>
        <v>0</v>
      </c>
      <c r="BG56" s="53">
        <f t="shared" si="39"/>
        <v>0</v>
      </c>
      <c r="BH56" s="53">
        <f t="shared" si="39"/>
        <v>0</v>
      </c>
      <c r="BI56" s="211"/>
      <c r="BJ56" s="211"/>
      <c r="BK56" s="211"/>
      <c r="BL56" s="211"/>
    </row>
    <row r="57" ht="15.75" customHeight="1">
      <c r="A57" s="209" t="s">
        <v>73</v>
      </c>
      <c r="B57" s="213">
        <f>sum('BDR Rollout'!I10)</f>
        <v>0</v>
      </c>
      <c r="C57" s="214">
        <v>0.15</v>
      </c>
      <c r="D57" s="205"/>
      <c r="E57" s="205"/>
      <c r="F57" s="205"/>
      <c r="G57" s="205"/>
      <c r="H57" s="205"/>
      <c r="I57" s="205"/>
      <c r="J57" s="211"/>
      <c r="K57" s="211"/>
      <c r="L57" s="211"/>
      <c r="M57" s="211"/>
      <c r="N57" s="211"/>
      <c r="O57" s="211"/>
      <c r="P57" s="211"/>
      <c r="Q57" s="211"/>
      <c r="R57" s="211"/>
      <c r="S57" s="205"/>
      <c r="T57" s="205"/>
      <c r="U57" s="53">
        <f t="shared" ref="U57:W57" si="40">$B57*U24*$C57</f>
        <v>0</v>
      </c>
      <c r="V57" s="53">
        <f t="shared" si="40"/>
        <v>0</v>
      </c>
      <c r="W57" s="53">
        <f t="shared" si="40"/>
        <v>0</v>
      </c>
      <c r="X57" s="211"/>
      <c r="Y57" s="211"/>
      <c r="Z57" s="211"/>
      <c r="AA57" s="211"/>
      <c r="AB57" s="211"/>
      <c r="AC57" s="211"/>
      <c r="AD57" s="211"/>
      <c r="AE57" s="217"/>
      <c r="AF57" s="53">
        <v>0.0</v>
      </c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07"/>
      <c r="AZ57" s="211"/>
      <c r="BA57" s="211"/>
      <c r="BB57" s="211"/>
      <c r="BC57" s="53">
        <f t="shared" ref="BC57:BI57" si="41">$AF57*BC24</f>
        <v>0</v>
      </c>
      <c r="BD57" s="53">
        <f t="shared" si="41"/>
        <v>0</v>
      </c>
      <c r="BE57" s="53">
        <f t="shared" si="41"/>
        <v>0</v>
      </c>
      <c r="BF57" s="53">
        <f t="shared" si="41"/>
        <v>0</v>
      </c>
      <c r="BG57" s="53">
        <f t="shared" si="41"/>
        <v>0</v>
      </c>
      <c r="BH57" s="53">
        <f t="shared" si="41"/>
        <v>0</v>
      </c>
      <c r="BI57" s="53">
        <f t="shared" si="41"/>
        <v>0</v>
      </c>
      <c r="BJ57" s="211"/>
      <c r="BK57" s="211"/>
      <c r="BL57" s="211"/>
    </row>
    <row r="58" ht="15.75" customHeight="1">
      <c r="A58" s="209" t="s">
        <v>74</v>
      </c>
      <c r="B58" s="213">
        <f>sum('BDR Rollout'!I11)</f>
        <v>0</v>
      </c>
      <c r="C58" s="214">
        <v>0.15</v>
      </c>
      <c r="D58" s="205"/>
      <c r="E58" s="205"/>
      <c r="F58" s="205"/>
      <c r="G58" s="205"/>
      <c r="H58" s="205"/>
      <c r="I58" s="205"/>
      <c r="J58" s="211"/>
      <c r="K58" s="211"/>
      <c r="L58" s="211"/>
      <c r="M58" s="211"/>
      <c r="N58" s="211"/>
      <c r="O58" s="211"/>
      <c r="P58" s="211"/>
      <c r="Q58" s="211"/>
      <c r="R58" s="211"/>
      <c r="S58" s="205"/>
      <c r="T58" s="205"/>
      <c r="U58" s="205"/>
      <c r="V58" s="53">
        <f t="shared" ref="V58:X58" si="42">$B58*V25*$C58</f>
        <v>0</v>
      </c>
      <c r="W58" s="53">
        <f t="shared" si="42"/>
        <v>0</v>
      </c>
      <c r="X58" s="53">
        <f t="shared" si="42"/>
        <v>0</v>
      </c>
      <c r="Y58" s="211"/>
      <c r="Z58" s="211"/>
      <c r="AA58" s="211"/>
      <c r="AB58" s="211"/>
      <c r="AC58" s="211"/>
      <c r="AD58" s="211"/>
      <c r="AE58" s="217"/>
      <c r="AF58" s="53">
        <v>0.0</v>
      </c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07"/>
      <c r="AZ58" s="211"/>
      <c r="BA58" s="211"/>
      <c r="BB58" s="211"/>
      <c r="BC58" s="211"/>
      <c r="BD58" s="53">
        <f t="shared" ref="BD58:BJ58" si="43">$AF58*BD25</f>
        <v>0</v>
      </c>
      <c r="BE58" s="53">
        <f t="shared" si="43"/>
        <v>0</v>
      </c>
      <c r="BF58" s="53">
        <f t="shared" si="43"/>
        <v>0</v>
      </c>
      <c r="BG58" s="53">
        <f t="shared" si="43"/>
        <v>0</v>
      </c>
      <c r="BH58" s="53">
        <f t="shared" si="43"/>
        <v>0</v>
      </c>
      <c r="BI58" s="53">
        <f t="shared" si="43"/>
        <v>0</v>
      </c>
      <c r="BJ58" s="53">
        <f t="shared" si="43"/>
        <v>0</v>
      </c>
      <c r="BK58" s="211"/>
      <c r="BL58" s="211"/>
    </row>
    <row r="59" ht="15.75" customHeight="1">
      <c r="A59" s="209" t="s">
        <v>75</v>
      </c>
      <c r="B59" s="213">
        <f>sum('BDR Rollout'!I12)</f>
        <v>0</v>
      </c>
      <c r="C59" s="214">
        <v>0.15</v>
      </c>
      <c r="D59" s="205"/>
      <c r="E59" s="205"/>
      <c r="F59" s="205"/>
      <c r="G59" s="205"/>
      <c r="H59" s="205"/>
      <c r="I59" s="205"/>
      <c r="J59" s="211"/>
      <c r="K59" s="211"/>
      <c r="L59" s="211"/>
      <c r="M59" s="211"/>
      <c r="N59" s="211"/>
      <c r="O59" s="211"/>
      <c r="P59" s="211"/>
      <c r="Q59" s="211"/>
      <c r="R59" s="211"/>
      <c r="S59" s="205"/>
      <c r="T59" s="205"/>
      <c r="U59" s="205"/>
      <c r="V59" s="211"/>
      <c r="W59" s="53">
        <f t="shared" ref="W59:Y59" si="44">$B59*W26*$C59</f>
        <v>0</v>
      </c>
      <c r="X59" s="53">
        <f t="shared" si="44"/>
        <v>0</v>
      </c>
      <c r="Y59" s="53">
        <f t="shared" si="44"/>
        <v>0</v>
      </c>
      <c r="Z59" s="211"/>
      <c r="AA59" s="211"/>
      <c r="AB59" s="211"/>
      <c r="AC59" s="211"/>
      <c r="AD59" s="211"/>
      <c r="AE59" s="217"/>
      <c r="AF59" s="53">
        <v>0.0</v>
      </c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07"/>
      <c r="AZ59" s="211"/>
      <c r="BA59" s="211"/>
      <c r="BB59" s="211"/>
      <c r="BC59" s="211"/>
      <c r="BD59" s="211"/>
      <c r="BE59" s="53">
        <f t="shared" ref="BE59:BK59" si="45">$AF59*BE26</f>
        <v>0</v>
      </c>
      <c r="BF59" s="53">
        <f t="shared" si="45"/>
        <v>0</v>
      </c>
      <c r="BG59" s="53">
        <f t="shared" si="45"/>
        <v>0</v>
      </c>
      <c r="BH59" s="53">
        <f t="shared" si="45"/>
        <v>0</v>
      </c>
      <c r="BI59" s="53">
        <f t="shared" si="45"/>
        <v>0</v>
      </c>
      <c r="BJ59" s="53">
        <f t="shared" si="45"/>
        <v>0</v>
      </c>
      <c r="BK59" s="53">
        <f t="shared" si="45"/>
        <v>0</v>
      </c>
      <c r="BL59" s="211"/>
    </row>
    <row r="60" ht="15.75" customHeight="1">
      <c r="A60" s="209" t="s">
        <v>76</v>
      </c>
      <c r="B60" s="213">
        <f>sum('BDR Rollout'!I13)</f>
        <v>0</v>
      </c>
      <c r="C60" s="214">
        <v>0.15</v>
      </c>
      <c r="D60" s="205"/>
      <c r="E60" s="205"/>
      <c r="F60" s="205"/>
      <c r="G60" s="205"/>
      <c r="H60" s="205"/>
      <c r="I60" s="205"/>
      <c r="J60" s="211"/>
      <c r="K60" s="211"/>
      <c r="L60" s="211"/>
      <c r="M60" s="211"/>
      <c r="N60" s="211"/>
      <c r="O60" s="211"/>
      <c r="P60" s="211"/>
      <c r="Q60" s="211"/>
      <c r="R60" s="211"/>
      <c r="S60" s="205"/>
      <c r="T60" s="205"/>
      <c r="U60" s="205"/>
      <c r="V60" s="211"/>
      <c r="W60" s="211"/>
      <c r="X60" s="53">
        <f t="shared" ref="X60:Z60" si="46">$B60*X27*$C60</f>
        <v>0</v>
      </c>
      <c r="Y60" s="53">
        <f t="shared" si="46"/>
        <v>0</v>
      </c>
      <c r="Z60" s="53">
        <f t="shared" si="46"/>
        <v>0</v>
      </c>
      <c r="AA60" s="211"/>
      <c r="AB60" s="211"/>
      <c r="AC60" s="211"/>
      <c r="AD60" s="211"/>
      <c r="AE60" s="217"/>
      <c r="AF60" s="53">
        <v>0.0</v>
      </c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07"/>
      <c r="AZ60" s="211"/>
      <c r="BA60" s="211"/>
      <c r="BB60" s="211"/>
      <c r="BC60" s="211"/>
      <c r="BD60" s="211"/>
      <c r="BE60" s="211"/>
      <c r="BF60" s="53">
        <f t="shared" ref="BF60:BL60" si="47">$AF60*BF27</f>
        <v>0</v>
      </c>
      <c r="BG60" s="53">
        <f t="shared" si="47"/>
        <v>0</v>
      </c>
      <c r="BH60" s="53">
        <f t="shared" si="47"/>
        <v>0</v>
      </c>
      <c r="BI60" s="53">
        <f t="shared" si="47"/>
        <v>0</v>
      </c>
      <c r="BJ60" s="53">
        <f t="shared" si="47"/>
        <v>0</v>
      </c>
      <c r="BK60" s="53">
        <f t="shared" si="47"/>
        <v>0</v>
      </c>
      <c r="BL60" s="53">
        <f t="shared" si="47"/>
        <v>0</v>
      </c>
    </row>
    <row r="61" ht="15.75" customHeight="1">
      <c r="A61" s="209" t="s">
        <v>77</v>
      </c>
      <c r="B61" s="213">
        <f>sum('BDR Rollout'!I14)</f>
        <v>0</v>
      </c>
      <c r="C61" s="214">
        <v>0.15</v>
      </c>
      <c r="D61" s="205"/>
      <c r="E61" s="205"/>
      <c r="F61" s="205"/>
      <c r="G61" s="205"/>
      <c r="H61" s="205"/>
      <c r="I61" s="205"/>
      <c r="J61" s="211"/>
      <c r="K61" s="211"/>
      <c r="L61" s="211"/>
      <c r="M61" s="211"/>
      <c r="N61" s="211"/>
      <c r="O61" s="211"/>
      <c r="P61" s="211"/>
      <c r="Q61" s="211"/>
      <c r="R61" s="211"/>
      <c r="S61" s="205"/>
      <c r="T61" s="205"/>
      <c r="U61" s="205"/>
      <c r="V61" s="211"/>
      <c r="W61" s="211"/>
      <c r="X61" s="211"/>
      <c r="Y61" s="53">
        <f t="shared" ref="Y61:AA61" si="48">$B61*Y28*$C61</f>
        <v>0</v>
      </c>
      <c r="Z61" s="53">
        <f t="shared" si="48"/>
        <v>0</v>
      </c>
      <c r="AA61" s="53">
        <f t="shared" si="48"/>
        <v>0</v>
      </c>
      <c r="AB61" s="211"/>
      <c r="AC61" s="211"/>
      <c r="AD61" s="211"/>
      <c r="AE61" s="217"/>
      <c r="AF61" s="53">
        <v>0.0</v>
      </c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07"/>
      <c r="AZ61" s="211"/>
      <c r="BA61" s="211"/>
      <c r="BB61" s="211"/>
      <c r="BC61" s="211"/>
      <c r="BD61" s="211"/>
      <c r="BE61" s="211"/>
      <c r="BF61" s="211"/>
      <c r="BG61" s="53">
        <f t="shared" ref="BG61:BL61" si="49">$AF61*BG28</f>
        <v>0</v>
      </c>
      <c r="BH61" s="53">
        <f t="shared" si="49"/>
        <v>0</v>
      </c>
      <c r="BI61" s="53">
        <f t="shared" si="49"/>
        <v>0</v>
      </c>
      <c r="BJ61" s="53">
        <f t="shared" si="49"/>
        <v>0</v>
      </c>
      <c r="BK61" s="53">
        <f t="shared" si="49"/>
        <v>0</v>
      </c>
      <c r="BL61" s="53">
        <f t="shared" si="49"/>
        <v>0</v>
      </c>
    </row>
    <row r="62" ht="15.75" customHeight="1">
      <c r="A62" s="209" t="s">
        <v>78</v>
      </c>
      <c r="B62" s="213">
        <f>sum('BDR Rollout'!I15)</f>
        <v>0</v>
      </c>
      <c r="C62" s="214">
        <v>0.15</v>
      </c>
      <c r="D62" s="205"/>
      <c r="E62" s="205"/>
      <c r="F62" s="205"/>
      <c r="G62" s="205"/>
      <c r="H62" s="205"/>
      <c r="I62" s="205"/>
      <c r="J62" s="211"/>
      <c r="K62" s="211"/>
      <c r="L62" s="211"/>
      <c r="M62" s="211"/>
      <c r="N62" s="211"/>
      <c r="O62" s="211"/>
      <c r="P62" s="211"/>
      <c r="Q62" s="211"/>
      <c r="R62" s="211"/>
      <c r="S62" s="205"/>
      <c r="T62" s="205"/>
      <c r="U62" s="205"/>
      <c r="V62" s="211"/>
      <c r="W62" s="211"/>
      <c r="X62" s="211"/>
      <c r="Y62" s="211"/>
      <c r="Z62" s="53">
        <f t="shared" ref="Z62:AB62" si="50">$B62*Z29*$C62</f>
        <v>0</v>
      </c>
      <c r="AA62" s="53">
        <f t="shared" si="50"/>
        <v>0</v>
      </c>
      <c r="AB62" s="53">
        <f t="shared" si="50"/>
        <v>0</v>
      </c>
      <c r="AC62" s="211"/>
      <c r="AD62" s="211"/>
      <c r="AE62" s="217"/>
      <c r="AF62" s="53">
        <v>0.0</v>
      </c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53">
        <f t="shared" ref="BH62:BL62" si="51">$AF62*BH29</f>
        <v>0</v>
      </c>
      <c r="BI62" s="53">
        <f t="shared" si="51"/>
        <v>0</v>
      </c>
      <c r="BJ62" s="53">
        <f t="shared" si="51"/>
        <v>0</v>
      </c>
      <c r="BK62" s="53">
        <f t="shared" si="51"/>
        <v>0</v>
      </c>
      <c r="BL62" s="53">
        <f t="shared" si="51"/>
        <v>0</v>
      </c>
    </row>
    <row r="63" ht="15.75" customHeight="1">
      <c r="A63" s="209" t="s">
        <v>79</v>
      </c>
      <c r="B63" s="213">
        <f>sum('BDR Rollout'!I16)</f>
        <v>0</v>
      </c>
      <c r="C63" s="214">
        <v>0.15</v>
      </c>
      <c r="D63" s="205"/>
      <c r="E63" s="205"/>
      <c r="F63" s="205"/>
      <c r="G63" s="205"/>
      <c r="H63" s="205"/>
      <c r="I63" s="205"/>
      <c r="J63" s="211"/>
      <c r="K63" s="211"/>
      <c r="L63" s="211"/>
      <c r="M63" s="211"/>
      <c r="N63" s="211"/>
      <c r="O63" s="211"/>
      <c r="P63" s="211"/>
      <c r="Q63" s="211"/>
      <c r="R63" s="211"/>
      <c r="S63" s="205"/>
      <c r="T63" s="205"/>
      <c r="U63" s="205"/>
      <c r="V63" s="211"/>
      <c r="W63" s="211"/>
      <c r="X63" s="211"/>
      <c r="Y63" s="211"/>
      <c r="Z63" s="211"/>
      <c r="AA63" s="53">
        <f t="shared" ref="AA63:AC63" si="52">$B63*AA30*$C63</f>
        <v>0</v>
      </c>
      <c r="AB63" s="53">
        <f t="shared" si="52"/>
        <v>0</v>
      </c>
      <c r="AC63" s="53">
        <f t="shared" si="52"/>
        <v>0</v>
      </c>
      <c r="AD63" s="211"/>
      <c r="AE63" s="217"/>
      <c r="AF63" s="53">
        <v>0.0</v>
      </c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53">
        <f t="shared" ref="BI63:BL63" si="53">$AF63*BI30</f>
        <v>0</v>
      </c>
      <c r="BJ63" s="53">
        <f t="shared" si="53"/>
        <v>0</v>
      </c>
      <c r="BK63" s="53">
        <f t="shared" si="53"/>
        <v>0</v>
      </c>
      <c r="BL63" s="53">
        <f t="shared" si="53"/>
        <v>0</v>
      </c>
    </row>
    <row r="64" ht="15.75" customHeight="1">
      <c r="A64" s="209" t="s">
        <v>80</v>
      </c>
      <c r="B64" s="213">
        <f>sum('BDR Rollout'!I17)</f>
        <v>0</v>
      </c>
      <c r="C64" s="214">
        <v>0.15</v>
      </c>
      <c r="D64" s="205"/>
      <c r="E64" s="205"/>
      <c r="F64" s="205"/>
      <c r="G64" s="205"/>
      <c r="H64" s="205"/>
      <c r="I64" s="205"/>
      <c r="J64" s="211"/>
      <c r="K64" s="211"/>
      <c r="L64" s="211"/>
      <c r="M64" s="211"/>
      <c r="N64" s="211"/>
      <c r="O64" s="211"/>
      <c r="P64" s="211"/>
      <c r="Q64" s="211"/>
      <c r="R64" s="211"/>
      <c r="S64" s="205"/>
      <c r="T64" s="205"/>
      <c r="U64" s="205"/>
      <c r="V64" s="211"/>
      <c r="W64" s="211"/>
      <c r="X64" s="211"/>
      <c r="Y64" s="211"/>
      <c r="Z64" s="211"/>
      <c r="AA64" s="211"/>
      <c r="AB64" s="53">
        <f t="shared" ref="AB64:AD64" si="54">$B64*AB31*$C64</f>
        <v>0</v>
      </c>
      <c r="AC64" s="53">
        <f t="shared" si="54"/>
        <v>0</v>
      </c>
      <c r="AD64" s="53">
        <f t="shared" si="54"/>
        <v>0</v>
      </c>
      <c r="AE64" s="217"/>
      <c r="AF64" s="53">
        <v>0.0</v>
      </c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53">
        <f t="shared" ref="BJ64:BL64" si="55">$AF64*BJ31</f>
        <v>0</v>
      </c>
      <c r="BK64" s="53">
        <f t="shared" si="55"/>
        <v>0</v>
      </c>
      <c r="BL64" s="53">
        <f t="shared" si="55"/>
        <v>0</v>
      </c>
    </row>
    <row r="65" ht="15.75" customHeight="1">
      <c r="A65" s="209" t="s">
        <v>81</v>
      </c>
      <c r="B65" s="213">
        <f>sum('BDR Rollout'!I18)</f>
        <v>0</v>
      </c>
      <c r="C65" s="214">
        <v>0.15</v>
      </c>
      <c r="D65" s="205"/>
      <c r="E65" s="205"/>
      <c r="F65" s="205"/>
      <c r="G65" s="205"/>
      <c r="H65" s="205"/>
      <c r="I65" s="205"/>
      <c r="J65" s="211"/>
      <c r="K65" s="211"/>
      <c r="L65" s="211"/>
      <c r="M65" s="211"/>
      <c r="N65" s="211"/>
      <c r="O65" s="211"/>
      <c r="P65" s="211"/>
      <c r="Q65" s="211"/>
      <c r="R65" s="211"/>
      <c r="S65" s="205"/>
      <c r="T65" s="205"/>
      <c r="U65" s="205"/>
      <c r="V65" s="211"/>
      <c r="W65" s="211"/>
      <c r="X65" s="211"/>
      <c r="Y65" s="211"/>
      <c r="Z65" s="211"/>
      <c r="AA65" s="211"/>
      <c r="AB65" s="211"/>
      <c r="AC65" s="53">
        <f t="shared" ref="AC65:AD65" si="56">$B65*AC32*$C65</f>
        <v>0</v>
      </c>
      <c r="AD65" s="53">
        <f t="shared" si="56"/>
        <v>0</v>
      </c>
      <c r="AE65" s="217"/>
      <c r="AF65" s="53">
        <v>0.0</v>
      </c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53">
        <f t="shared" ref="BK65:BL65" si="57">$AF65*BK32</f>
        <v>0</v>
      </c>
      <c r="BL65" s="53">
        <f t="shared" si="57"/>
        <v>0</v>
      </c>
    </row>
    <row r="66" ht="15.75" customHeight="1">
      <c r="A66" s="209" t="s">
        <v>82</v>
      </c>
      <c r="B66" s="213">
        <f>sum('BDR Rollout'!I19)</f>
        <v>0</v>
      </c>
      <c r="C66" s="214">
        <v>0.15</v>
      </c>
      <c r="D66" s="219"/>
      <c r="E66" s="219"/>
      <c r="F66" s="219"/>
      <c r="G66" s="219"/>
      <c r="H66" s="219"/>
      <c r="I66" s="219"/>
      <c r="J66" s="220"/>
      <c r="K66" s="220"/>
      <c r="L66" s="220"/>
      <c r="M66" s="220"/>
      <c r="N66" s="220"/>
      <c r="O66" s="221"/>
      <c r="P66" s="221"/>
      <c r="Q66" s="221"/>
      <c r="R66" s="221"/>
      <c r="S66" s="205"/>
      <c r="T66" s="205"/>
      <c r="U66" s="205"/>
      <c r="V66" s="211"/>
      <c r="W66" s="211"/>
      <c r="X66" s="211"/>
      <c r="Y66" s="211"/>
      <c r="Z66" s="211"/>
      <c r="AA66" s="211"/>
      <c r="AB66" s="211"/>
      <c r="AC66" s="211"/>
      <c r="AD66" s="53">
        <f>$B66*AD33*$C66</f>
        <v>0</v>
      </c>
      <c r="AE66" s="222"/>
      <c r="AF66" s="53">
        <v>0.0</v>
      </c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3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53">
        <f>$AF66*BL33</f>
        <v>0</v>
      </c>
    </row>
    <row r="67" ht="15.75" customHeight="1">
      <c r="A67" s="224" t="s">
        <v>171</v>
      </c>
      <c r="B67" s="225"/>
      <c r="C67" s="225"/>
      <c r="D67" s="118">
        <f t="shared" ref="D67:AD67" si="58">sum(D39:D66)</f>
        <v>0</v>
      </c>
      <c r="E67" s="118">
        <f t="shared" si="58"/>
        <v>0</v>
      </c>
      <c r="F67" s="118">
        <f t="shared" si="58"/>
        <v>0</v>
      </c>
      <c r="G67" s="118">
        <f t="shared" si="58"/>
        <v>0</v>
      </c>
      <c r="H67" s="118">
        <f t="shared" si="58"/>
        <v>0</v>
      </c>
      <c r="I67" s="118">
        <f t="shared" si="58"/>
        <v>0</v>
      </c>
      <c r="J67" s="118">
        <f t="shared" si="58"/>
        <v>0</v>
      </c>
      <c r="K67" s="118">
        <f t="shared" si="58"/>
        <v>0.5341176471</v>
      </c>
      <c r="L67" s="118">
        <f t="shared" si="58"/>
        <v>0.5941176471</v>
      </c>
      <c r="M67" s="118">
        <f t="shared" si="58"/>
        <v>0.6001176471</v>
      </c>
      <c r="N67" s="118">
        <f t="shared" si="58"/>
        <v>0.6</v>
      </c>
      <c r="O67" s="118">
        <f t="shared" si="58"/>
        <v>0.6</v>
      </c>
      <c r="P67" s="118">
        <f t="shared" si="58"/>
        <v>0.1995</v>
      </c>
      <c r="Q67" s="118">
        <f t="shared" si="58"/>
        <v>0.555</v>
      </c>
      <c r="R67" s="118">
        <f t="shared" si="58"/>
        <v>0.0615</v>
      </c>
      <c r="S67" s="118">
        <f t="shared" si="58"/>
        <v>0.006</v>
      </c>
      <c r="T67" s="118">
        <f t="shared" si="58"/>
        <v>0</v>
      </c>
      <c r="U67" s="118">
        <f t="shared" si="58"/>
        <v>0</v>
      </c>
      <c r="V67" s="118">
        <f t="shared" si="58"/>
        <v>0</v>
      </c>
      <c r="W67" s="118">
        <f t="shared" si="58"/>
        <v>0</v>
      </c>
      <c r="X67" s="118">
        <f t="shared" si="58"/>
        <v>0</v>
      </c>
      <c r="Y67" s="118">
        <f t="shared" si="58"/>
        <v>0</v>
      </c>
      <c r="Z67" s="118">
        <f t="shared" si="58"/>
        <v>0</v>
      </c>
      <c r="AA67" s="118">
        <f t="shared" si="58"/>
        <v>0</v>
      </c>
      <c r="AB67" s="118">
        <f t="shared" si="58"/>
        <v>0</v>
      </c>
      <c r="AC67" s="118">
        <f t="shared" si="58"/>
        <v>0</v>
      </c>
      <c r="AD67" s="118">
        <f t="shared" si="58"/>
        <v>0</v>
      </c>
      <c r="AE67" s="226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7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9"/>
    </row>
    <row r="68" ht="15.75" customHeight="1">
      <c r="A68" s="230" t="s">
        <v>172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2"/>
      <c r="AF68" s="231"/>
      <c r="AG68" s="60">
        <f t="shared" ref="AG68:BL68" si="59">sum(AG35:AG66)</f>
        <v>0</v>
      </c>
      <c r="AH68" s="60">
        <f t="shared" si="59"/>
        <v>0</v>
      </c>
      <c r="AI68" s="60">
        <f t="shared" si="59"/>
        <v>0</v>
      </c>
      <c r="AJ68" s="60">
        <f t="shared" si="59"/>
        <v>0</v>
      </c>
      <c r="AK68" s="60">
        <f t="shared" si="59"/>
        <v>0</v>
      </c>
      <c r="AL68" s="60">
        <f t="shared" si="59"/>
        <v>0</v>
      </c>
      <c r="AM68" s="60">
        <f t="shared" si="59"/>
        <v>0</v>
      </c>
      <c r="AN68" s="60">
        <f t="shared" si="59"/>
        <v>0</v>
      </c>
      <c r="AO68" s="60">
        <f t="shared" si="59"/>
        <v>0</v>
      </c>
      <c r="AP68" s="60">
        <f t="shared" si="59"/>
        <v>0</v>
      </c>
      <c r="AQ68" s="60">
        <f t="shared" si="59"/>
        <v>0</v>
      </c>
      <c r="AR68" s="60">
        <f t="shared" si="59"/>
        <v>0</v>
      </c>
      <c r="AS68" s="60">
        <f t="shared" si="59"/>
        <v>0.07477647059</v>
      </c>
      <c r="AT68" s="60">
        <f t="shared" si="59"/>
        <v>0.2594352941</v>
      </c>
      <c r="AU68" s="60">
        <f t="shared" si="59"/>
        <v>0.4136047059</v>
      </c>
      <c r="AV68" s="60">
        <f t="shared" si="59"/>
        <v>0.5106858824</v>
      </c>
      <c r="AW68" s="60">
        <f t="shared" si="59"/>
        <v>0.5585352941</v>
      </c>
      <c r="AX68" s="60">
        <f t="shared" si="59"/>
        <v>0.5289005882</v>
      </c>
      <c r="AY68" s="60">
        <f t="shared" si="59"/>
        <v>0.4599902941</v>
      </c>
      <c r="AZ68" s="60">
        <f t="shared" si="59"/>
        <v>0.4095220588</v>
      </c>
      <c r="BA68" s="60">
        <f t="shared" si="59"/>
        <v>0.2678123529</v>
      </c>
      <c r="BB68" s="60">
        <f t="shared" si="59"/>
        <v>0.15057</v>
      </c>
      <c r="BC68" s="60">
        <f t="shared" si="59"/>
        <v>0.069555</v>
      </c>
      <c r="BD68" s="60">
        <f t="shared" si="59"/>
        <v>0.031395</v>
      </c>
      <c r="BE68" s="60">
        <f t="shared" si="59"/>
        <v>0.01398</v>
      </c>
      <c r="BF68" s="60">
        <f t="shared" si="59"/>
        <v>0.00147</v>
      </c>
      <c r="BG68" s="60">
        <f t="shared" si="59"/>
        <v>0.00012</v>
      </c>
      <c r="BH68" s="60">
        <f t="shared" si="59"/>
        <v>0</v>
      </c>
      <c r="BI68" s="60">
        <f t="shared" si="59"/>
        <v>0</v>
      </c>
      <c r="BJ68" s="60">
        <f t="shared" si="59"/>
        <v>0</v>
      </c>
      <c r="BK68" s="60">
        <f t="shared" si="59"/>
        <v>0</v>
      </c>
      <c r="BL68" s="60">
        <f t="shared" si="59"/>
        <v>0</v>
      </c>
    </row>
    <row r="69" ht="15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233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234">
        <v>0.0</v>
      </c>
      <c r="AX69" s="234">
        <v>0.0</v>
      </c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</row>
    <row r="70" ht="15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233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</row>
    <row r="71" ht="15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233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</row>
    <row r="72" ht="15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23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233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</row>
    <row r="73" ht="15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23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233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</row>
    <row r="74" ht="15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23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233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233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233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</row>
    <row r="77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233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</row>
    <row r="78" ht="15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233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</row>
    <row r="79" ht="15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233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</row>
    <row r="80" ht="15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233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</row>
    <row r="81" ht="15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233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</row>
    <row r="82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233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</row>
    <row r="83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233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</row>
    <row r="84" ht="15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233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</row>
    <row r="85" ht="15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233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</row>
    <row r="86" ht="15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233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</row>
    <row r="87" ht="15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233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</row>
    <row r="88" ht="15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233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</row>
    <row r="89" ht="15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233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</row>
    <row r="90" ht="15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233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</row>
    <row r="91" ht="15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233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</row>
    <row r="92" ht="15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233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</row>
    <row r="93" ht="15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233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</row>
    <row r="94" ht="15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233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</row>
    <row r="95" ht="15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233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</row>
    <row r="96" ht="15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233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</row>
    <row r="97" ht="15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233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</row>
    <row r="98" ht="15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233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</row>
    <row r="99" ht="15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233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</row>
    <row r="100" ht="15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233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</row>
    <row r="101" ht="15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233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</row>
    <row r="102" ht="15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233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</row>
    <row r="103" ht="15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233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</row>
    <row r="104" ht="15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233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</row>
    <row r="105" ht="15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233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</row>
    <row r="106" ht="15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233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</row>
    <row r="107" ht="15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233"/>
      <c r="AF107" s="185"/>
      <c r="AG107" s="185"/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</row>
    <row r="108" ht="15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233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</row>
    <row r="109" ht="15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233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</row>
    <row r="110" ht="15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233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</row>
    <row r="111" ht="15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233"/>
      <c r="AF111" s="185"/>
      <c r="AG111" s="185"/>
      <c r="AH111" s="185"/>
      <c r="AI111" s="185"/>
      <c r="AJ111" s="185"/>
      <c r="AK111" s="185"/>
      <c r="AL111" s="185"/>
      <c r="AM111" s="185"/>
      <c r="AN111" s="185"/>
      <c r="AO111" s="185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</row>
    <row r="112" ht="15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233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</row>
    <row r="113" ht="15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233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</row>
    <row r="114" ht="15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233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</row>
    <row r="115" ht="15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233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185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</row>
    <row r="116" ht="15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233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</row>
    <row r="117" ht="15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233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185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</row>
    <row r="118" ht="15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233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185"/>
      <c r="BI118" s="185"/>
      <c r="BJ118" s="185"/>
      <c r="BK118" s="185"/>
      <c r="BL118" s="185"/>
    </row>
    <row r="119" ht="15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233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5"/>
      <c r="BL119" s="185"/>
    </row>
    <row r="120" ht="15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233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  <c r="BK120" s="185"/>
      <c r="BL120" s="185"/>
    </row>
    <row r="121" ht="15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233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</row>
    <row r="122" ht="15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233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  <c r="BH122" s="185"/>
      <c r="BI122" s="185"/>
      <c r="BJ122" s="185"/>
      <c r="BK122" s="185"/>
      <c r="BL122" s="185"/>
    </row>
    <row r="123" ht="15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233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</row>
    <row r="124" ht="15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233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  <c r="BH124" s="185"/>
      <c r="BI124" s="185"/>
      <c r="BJ124" s="185"/>
      <c r="BK124" s="185"/>
      <c r="BL124" s="185"/>
    </row>
    <row r="125" ht="15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233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</row>
    <row r="126" ht="15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233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</row>
    <row r="127" ht="15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233"/>
      <c r="AF127" s="185"/>
      <c r="AG127" s="185"/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5"/>
    </row>
    <row r="128" ht="15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233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  <c r="BD128" s="185"/>
      <c r="BE128" s="185"/>
      <c r="BF128" s="185"/>
      <c r="BG128" s="185"/>
      <c r="BH128" s="185"/>
      <c r="BI128" s="185"/>
      <c r="BJ128" s="185"/>
      <c r="BK128" s="185"/>
      <c r="BL128" s="185"/>
    </row>
    <row r="129" ht="15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233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5"/>
      <c r="BF129" s="185"/>
      <c r="BG129" s="185"/>
      <c r="BH129" s="185"/>
      <c r="BI129" s="185"/>
      <c r="BJ129" s="185"/>
      <c r="BK129" s="185"/>
      <c r="BL129" s="185"/>
    </row>
    <row r="130" ht="15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233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233"/>
      <c r="AF131" s="185"/>
      <c r="AG131" s="185"/>
      <c r="AH131" s="185"/>
      <c r="AI131" s="185"/>
      <c r="AJ131" s="185"/>
      <c r="AK131" s="185"/>
      <c r="AL131" s="185"/>
      <c r="AM131" s="185"/>
      <c r="AN131" s="185"/>
      <c r="AO131" s="185"/>
      <c r="AP131" s="185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  <c r="BA131" s="185"/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233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  <c r="AP132" s="185"/>
      <c r="AQ132" s="185"/>
      <c r="AR132" s="185"/>
      <c r="AS132" s="185"/>
      <c r="AT132" s="185"/>
      <c r="AU132" s="185"/>
      <c r="AV132" s="185"/>
      <c r="AW132" s="185"/>
      <c r="AX132" s="185"/>
      <c r="AY132" s="185"/>
      <c r="AZ132" s="185"/>
      <c r="BA132" s="185"/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233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233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233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233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5"/>
      <c r="AP136" s="185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233"/>
      <c r="AF137" s="185"/>
      <c r="AG137" s="185"/>
      <c r="AH137" s="185"/>
      <c r="AI137" s="185"/>
      <c r="AJ137" s="185"/>
      <c r="AK137" s="185"/>
      <c r="AL137" s="185"/>
      <c r="AM137" s="185"/>
      <c r="AN137" s="185"/>
      <c r="AO137" s="185"/>
      <c r="AP137" s="185"/>
      <c r="AQ137" s="185"/>
      <c r="AR137" s="185"/>
      <c r="AS137" s="185"/>
      <c r="AT137" s="185"/>
      <c r="AU137" s="185"/>
      <c r="AV137" s="185"/>
      <c r="AW137" s="185"/>
      <c r="AX137" s="185"/>
      <c r="AY137" s="185"/>
      <c r="AZ137" s="185"/>
      <c r="BA137" s="185"/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233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/>
      <c r="AT138" s="185"/>
      <c r="AU138" s="185"/>
      <c r="AV138" s="185"/>
      <c r="AW138" s="185"/>
      <c r="AX138" s="185"/>
      <c r="AY138" s="185"/>
      <c r="AZ138" s="185"/>
      <c r="BA138" s="185"/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233"/>
      <c r="AF139" s="185"/>
      <c r="AG139" s="185"/>
      <c r="AH139" s="185"/>
      <c r="AI139" s="185"/>
      <c r="AJ139" s="185"/>
      <c r="AK139" s="185"/>
      <c r="AL139" s="185"/>
      <c r="AM139" s="185"/>
      <c r="AN139" s="185"/>
      <c r="AO139" s="185"/>
      <c r="AP139" s="185"/>
      <c r="AQ139" s="185"/>
      <c r="AR139" s="185"/>
      <c r="AS139" s="185"/>
      <c r="AT139" s="185"/>
      <c r="AU139" s="185"/>
      <c r="AV139" s="185"/>
      <c r="AW139" s="185"/>
      <c r="AX139" s="185"/>
      <c r="AY139" s="185"/>
      <c r="AZ139" s="185"/>
      <c r="BA139" s="185"/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233"/>
      <c r="AF140" s="185"/>
      <c r="AG140" s="185"/>
      <c r="AH140" s="185"/>
      <c r="AI140" s="185"/>
      <c r="AJ140" s="185"/>
      <c r="AK140" s="185"/>
      <c r="AL140" s="185"/>
      <c r="AM140" s="185"/>
      <c r="AN140" s="185"/>
      <c r="AO140" s="185"/>
      <c r="AP140" s="185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233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233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233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  <c r="AP143" s="185"/>
      <c r="AQ143" s="185"/>
      <c r="AR143" s="185"/>
      <c r="AS143" s="185"/>
      <c r="AT143" s="185"/>
      <c r="AU143" s="185"/>
      <c r="AV143" s="185"/>
      <c r="AW143" s="185"/>
      <c r="AX143" s="185"/>
      <c r="AY143" s="185"/>
      <c r="AZ143" s="185"/>
      <c r="BA143" s="185"/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233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  <c r="AP144" s="185"/>
      <c r="AQ144" s="185"/>
      <c r="AR144" s="185"/>
      <c r="AS144" s="185"/>
      <c r="AT144" s="185"/>
      <c r="AU144" s="185"/>
      <c r="AV144" s="185"/>
      <c r="AW144" s="185"/>
      <c r="AX144" s="185"/>
      <c r="AY144" s="185"/>
      <c r="AZ144" s="185"/>
      <c r="BA144" s="185"/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233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/>
      <c r="AT145" s="185"/>
      <c r="AU145" s="185"/>
      <c r="AV145" s="185"/>
      <c r="AW145" s="185"/>
      <c r="AX145" s="185"/>
      <c r="AY145" s="185"/>
      <c r="AZ145" s="185"/>
      <c r="BA145" s="185"/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233"/>
      <c r="AF146" s="185"/>
      <c r="AG146" s="185"/>
      <c r="AH146" s="185"/>
      <c r="AI146" s="185"/>
      <c r="AJ146" s="185"/>
      <c r="AK146" s="185"/>
      <c r="AL146" s="185"/>
      <c r="AM146" s="185"/>
      <c r="AN146" s="185"/>
      <c r="AO146" s="185"/>
      <c r="AP146" s="185"/>
      <c r="AQ146" s="185"/>
      <c r="AR146" s="185"/>
      <c r="AS146" s="185"/>
      <c r="AT146" s="185"/>
      <c r="AU146" s="185"/>
      <c r="AV146" s="185"/>
      <c r="AW146" s="185"/>
      <c r="AX146" s="185"/>
      <c r="AY146" s="185"/>
      <c r="AZ146" s="185"/>
      <c r="BA146" s="185"/>
      <c r="BB146" s="185"/>
      <c r="BC146" s="185"/>
      <c r="BD146" s="185"/>
      <c r="BE146" s="185"/>
      <c r="BF146" s="185"/>
      <c r="BG146" s="185"/>
      <c r="BH146" s="185"/>
      <c r="BI146" s="185"/>
      <c r="BJ146" s="185"/>
      <c r="BK146" s="185"/>
      <c r="BL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233"/>
      <c r="AF147" s="185"/>
      <c r="AG147" s="185"/>
      <c r="AH147" s="185"/>
      <c r="AI147" s="185"/>
      <c r="AJ147" s="185"/>
      <c r="AK147" s="185"/>
      <c r="AL147" s="185"/>
      <c r="AM147" s="185"/>
      <c r="AN147" s="185"/>
      <c r="AO147" s="185"/>
      <c r="AP147" s="185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  <c r="BA147" s="185"/>
      <c r="BB147" s="185"/>
      <c r="BC147" s="185"/>
      <c r="BD147" s="185"/>
      <c r="BE147" s="185"/>
      <c r="BF147" s="185"/>
      <c r="BG147" s="185"/>
      <c r="BH147" s="185"/>
      <c r="BI147" s="185"/>
      <c r="BJ147" s="185"/>
      <c r="BK147" s="185"/>
      <c r="BL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233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  <c r="AP148" s="185"/>
      <c r="AQ148" s="185"/>
      <c r="AR148" s="185"/>
      <c r="AS148" s="185"/>
      <c r="AT148" s="185"/>
      <c r="AU148" s="185"/>
      <c r="AV148" s="185"/>
      <c r="AW148" s="185"/>
      <c r="AX148" s="185"/>
      <c r="AY148" s="185"/>
      <c r="AZ148" s="185"/>
      <c r="BA148" s="185"/>
      <c r="BB148" s="185"/>
      <c r="BC148" s="185"/>
      <c r="BD148" s="185"/>
      <c r="BE148" s="185"/>
      <c r="BF148" s="185"/>
      <c r="BG148" s="185"/>
      <c r="BH148" s="185"/>
      <c r="BI148" s="185"/>
      <c r="BJ148" s="185"/>
      <c r="BK148" s="185"/>
      <c r="BL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233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185"/>
      <c r="BD149" s="185"/>
      <c r="BE149" s="185"/>
      <c r="BF149" s="185"/>
      <c r="BG149" s="185"/>
      <c r="BH149" s="185"/>
      <c r="BI149" s="185"/>
      <c r="BJ149" s="185"/>
      <c r="BK149" s="185"/>
      <c r="BL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233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185"/>
      <c r="BE150" s="185"/>
      <c r="BF150" s="185"/>
      <c r="BG150" s="185"/>
      <c r="BH150" s="185"/>
      <c r="BI150" s="185"/>
      <c r="BJ150" s="185"/>
      <c r="BK150" s="185"/>
      <c r="BL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233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5"/>
      <c r="BF151" s="185"/>
      <c r="BG151" s="185"/>
      <c r="BH151" s="185"/>
      <c r="BI151" s="185"/>
      <c r="BJ151" s="185"/>
      <c r="BK151" s="185"/>
      <c r="BL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233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185"/>
      <c r="BE152" s="185"/>
      <c r="BF152" s="185"/>
      <c r="BG152" s="185"/>
      <c r="BH152" s="185"/>
      <c r="BI152" s="185"/>
      <c r="BJ152" s="185"/>
      <c r="BK152" s="185"/>
      <c r="BL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233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185"/>
      <c r="BE153" s="185"/>
      <c r="BF153" s="185"/>
      <c r="BG153" s="185"/>
      <c r="BH153" s="185"/>
      <c r="BI153" s="185"/>
      <c r="BJ153" s="185"/>
      <c r="BK153" s="185"/>
      <c r="BL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233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185"/>
      <c r="BE154" s="185"/>
      <c r="BF154" s="185"/>
      <c r="BG154" s="185"/>
      <c r="BH154" s="185"/>
      <c r="BI154" s="185"/>
      <c r="BJ154" s="185"/>
      <c r="BK154" s="185"/>
      <c r="BL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233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185"/>
      <c r="BE155" s="185"/>
      <c r="BF155" s="185"/>
      <c r="BG155" s="185"/>
      <c r="BH155" s="185"/>
      <c r="BI155" s="185"/>
      <c r="BJ155" s="185"/>
      <c r="BK155" s="185"/>
      <c r="BL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233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233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185"/>
      <c r="BE157" s="185"/>
      <c r="BF157" s="185"/>
      <c r="BG157" s="185"/>
      <c r="BH157" s="185"/>
      <c r="BI157" s="185"/>
      <c r="BJ157" s="185"/>
      <c r="BK157" s="185"/>
      <c r="BL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233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185"/>
      <c r="BE158" s="185"/>
      <c r="BF158" s="185"/>
      <c r="BG158" s="185"/>
      <c r="BH158" s="185"/>
      <c r="BI158" s="185"/>
      <c r="BJ158" s="185"/>
      <c r="BK158" s="185"/>
      <c r="BL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233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185"/>
      <c r="BE159" s="185"/>
      <c r="BF159" s="185"/>
      <c r="BG159" s="185"/>
      <c r="BH159" s="185"/>
      <c r="BI159" s="185"/>
      <c r="BJ159" s="185"/>
      <c r="BK159" s="185"/>
      <c r="BL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233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185"/>
      <c r="BE160" s="185"/>
      <c r="BF160" s="185"/>
      <c r="BG160" s="185"/>
      <c r="BH160" s="185"/>
      <c r="BI160" s="185"/>
      <c r="BJ160" s="185"/>
      <c r="BK160" s="185"/>
      <c r="BL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233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5"/>
      <c r="BF161" s="185"/>
      <c r="BG161" s="185"/>
      <c r="BH161" s="185"/>
      <c r="BI161" s="185"/>
      <c r="BJ161" s="185"/>
      <c r="BK161" s="185"/>
      <c r="BL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233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233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233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233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233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233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233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233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233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233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233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233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233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233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233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233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233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185"/>
      <c r="BE178" s="185"/>
      <c r="BF178" s="185"/>
      <c r="BG178" s="185"/>
      <c r="BH178" s="185"/>
      <c r="BI178" s="185"/>
      <c r="BJ178" s="185"/>
      <c r="BK178" s="185"/>
      <c r="BL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233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185"/>
      <c r="BI179" s="185"/>
      <c r="BJ179" s="185"/>
      <c r="BK179" s="185"/>
      <c r="BL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233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185"/>
      <c r="BI180" s="185"/>
      <c r="BJ180" s="185"/>
      <c r="BK180" s="185"/>
      <c r="BL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233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5"/>
      <c r="BF181" s="185"/>
      <c r="BG181" s="185"/>
      <c r="BH181" s="185"/>
      <c r="BI181" s="185"/>
      <c r="BJ181" s="185"/>
      <c r="BK181" s="185"/>
      <c r="BL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233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185"/>
      <c r="BI182" s="185"/>
      <c r="BJ182" s="185"/>
      <c r="BK182" s="185"/>
      <c r="BL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233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185"/>
      <c r="BI183" s="185"/>
      <c r="BJ183" s="185"/>
      <c r="BK183" s="185"/>
      <c r="BL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233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185"/>
      <c r="BI184" s="185"/>
      <c r="BJ184" s="185"/>
      <c r="BK184" s="185"/>
      <c r="BL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233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233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233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185"/>
      <c r="BE187" s="185"/>
      <c r="BF187" s="185"/>
      <c r="BG187" s="185"/>
      <c r="BH187" s="185"/>
      <c r="BI187" s="185"/>
      <c r="BJ187" s="185"/>
      <c r="BK187" s="185"/>
      <c r="BL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233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185"/>
      <c r="BE188" s="185"/>
      <c r="BF188" s="185"/>
      <c r="BG188" s="185"/>
      <c r="BH188" s="185"/>
      <c r="BI188" s="185"/>
      <c r="BJ188" s="185"/>
      <c r="BK188" s="185"/>
      <c r="BL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233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185"/>
      <c r="BE189" s="185"/>
      <c r="BF189" s="185"/>
      <c r="BG189" s="185"/>
      <c r="BH189" s="185"/>
      <c r="BI189" s="185"/>
      <c r="BJ189" s="185"/>
      <c r="BK189" s="185"/>
      <c r="BL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233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185"/>
      <c r="BE190" s="185"/>
      <c r="BF190" s="185"/>
      <c r="BG190" s="185"/>
      <c r="BH190" s="185"/>
      <c r="BI190" s="185"/>
      <c r="BJ190" s="185"/>
      <c r="BK190" s="185"/>
      <c r="BL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233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5"/>
      <c r="BF191" s="185"/>
      <c r="BG191" s="185"/>
      <c r="BH191" s="185"/>
      <c r="BI191" s="185"/>
      <c r="BJ191" s="185"/>
      <c r="BK191" s="185"/>
      <c r="BL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233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185"/>
      <c r="BE192" s="185"/>
      <c r="BF192" s="185"/>
      <c r="BG192" s="185"/>
      <c r="BH192" s="185"/>
      <c r="BI192" s="185"/>
      <c r="BJ192" s="185"/>
      <c r="BK192" s="185"/>
      <c r="BL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233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185"/>
      <c r="BE193" s="185"/>
      <c r="BF193" s="185"/>
      <c r="BG193" s="185"/>
      <c r="BH193" s="185"/>
      <c r="BI193" s="185"/>
      <c r="BJ193" s="185"/>
      <c r="BK193" s="185"/>
      <c r="BL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233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233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233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233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233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233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233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</row>
    <row r="201" ht="15.75" customHeight="1">
      <c r="A201" s="246"/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  <c r="AF201" s="246"/>
      <c r="AG201" s="246"/>
      <c r="AH201" s="246"/>
      <c r="AI201" s="246"/>
      <c r="AJ201" s="246"/>
      <c r="AK201" s="246"/>
      <c r="AL201" s="246"/>
      <c r="AM201" s="246"/>
      <c r="AN201" s="246"/>
      <c r="AO201" s="246"/>
      <c r="AP201" s="246"/>
      <c r="AQ201" s="246"/>
      <c r="AR201" s="246"/>
      <c r="AS201" s="246"/>
      <c r="AT201" s="246"/>
      <c r="AU201" s="246"/>
      <c r="AV201" s="246"/>
      <c r="AW201" s="246"/>
      <c r="AX201" s="246"/>
      <c r="AY201" s="246"/>
      <c r="AZ201" s="246"/>
      <c r="BA201" s="246"/>
      <c r="BB201" s="246"/>
      <c r="BC201" s="246"/>
      <c r="BD201" s="246"/>
      <c r="BE201" s="246"/>
      <c r="BF201" s="246"/>
      <c r="BG201" s="246"/>
      <c r="BH201" s="246"/>
      <c r="BI201" s="246"/>
      <c r="BJ201" s="246"/>
      <c r="BK201" s="246"/>
      <c r="BL201" s="246"/>
    </row>
    <row r="202" ht="15.75" customHeight="1">
      <c r="A202" s="246"/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  <c r="AD202" s="246"/>
      <c r="AE202" s="246"/>
      <c r="AF202" s="246"/>
      <c r="AG202" s="246"/>
      <c r="AH202" s="246"/>
      <c r="AI202" s="246"/>
      <c r="AJ202" s="246"/>
      <c r="AK202" s="246"/>
      <c r="AL202" s="246"/>
      <c r="AM202" s="246"/>
      <c r="AN202" s="246"/>
      <c r="AO202" s="246"/>
      <c r="AP202" s="246"/>
      <c r="AQ202" s="246"/>
      <c r="AR202" s="246"/>
      <c r="AS202" s="246"/>
      <c r="AT202" s="246"/>
      <c r="AU202" s="246"/>
      <c r="AV202" s="246"/>
      <c r="AW202" s="246"/>
      <c r="AX202" s="246"/>
      <c r="AY202" s="246"/>
      <c r="AZ202" s="246"/>
      <c r="BA202" s="246"/>
      <c r="BB202" s="246"/>
      <c r="BC202" s="246"/>
      <c r="BD202" s="246"/>
      <c r="BE202" s="246"/>
      <c r="BF202" s="246"/>
      <c r="BG202" s="246"/>
      <c r="BH202" s="246"/>
      <c r="BI202" s="246"/>
      <c r="BJ202" s="246"/>
      <c r="BK202" s="246"/>
      <c r="BL202" s="246"/>
    </row>
    <row r="203" ht="15.75" customHeight="1">
      <c r="A203" s="246"/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  <c r="AF203" s="246"/>
      <c r="AG203" s="246"/>
      <c r="AH203" s="246"/>
      <c r="AI203" s="246"/>
      <c r="AJ203" s="246"/>
      <c r="AK203" s="246"/>
      <c r="AL203" s="246"/>
      <c r="AM203" s="246"/>
      <c r="AN203" s="246"/>
      <c r="AO203" s="246"/>
      <c r="AP203" s="246"/>
      <c r="AQ203" s="246"/>
      <c r="AR203" s="246"/>
      <c r="AS203" s="246"/>
      <c r="AT203" s="246"/>
      <c r="AU203" s="246"/>
      <c r="AV203" s="246"/>
      <c r="AW203" s="246"/>
      <c r="AX203" s="246"/>
      <c r="AY203" s="246"/>
      <c r="AZ203" s="246"/>
      <c r="BA203" s="246"/>
      <c r="BB203" s="246"/>
      <c r="BC203" s="246"/>
      <c r="BD203" s="246"/>
      <c r="BE203" s="246"/>
      <c r="BF203" s="246"/>
      <c r="BG203" s="246"/>
      <c r="BH203" s="246"/>
      <c r="BI203" s="246"/>
      <c r="BJ203" s="246"/>
      <c r="BK203" s="246"/>
      <c r="BL203" s="246"/>
    </row>
    <row r="204" ht="15.75" customHeight="1">
      <c r="A204" s="246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  <c r="AD204" s="246"/>
      <c r="AE204" s="246"/>
      <c r="AF204" s="246"/>
      <c r="AG204" s="246"/>
      <c r="AH204" s="246"/>
      <c r="AI204" s="246"/>
      <c r="AJ204" s="246"/>
      <c r="AK204" s="246"/>
      <c r="AL204" s="246"/>
      <c r="AM204" s="246"/>
      <c r="AN204" s="246"/>
      <c r="AO204" s="246"/>
      <c r="AP204" s="246"/>
      <c r="AQ204" s="246"/>
      <c r="AR204" s="246"/>
      <c r="AS204" s="246"/>
      <c r="AT204" s="246"/>
      <c r="AU204" s="246"/>
      <c r="AV204" s="246"/>
      <c r="AW204" s="246"/>
      <c r="AX204" s="246"/>
      <c r="AY204" s="246"/>
      <c r="AZ204" s="246"/>
      <c r="BA204" s="246"/>
      <c r="BB204" s="246"/>
      <c r="BC204" s="246"/>
      <c r="BD204" s="246"/>
      <c r="BE204" s="246"/>
      <c r="BF204" s="246"/>
      <c r="BG204" s="246"/>
      <c r="BH204" s="246"/>
      <c r="BI204" s="246"/>
      <c r="BJ204" s="246"/>
      <c r="BK204" s="246"/>
      <c r="BL204" s="246"/>
    </row>
    <row r="205" ht="15.75" customHeight="1">
      <c r="A205" s="246"/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  <c r="AF205" s="246"/>
      <c r="AG205" s="246"/>
      <c r="AH205" s="246"/>
      <c r="AI205" s="246"/>
      <c r="AJ205" s="246"/>
      <c r="AK205" s="246"/>
      <c r="AL205" s="246"/>
      <c r="AM205" s="246"/>
      <c r="AN205" s="246"/>
      <c r="AO205" s="246"/>
      <c r="AP205" s="246"/>
      <c r="AQ205" s="246"/>
      <c r="AR205" s="246"/>
      <c r="AS205" s="246"/>
      <c r="AT205" s="246"/>
      <c r="AU205" s="246"/>
      <c r="AV205" s="246"/>
      <c r="AW205" s="246"/>
      <c r="AX205" s="246"/>
      <c r="AY205" s="246"/>
      <c r="AZ205" s="246"/>
      <c r="BA205" s="246"/>
      <c r="BB205" s="246"/>
      <c r="BC205" s="246"/>
      <c r="BD205" s="246"/>
      <c r="BE205" s="246"/>
      <c r="BF205" s="246"/>
      <c r="BG205" s="246"/>
      <c r="BH205" s="246"/>
      <c r="BI205" s="246"/>
      <c r="BJ205" s="246"/>
      <c r="BK205" s="246"/>
      <c r="BL205" s="246"/>
    </row>
    <row r="206" ht="15.75" customHeight="1">
      <c r="A206" s="246"/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  <c r="AD206" s="246"/>
      <c r="AE206" s="246"/>
      <c r="AF206" s="246"/>
      <c r="AG206" s="246"/>
      <c r="AH206" s="246"/>
      <c r="AI206" s="246"/>
      <c r="AJ206" s="246"/>
      <c r="AK206" s="246"/>
      <c r="AL206" s="246"/>
      <c r="AM206" s="246"/>
      <c r="AN206" s="246"/>
      <c r="AO206" s="246"/>
      <c r="AP206" s="246"/>
      <c r="AQ206" s="246"/>
      <c r="AR206" s="246"/>
      <c r="AS206" s="246"/>
      <c r="AT206" s="246"/>
      <c r="AU206" s="246"/>
      <c r="AV206" s="246"/>
      <c r="AW206" s="246"/>
      <c r="AX206" s="246"/>
      <c r="AY206" s="246"/>
      <c r="AZ206" s="246"/>
      <c r="BA206" s="246"/>
      <c r="BB206" s="246"/>
      <c r="BC206" s="246"/>
      <c r="BD206" s="246"/>
      <c r="BE206" s="246"/>
      <c r="BF206" s="246"/>
      <c r="BG206" s="246"/>
      <c r="BH206" s="246"/>
      <c r="BI206" s="246"/>
      <c r="BJ206" s="246"/>
      <c r="BK206" s="246"/>
      <c r="BL206" s="246"/>
    </row>
    <row r="207" ht="15.75" customHeight="1">
      <c r="A207" s="246"/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  <c r="AF207" s="246"/>
      <c r="AG207" s="246"/>
      <c r="AH207" s="246"/>
      <c r="AI207" s="246"/>
      <c r="AJ207" s="246"/>
      <c r="AK207" s="246"/>
      <c r="AL207" s="246"/>
      <c r="AM207" s="246"/>
      <c r="AN207" s="246"/>
      <c r="AO207" s="246"/>
      <c r="AP207" s="246"/>
      <c r="AQ207" s="246"/>
      <c r="AR207" s="246"/>
      <c r="AS207" s="246"/>
      <c r="AT207" s="246"/>
      <c r="AU207" s="246"/>
      <c r="AV207" s="246"/>
      <c r="AW207" s="246"/>
      <c r="AX207" s="246"/>
      <c r="AY207" s="246"/>
      <c r="AZ207" s="246"/>
      <c r="BA207" s="246"/>
      <c r="BB207" s="246"/>
      <c r="BC207" s="246"/>
      <c r="BD207" s="246"/>
      <c r="BE207" s="246"/>
      <c r="BF207" s="246"/>
      <c r="BG207" s="246"/>
      <c r="BH207" s="246"/>
      <c r="BI207" s="246"/>
      <c r="BJ207" s="246"/>
      <c r="BK207" s="246"/>
      <c r="BL207" s="246"/>
    </row>
    <row r="208" ht="15.75" customHeight="1">
      <c r="A208" s="246"/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  <c r="AD208" s="246"/>
      <c r="AE208" s="246"/>
      <c r="AF208" s="246"/>
      <c r="AG208" s="246"/>
      <c r="AH208" s="246"/>
      <c r="AI208" s="246"/>
      <c r="AJ208" s="246"/>
      <c r="AK208" s="246"/>
      <c r="AL208" s="246"/>
      <c r="AM208" s="246"/>
      <c r="AN208" s="246"/>
      <c r="AO208" s="246"/>
      <c r="AP208" s="246"/>
      <c r="AQ208" s="246"/>
      <c r="AR208" s="246"/>
      <c r="AS208" s="246"/>
      <c r="AT208" s="246"/>
      <c r="AU208" s="246"/>
      <c r="AV208" s="246"/>
      <c r="AW208" s="246"/>
      <c r="AX208" s="246"/>
      <c r="AY208" s="246"/>
      <c r="AZ208" s="246"/>
      <c r="BA208" s="246"/>
      <c r="BB208" s="246"/>
      <c r="BC208" s="246"/>
      <c r="BD208" s="246"/>
      <c r="BE208" s="246"/>
      <c r="BF208" s="246"/>
      <c r="BG208" s="246"/>
      <c r="BH208" s="246"/>
      <c r="BI208" s="246"/>
      <c r="BJ208" s="246"/>
      <c r="BK208" s="246"/>
      <c r="BL208" s="246"/>
    </row>
    <row r="209" ht="15.75" customHeight="1">
      <c r="A209" s="246"/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6"/>
      <c r="AG209" s="246"/>
      <c r="AH209" s="246"/>
      <c r="AI209" s="246"/>
      <c r="AJ209" s="246"/>
      <c r="AK209" s="246"/>
      <c r="AL209" s="246"/>
      <c r="AM209" s="246"/>
      <c r="AN209" s="246"/>
      <c r="AO209" s="246"/>
      <c r="AP209" s="246"/>
      <c r="AQ209" s="246"/>
      <c r="AR209" s="246"/>
      <c r="AS209" s="246"/>
      <c r="AT209" s="246"/>
      <c r="AU209" s="246"/>
      <c r="AV209" s="246"/>
      <c r="AW209" s="246"/>
      <c r="AX209" s="246"/>
      <c r="AY209" s="246"/>
      <c r="AZ209" s="246"/>
      <c r="BA209" s="246"/>
      <c r="BB209" s="246"/>
      <c r="BC209" s="246"/>
      <c r="BD209" s="246"/>
      <c r="BE209" s="246"/>
      <c r="BF209" s="246"/>
      <c r="BG209" s="246"/>
      <c r="BH209" s="246"/>
      <c r="BI209" s="246"/>
      <c r="BJ209" s="246"/>
      <c r="BK209" s="246"/>
      <c r="BL209" s="246"/>
    </row>
    <row r="210" ht="15.75" customHeight="1">
      <c r="A210" s="246"/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6"/>
      <c r="AG210" s="246"/>
      <c r="AH210" s="246"/>
      <c r="AI210" s="246"/>
      <c r="AJ210" s="246"/>
      <c r="AK210" s="246"/>
      <c r="AL210" s="246"/>
      <c r="AM210" s="246"/>
      <c r="AN210" s="246"/>
      <c r="AO210" s="246"/>
      <c r="AP210" s="246"/>
      <c r="AQ210" s="246"/>
      <c r="AR210" s="246"/>
      <c r="AS210" s="246"/>
      <c r="AT210" s="246"/>
      <c r="AU210" s="246"/>
      <c r="AV210" s="246"/>
      <c r="AW210" s="246"/>
      <c r="AX210" s="246"/>
      <c r="AY210" s="246"/>
      <c r="AZ210" s="246"/>
      <c r="BA210" s="246"/>
      <c r="BB210" s="246"/>
      <c r="BC210" s="246"/>
      <c r="BD210" s="246"/>
      <c r="BE210" s="246"/>
      <c r="BF210" s="246"/>
      <c r="BG210" s="246"/>
      <c r="BH210" s="246"/>
      <c r="BI210" s="246"/>
      <c r="BJ210" s="246"/>
      <c r="BK210" s="246"/>
      <c r="BL210" s="246"/>
    </row>
    <row r="211" ht="15.75" customHeight="1">
      <c r="A211" s="246"/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6"/>
      <c r="AG211" s="246"/>
      <c r="AH211" s="246"/>
      <c r="AI211" s="246"/>
      <c r="AJ211" s="246"/>
      <c r="AK211" s="246"/>
      <c r="AL211" s="246"/>
      <c r="AM211" s="246"/>
      <c r="AN211" s="246"/>
      <c r="AO211" s="246"/>
      <c r="AP211" s="246"/>
      <c r="AQ211" s="246"/>
      <c r="AR211" s="246"/>
      <c r="AS211" s="246"/>
      <c r="AT211" s="246"/>
      <c r="AU211" s="246"/>
      <c r="AV211" s="246"/>
      <c r="AW211" s="246"/>
      <c r="AX211" s="246"/>
      <c r="AY211" s="246"/>
      <c r="AZ211" s="246"/>
      <c r="BA211" s="246"/>
      <c r="BB211" s="246"/>
      <c r="BC211" s="246"/>
      <c r="BD211" s="246"/>
      <c r="BE211" s="246"/>
      <c r="BF211" s="246"/>
      <c r="BG211" s="246"/>
      <c r="BH211" s="246"/>
      <c r="BI211" s="246"/>
      <c r="BJ211" s="246"/>
      <c r="BK211" s="246"/>
      <c r="BL211" s="246"/>
    </row>
    <row r="212" ht="15.75" customHeight="1">
      <c r="A212" s="246"/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  <c r="AF212" s="246"/>
      <c r="AG212" s="246"/>
      <c r="AH212" s="246"/>
      <c r="AI212" s="246"/>
      <c r="AJ212" s="246"/>
      <c r="AK212" s="246"/>
      <c r="AL212" s="246"/>
      <c r="AM212" s="246"/>
      <c r="AN212" s="246"/>
      <c r="AO212" s="246"/>
      <c r="AP212" s="246"/>
      <c r="AQ212" s="246"/>
      <c r="AR212" s="246"/>
      <c r="AS212" s="246"/>
      <c r="AT212" s="246"/>
      <c r="AU212" s="246"/>
      <c r="AV212" s="246"/>
      <c r="AW212" s="246"/>
      <c r="AX212" s="246"/>
      <c r="AY212" s="246"/>
      <c r="AZ212" s="246"/>
      <c r="BA212" s="246"/>
      <c r="BB212" s="246"/>
      <c r="BC212" s="246"/>
      <c r="BD212" s="246"/>
      <c r="BE212" s="246"/>
      <c r="BF212" s="246"/>
      <c r="BG212" s="246"/>
      <c r="BH212" s="246"/>
      <c r="BI212" s="246"/>
      <c r="BJ212" s="246"/>
      <c r="BK212" s="246"/>
      <c r="BL212" s="246"/>
    </row>
    <row r="213" ht="15.75" customHeight="1">
      <c r="A213" s="246"/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  <c r="AF213" s="246"/>
      <c r="AG213" s="246"/>
      <c r="AH213" s="246"/>
      <c r="AI213" s="246"/>
      <c r="AJ213" s="246"/>
      <c r="AK213" s="246"/>
      <c r="AL213" s="246"/>
      <c r="AM213" s="246"/>
      <c r="AN213" s="246"/>
      <c r="AO213" s="246"/>
      <c r="AP213" s="246"/>
      <c r="AQ213" s="246"/>
      <c r="AR213" s="246"/>
      <c r="AS213" s="246"/>
      <c r="AT213" s="246"/>
      <c r="AU213" s="246"/>
      <c r="AV213" s="246"/>
      <c r="AW213" s="246"/>
      <c r="AX213" s="246"/>
      <c r="AY213" s="246"/>
      <c r="AZ213" s="246"/>
      <c r="BA213" s="246"/>
      <c r="BB213" s="246"/>
      <c r="BC213" s="246"/>
      <c r="BD213" s="246"/>
      <c r="BE213" s="246"/>
      <c r="BF213" s="246"/>
      <c r="BG213" s="246"/>
      <c r="BH213" s="246"/>
      <c r="BI213" s="246"/>
      <c r="BJ213" s="246"/>
      <c r="BK213" s="246"/>
      <c r="BL213" s="246"/>
    </row>
    <row r="214" ht="15.75" customHeight="1">
      <c r="A214" s="246"/>
      <c r="B214" s="246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  <c r="AD214" s="246"/>
      <c r="AE214" s="246"/>
      <c r="AF214" s="246"/>
      <c r="AG214" s="246"/>
      <c r="AH214" s="246"/>
      <c r="AI214" s="246"/>
      <c r="AJ214" s="246"/>
      <c r="AK214" s="246"/>
      <c r="AL214" s="246"/>
      <c r="AM214" s="246"/>
      <c r="AN214" s="246"/>
      <c r="AO214" s="246"/>
      <c r="AP214" s="246"/>
      <c r="AQ214" s="246"/>
      <c r="AR214" s="246"/>
      <c r="AS214" s="246"/>
      <c r="AT214" s="246"/>
      <c r="AU214" s="246"/>
      <c r="AV214" s="246"/>
      <c r="AW214" s="246"/>
      <c r="AX214" s="246"/>
      <c r="AY214" s="246"/>
      <c r="AZ214" s="246"/>
      <c r="BA214" s="246"/>
      <c r="BB214" s="246"/>
      <c r="BC214" s="246"/>
      <c r="BD214" s="246"/>
      <c r="BE214" s="246"/>
      <c r="BF214" s="246"/>
      <c r="BG214" s="246"/>
      <c r="BH214" s="246"/>
      <c r="BI214" s="246"/>
      <c r="BJ214" s="246"/>
      <c r="BK214" s="246"/>
      <c r="BL214" s="246"/>
    </row>
    <row r="215" ht="15.75" customHeight="1">
      <c r="A215" s="246"/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  <c r="AF215" s="246"/>
      <c r="AG215" s="246"/>
      <c r="AH215" s="246"/>
      <c r="AI215" s="246"/>
      <c r="AJ215" s="246"/>
      <c r="AK215" s="246"/>
      <c r="AL215" s="246"/>
      <c r="AM215" s="246"/>
      <c r="AN215" s="246"/>
      <c r="AO215" s="246"/>
      <c r="AP215" s="246"/>
      <c r="AQ215" s="246"/>
      <c r="AR215" s="246"/>
      <c r="AS215" s="246"/>
      <c r="AT215" s="246"/>
      <c r="AU215" s="246"/>
      <c r="AV215" s="246"/>
      <c r="AW215" s="246"/>
      <c r="AX215" s="246"/>
      <c r="AY215" s="246"/>
      <c r="AZ215" s="246"/>
      <c r="BA215" s="246"/>
      <c r="BB215" s="246"/>
      <c r="BC215" s="246"/>
      <c r="BD215" s="246"/>
      <c r="BE215" s="246"/>
      <c r="BF215" s="246"/>
      <c r="BG215" s="246"/>
      <c r="BH215" s="246"/>
      <c r="BI215" s="246"/>
      <c r="BJ215" s="246"/>
      <c r="BK215" s="246"/>
      <c r="BL215" s="246"/>
    </row>
    <row r="216" ht="15.75" customHeight="1">
      <c r="A216" s="246"/>
      <c r="B216" s="246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  <c r="AD216" s="246"/>
      <c r="AE216" s="246"/>
      <c r="AF216" s="246"/>
      <c r="AG216" s="246"/>
      <c r="AH216" s="246"/>
      <c r="AI216" s="246"/>
      <c r="AJ216" s="246"/>
      <c r="AK216" s="246"/>
      <c r="AL216" s="246"/>
      <c r="AM216" s="246"/>
      <c r="AN216" s="246"/>
      <c r="AO216" s="246"/>
      <c r="AP216" s="246"/>
      <c r="AQ216" s="246"/>
      <c r="AR216" s="246"/>
      <c r="AS216" s="246"/>
      <c r="AT216" s="246"/>
      <c r="AU216" s="246"/>
      <c r="AV216" s="246"/>
      <c r="AW216" s="246"/>
      <c r="AX216" s="246"/>
      <c r="AY216" s="246"/>
      <c r="AZ216" s="246"/>
      <c r="BA216" s="246"/>
      <c r="BB216" s="246"/>
      <c r="BC216" s="246"/>
      <c r="BD216" s="246"/>
      <c r="BE216" s="246"/>
      <c r="BF216" s="246"/>
      <c r="BG216" s="246"/>
      <c r="BH216" s="246"/>
      <c r="BI216" s="246"/>
      <c r="BJ216" s="246"/>
      <c r="BK216" s="246"/>
      <c r="BL216" s="246"/>
    </row>
    <row r="217" ht="15.75" customHeight="1">
      <c r="A217" s="246"/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  <c r="AF217" s="246"/>
      <c r="AG217" s="246"/>
      <c r="AH217" s="246"/>
      <c r="AI217" s="246"/>
      <c r="AJ217" s="246"/>
      <c r="AK217" s="246"/>
      <c r="AL217" s="246"/>
      <c r="AM217" s="246"/>
      <c r="AN217" s="246"/>
      <c r="AO217" s="246"/>
      <c r="AP217" s="246"/>
      <c r="AQ217" s="246"/>
      <c r="AR217" s="246"/>
      <c r="AS217" s="246"/>
      <c r="AT217" s="246"/>
      <c r="AU217" s="246"/>
      <c r="AV217" s="246"/>
      <c r="AW217" s="246"/>
      <c r="AX217" s="246"/>
      <c r="AY217" s="246"/>
      <c r="AZ217" s="246"/>
      <c r="BA217" s="246"/>
      <c r="BB217" s="246"/>
      <c r="BC217" s="246"/>
      <c r="BD217" s="246"/>
      <c r="BE217" s="246"/>
      <c r="BF217" s="246"/>
      <c r="BG217" s="246"/>
      <c r="BH217" s="246"/>
      <c r="BI217" s="246"/>
      <c r="BJ217" s="246"/>
      <c r="BK217" s="246"/>
      <c r="BL217" s="246"/>
    </row>
    <row r="218" ht="15.75" customHeight="1">
      <c r="A218" s="246"/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  <c r="AD218" s="246"/>
      <c r="AE218" s="246"/>
      <c r="AF218" s="246"/>
      <c r="AG218" s="246"/>
      <c r="AH218" s="246"/>
      <c r="AI218" s="246"/>
      <c r="AJ218" s="246"/>
      <c r="AK218" s="246"/>
      <c r="AL218" s="246"/>
      <c r="AM218" s="246"/>
      <c r="AN218" s="246"/>
      <c r="AO218" s="246"/>
      <c r="AP218" s="246"/>
      <c r="AQ218" s="246"/>
      <c r="AR218" s="246"/>
      <c r="AS218" s="246"/>
      <c r="AT218" s="246"/>
      <c r="AU218" s="246"/>
      <c r="AV218" s="246"/>
      <c r="AW218" s="246"/>
      <c r="AX218" s="246"/>
      <c r="AY218" s="246"/>
      <c r="AZ218" s="246"/>
      <c r="BA218" s="246"/>
      <c r="BB218" s="246"/>
      <c r="BC218" s="246"/>
      <c r="BD218" s="246"/>
      <c r="BE218" s="246"/>
      <c r="BF218" s="246"/>
      <c r="BG218" s="246"/>
      <c r="BH218" s="246"/>
      <c r="BI218" s="246"/>
      <c r="BJ218" s="246"/>
      <c r="BK218" s="246"/>
      <c r="BL218" s="246"/>
    </row>
    <row r="219" ht="15.75" customHeight="1">
      <c r="A219" s="246"/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  <c r="AF219" s="246"/>
      <c r="AG219" s="246"/>
      <c r="AH219" s="246"/>
      <c r="AI219" s="246"/>
      <c r="AJ219" s="246"/>
      <c r="AK219" s="246"/>
      <c r="AL219" s="246"/>
      <c r="AM219" s="246"/>
      <c r="AN219" s="246"/>
      <c r="AO219" s="246"/>
      <c r="AP219" s="246"/>
      <c r="AQ219" s="246"/>
      <c r="AR219" s="246"/>
      <c r="AS219" s="246"/>
      <c r="AT219" s="246"/>
      <c r="AU219" s="246"/>
      <c r="AV219" s="246"/>
      <c r="AW219" s="246"/>
      <c r="AX219" s="246"/>
      <c r="AY219" s="246"/>
      <c r="AZ219" s="246"/>
      <c r="BA219" s="246"/>
      <c r="BB219" s="246"/>
      <c r="BC219" s="246"/>
      <c r="BD219" s="246"/>
      <c r="BE219" s="246"/>
      <c r="BF219" s="246"/>
      <c r="BG219" s="246"/>
      <c r="BH219" s="246"/>
      <c r="BI219" s="246"/>
      <c r="BJ219" s="246"/>
      <c r="BK219" s="246"/>
      <c r="BL219" s="246"/>
    </row>
    <row r="220" ht="15.75" customHeight="1">
      <c r="A220" s="246"/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  <c r="AF220" s="246"/>
      <c r="AG220" s="246"/>
      <c r="AH220" s="246"/>
      <c r="AI220" s="246"/>
      <c r="AJ220" s="246"/>
      <c r="AK220" s="246"/>
      <c r="AL220" s="246"/>
      <c r="AM220" s="246"/>
      <c r="AN220" s="246"/>
      <c r="AO220" s="246"/>
      <c r="AP220" s="246"/>
      <c r="AQ220" s="246"/>
      <c r="AR220" s="246"/>
      <c r="AS220" s="246"/>
      <c r="AT220" s="246"/>
      <c r="AU220" s="246"/>
      <c r="AV220" s="246"/>
      <c r="AW220" s="246"/>
      <c r="AX220" s="246"/>
      <c r="AY220" s="246"/>
      <c r="AZ220" s="246"/>
      <c r="BA220" s="246"/>
      <c r="BB220" s="246"/>
      <c r="BC220" s="246"/>
      <c r="BD220" s="246"/>
      <c r="BE220" s="246"/>
      <c r="BF220" s="246"/>
      <c r="BG220" s="246"/>
      <c r="BH220" s="246"/>
      <c r="BI220" s="246"/>
      <c r="BJ220" s="246"/>
      <c r="BK220" s="246"/>
      <c r="BL220" s="246"/>
    </row>
    <row r="221" ht="15.75" customHeight="1">
      <c r="A221" s="246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  <c r="AF221" s="246"/>
      <c r="AG221" s="246"/>
      <c r="AH221" s="246"/>
      <c r="AI221" s="246"/>
      <c r="AJ221" s="246"/>
      <c r="AK221" s="246"/>
      <c r="AL221" s="246"/>
      <c r="AM221" s="246"/>
      <c r="AN221" s="246"/>
      <c r="AO221" s="246"/>
      <c r="AP221" s="246"/>
      <c r="AQ221" s="246"/>
      <c r="AR221" s="246"/>
      <c r="AS221" s="246"/>
      <c r="AT221" s="246"/>
      <c r="AU221" s="246"/>
      <c r="AV221" s="246"/>
      <c r="AW221" s="246"/>
      <c r="AX221" s="246"/>
      <c r="AY221" s="246"/>
      <c r="AZ221" s="246"/>
      <c r="BA221" s="246"/>
      <c r="BB221" s="246"/>
      <c r="BC221" s="246"/>
      <c r="BD221" s="246"/>
      <c r="BE221" s="246"/>
      <c r="BF221" s="246"/>
      <c r="BG221" s="246"/>
      <c r="BH221" s="246"/>
      <c r="BI221" s="246"/>
      <c r="BJ221" s="246"/>
      <c r="BK221" s="246"/>
      <c r="BL221" s="246"/>
    </row>
    <row r="222" ht="15.75" customHeight="1">
      <c r="A222" s="246"/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  <c r="AF222" s="246"/>
      <c r="AG222" s="246"/>
      <c r="AH222" s="246"/>
      <c r="AI222" s="246"/>
      <c r="AJ222" s="246"/>
      <c r="AK222" s="246"/>
      <c r="AL222" s="246"/>
      <c r="AM222" s="246"/>
      <c r="AN222" s="246"/>
      <c r="AO222" s="246"/>
      <c r="AP222" s="246"/>
      <c r="AQ222" s="246"/>
      <c r="AR222" s="246"/>
      <c r="AS222" s="246"/>
      <c r="AT222" s="246"/>
      <c r="AU222" s="246"/>
      <c r="AV222" s="246"/>
      <c r="AW222" s="246"/>
      <c r="AX222" s="246"/>
      <c r="AY222" s="246"/>
      <c r="AZ222" s="246"/>
      <c r="BA222" s="246"/>
      <c r="BB222" s="246"/>
      <c r="BC222" s="246"/>
      <c r="BD222" s="246"/>
      <c r="BE222" s="246"/>
      <c r="BF222" s="246"/>
      <c r="BG222" s="246"/>
      <c r="BH222" s="246"/>
      <c r="BI222" s="246"/>
      <c r="BJ222" s="246"/>
      <c r="BK222" s="246"/>
      <c r="BL222" s="246"/>
    </row>
    <row r="223" ht="15.75" customHeight="1">
      <c r="A223" s="246"/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  <c r="AF223" s="246"/>
      <c r="AG223" s="246"/>
      <c r="AH223" s="246"/>
      <c r="AI223" s="246"/>
      <c r="AJ223" s="246"/>
      <c r="AK223" s="246"/>
      <c r="AL223" s="246"/>
      <c r="AM223" s="246"/>
      <c r="AN223" s="246"/>
      <c r="AO223" s="246"/>
      <c r="AP223" s="246"/>
      <c r="AQ223" s="246"/>
      <c r="AR223" s="246"/>
      <c r="AS223" s="246"/>
      <c r="AT223" s="246"/>
      <c r="AU223" s="246"/>
      <c r="AV223" s="246"/>
      <c r="AW223" s="246"/>
      <c r="AX223" s="246"/>
      <c r="AY223" s="246"/>
      <c r="AZ223" s="246"/>
      <c r="BA223" s="246"/>
      <c r="BB223" s="246"/>
      <c r="BC223" s="246"/>
      <c r="BD223" s="246"/>
      <c r="BE223" s="246"/>
      <c r="BF223" s="246"/>
      <c r="BG223" s="246"/>
      <c r="BH223" s="246"/>
      <c r="BI223" s="246"/>
      <c r="BJ223" s="246"/>
      <c r="BK223" s="246"/>
      <c r="BL223" s="246"/>
    </row>
    <row r="224" ht="15.75" customHeight="1">
      <c r="A224" s="246"/>
      <c r="B224" s="246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  <c r="AF224" s="246"/>
      <c r="AG224" s="246"/>
      <c r="AH224" s="246"/>
      <c r="AI224" s="246"/>
      <c r="AJ224" s="246"/>
      <c r="AK224" s="246"/>
      <c r="AL224" s="246"/>
      <c r="AM224" s="246"/>
      <c r="AN224" s="246"/>
      <c r="AO224" s="246"/>
      <c r="AP224" s="246"/>
      <c r="AQ224" s="246"/>
      <c r="AR224" s="246"/>
      <c r="AS224" s="246"/>
      <c r="AT224" s="246"/>
      <c r="AU224" s="246"/>
      <c r="AV224" s="246"/>
      <c r="AW224" s="246"/>
      <c r="AX224" s="246"/>
      <c r="AY224" s="246"/>
      <c r="AZ224" s="246"/>
      <c r="BA224" s="246"/>
      <c r="BB224" s="246"/>
      <c r="BC224" s="246"/>
      <c r="BD224" s="246"/>
      <c r="BE224" s="246"/>
      <c r="BF224" s="246"/>
      <c r="BG224" s="246"/>
      <c r="BH224" s="246"/>
      <c r="BI224" s="246"/>
      <c r="BJ224" s="246"/>
      <c r="BK224" s="246"/>
      <c r="BL224" s="246"/>
    </row>
    <row r="225" ht="15.75" customHeight="1">
      <c r="A225" s="246"/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  <c r="AF225" s="246"/>
      <c r="AG225" s="246"/>
      <c r="AH225" s="246"/>
      <c r="AI225" s="246"/>
      <c r="AJ225" s="246"/>
      <c r="AK225" s="246"/>
      <c r="AL225" s="246"/>
      <c r="AM225" s="246"/>
      <c r="AN225" s="246"/>
      <c r="AO225" s="246"/>
      <c r="AP225" s="246"/>
      <c r="AQ225" s="246"/>
      <c r="AR225" s="246"/>
      <c r="AS225" s="246"/>
      <c r="AT225" s="246"/>
      <c r="AU225" s="246"/>
      <c r="AV225" s="246"/>
      <c r="AW225" s="246"/>
      <c r="AX225" s="246"/>
      <c r="AY225" s="246"/>
      <c r="AZ225" s="246"/>
      <c r="BA225" s="246"/>
      <c r="BB225" s="246"/>
      <c r="BC225" s="246"/>
      <c r="BD225" s="246"/>
      <c r="BE225" s="246"/>
      <c r="BF225" s="246"/>
      <c r="BG225" s="246"/>
      <c r="BH225" s="246"/>
      <c r="BI225" s="246"/>
      <c r="BJ225" s="246"/>
      <c r="BK225" s="246"/>
      <c r="BL225" s="246"/>
    </row>
    <row r="226" ht="15.75" customHeight="1">
      <c r="A226" s="246"/>
      <c r="B226" s="246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  <c r="AB226" s="246"/>
      <c r="AC226" s="246"/>
      <c r="AD226" s="246"/>
      <c r="AE226" s="246"/>
      <c r="AF226" s="246"/>
      <c r="AG226" s="246"/>
      <c r="AH226" s="246"/>
      <c r="AI226" s="246"/>
      <c r="AJ226" s="246"/>
      <c r="AK226" s="246"/>
      <c r="AL226" s="246"/>
      <c r="AM226" s="246"/>
      <c r="AN226" s="246"/>
      <c r="AO226" s="246"/>
      <c r="AP226" s="246"/>
      <c r="AQ226" s="246"/>
      <c r="AR226" s="246"/>
      <c r="AS226" s="246"/>
      <c r="AT226" s="246"/>
      <c r="AU226" s="246"/>
      <c r="AV226" s="246"/>
      <c r="AW226" s="246"/>
      <c r="AX226" s="246"/>
      <c r="AY226" s="246"/>
      <c r="AZ226" s="246"/>
      <c r="BA226" s="246"/>
      <c r="BB226" s="246"/>
      <c r="BC226" s="246"/>
      <c r="BD226" s="246"/>
      <c r="BE226" s="246"/>
      <c r="BF226" s="246"/>
      <c r="BG226" s="246"/>
      <c r="BH226" s="246"/>
      <c r="BI226" s="246"/>
      <c r="BJ226" s="246"/>
      <c r="BK226" s="246"/>
      <c r="BL226" s="246"/>
    </row>
    <row r="227" ht="15.75" customHeight="1">
      <c r="A227" s="246"/>
      <c r="B227" s="246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  <c r="AD227" s="246"/>
      <c r="AE227" s="246"/>
      <c r="AF227" s="246"/>
      <c r="AG227" s="246"/>
      <c r="AH227" s="246"/>
      <c r="AI227" s="246"/>
      <c r="AJ227" s="246"/>
      <c r="AK227" s="246"/>
      <c r="AL227" s="246"/>
      <c r="AM227" s="246"/>
      <c r="AN227" s="246"/>
      <c r="AO227" s="246"/>
      <c r="AP227" s="246"/>
      <c r="AQ227" s="246"/>
      <c r="AR227" s="246"/>
      <c r="AS227" s="246"/>
      <c r="AT227" s="246"/>
      <c r="AU227" s="246"/>
      <c r="AV227" s="246"/>
      <c r="AW227" s="246"/>
      <c r="AX227" s="246"/>
      <c r="AY227" s="246"/>
      <c r="AZ227" s="246"/>
      <c r="BA227" s="246"/>
      <c r="BB227" s="246"/>
      <c r="BC227" s="246"/>
      <c r="BD227" s="246"/>
      <c r="BE227" s="246"/>
      <c r="BF227" s="246"/>
      <c r="BG227" s="246"/>
      <c r="BH227" s="246"/>
      <c r="BI227" s="246"/>
      <c r="BJ227" s="246"/>
      <c r="BK227" s="246"/>
      <c r="BL227" s="246"/>
    </row>
    <row r="228" ht="15.75" customHeight="1">
      <c r="A228" s="246"/>
      <c r="B228" s="246"/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  <c r="AF228" s="246"/>
      <c r="AG228" s="246"/>
      <c r="AH228" s="246"/>
      <c r="AI228" s="246"/>
      <c r="AJ228" s="246"/>
      <c r="AK228" s="246"/>
      <c r="AL228" s="246"/>
      <c r="AM228" s="246"/>
      <c r="AN228" s="246"/>
      <c r="AO228" s="246"/>
      <c r="AP228" s="246"/>
      <c r="AQ228" s="246"/>
      <c r="AR228" s="246"/>
      <c r="AS228" s="246"/>
      <c r="AT228" s="246"/>
      <c r="AU228" s="246"/>
      <c r="AV228" s="246"/>
      <c r="AW228" s="246"/>
      <c r="AX228" s="246"/>
      <c r="AY228" s="246"/>
      <c r="AZ228" s="246"/>
      <c r="BA228" s="246"/>
      <c r="BB228" s="246"/>
      <c r="BC228" s="246"/>
      <c r="BD228" s="246"/>
      <c r="BE228" s="246"/>
      <c r="BF228" s="246"/>
      <c r="BG228" s="246"/>
      <c r="BH228" s="246"/>
      <c r="BI228" s="246"/>
      <c r="BJ228" s="246"/>
      <c r="BK228" s="246"/>
      <c r="BL228" s="246"/>
    </row>
    <row r="229" ht="15.75" customHeight="1">
      <c r="A229" s="246"/>
      <c r="B229" s="246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  <c r="AF229" s="246"/>
      <c r="AG229" s="246"/>
      <c r="AH229" s="246"/>
      <c r="AI229" s="246"/>
      <c r="AJ229" s="246"/>
      <c r="AK229" s="246"/>
      <c r="AL229" s="246"/>
      <c r="AM229" s="246"/>
      <c r="AN229" s="246"/>
      <c r="AO229" s="246"/>
      <c r="AP229" s="246"/>
      <c r="AQ229" s="246"/>
      <c r="AR229" s="246"/>
      <c r="AS229" s="246"/>
      <c r="AT229" s="246"/>
      <c r="AU229" s="246"/>
      <c r="AV229" s="246"/>
      <c r="AW229" s="246"/>
      <c r="AX229" s="246"/>
      <c r="AY229" s="246"/>
      <c r="AZ229" s="246"/>
      <c r="BA229" s="246"/>
      <c r="BB229" s="246"/>
      <c r="BC229" s="246"/>
      <c r="BD229" s="246"/>
      <c r="BE229" s="246"/>
      <c r="BF229" s="246"/>
      <c r="BG229" s="246"/>
      <c r="BH229" s="246"/>
      <c r="BI229" s="246"/>
      <c r="BJ229" s="246"/>
      <c r="BK229" s="246"/>
      <c r="BL229" s="246"/>
    </row>
    <row r="230" ht="15.75" customHeight="1">
      <c r="A230" s="246"/>
      <c r="B230" s="246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  <c r="AB230" s="246"/>
      <c r="AC230" s="246"/>
      <c r="AD230" s="246"/>
      <c r="AE230" s="246"/>
      <c r="AF230" s="246"/>
      <c r="AG230" s="246"/>
      <c r="AH230" s="246"/>
      <c r="AI230" s="246"/>
      <c r="AJ230" s="246"/>
      <c r="AK230" s="246"/>
      <c r="AL230" s="246"/>
      <c r="AM230" s="246"/>
      <c r="AN230" s="246"/>
      <c r="AO230" s="246"/>
      <c r="AP230" s="246"/>
      <c r="AQ230" s="246"/>
      <c r="AR230" s="246"/>
      <c r="AS230" s="246"/>
      <c r="AT230" s="246"/>
      <c r="AU230" s="246"/>
      <c r="AV230" s="246"/>
      <c r="AW230" s="246"/>
      <c r="AX230" s="246"/>
      <c r="AY230" s="246"/>
      <c r="AZ230" s="246"/>
      <c r="BA230" s="246"/>
      <c r="BB230" s="246"/>
      <c r="BC230" s="246"/>
      <c r="BD230" s="246"/>
      <c r="BE230" s="246"/>
      <c r="BF230" s="246"/>
      <c r="BG230" s="246"/>
      <c r="BH230" s="246"/>
      <c r="BI230" s="246"/>
      <c r="BJ230" s="246"/>
      <c r="BK230" s="246"/>
      <c r="BL230" s="246"/>
    </row>
    <row r="231" ht="15.75" customHeight="1">
      <c r="A231" s="246"/>
      <c r="B231" s="246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  <c r="AD231" s="246"/>
      <c r="AE231" s="246"/>
      <c r="AF231" s="246"/>
      <c r="AG231" s="246"/>
      <c r="AH231" s="246"/>
      <c r="AI231" s="246"/>
      <c r="AJ231" s="246"/>
      <c r="AK231" s="246"/>
      <c r="AL231" s="246"/>
      <c r="AM231" s="246"/>
      <c r="AN231" s="246"/>
      <c r="AO231" s="246"/>
      <c r="AP231" s="246"/>
      <c r="AQ231" s="246"/>
      <c r="AR231" s="246"/>
      <c r="AS231" s="246"/>
      <c r="AT231" s="246"/>
      <c r="AU231" s="246"/>
      <c r="AV231" s="246"/>
      <c r="AW231" s="246"/>
      <c r="AX231" s="246"/>
      <c r="AY231" s="246"/>
      <c r="AZ231" s="246"/>
      <c r="BA231" s="246"/>
      <c r="BB231" s="246"/>
      <c r="BC231" s="246"/>
      <c r="BD231" s="246"/>
      <c r="BE231" s="246"/>
      <c r="BF231" s="246"/>
      <c r="BG231" s="246"/>
      <c r="BH231" s="246"/>
      <c r="BI231" s="246"/>
      <c r="BJ231" s="246"/>
      <c r="BK231" s="246"/>
      <c r="BL231" s="246"/>
    </row>
    <row r="232" ht="15.75" customHeight="1">
      <c r="A232" s="246"/>
      <c r="B232" s="246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  <c r="AF232" s="246"/>
      <c r="AG232" s="246"/>
      <c r="AH232" s="246"/>
      <c r="AI232" s="246"/>
      <c r="AJ232" s="246"/>
      <c r="AK232" s="246"/>
      <c r="AL232" s="246"/>
      <c r="AM232" s="246"/>
      <c r="AN232" s="246"/>
      <c r="AO232" s="246"/>
      <c r="AP232" s="246"/>
      <c r="AQ232" s="246"/>
      <c r="AR232" s="246"/>
      <c r="AS232" s="246"/>
      <c r="AT232" s="246"/>
      <c r="AU232" s="246"/>
      <c r="AV232" s="246"/>
      <c r="AW232" s="246"/>
      <c r="AX232" s="246"/>
      <c r="AY232" s="246"/>
      <c r="AZ232" s="246"/>
      <c r="BA232" s="246"/>
      <c r="BB232" s="246"/>
      <c r="BC232" s="246"/>
      <c r="BD232" s="246"/>
      <c r="BE232" s="246"/>
      <c r="BF232" s="246"/>
      <c r="BG232" s="246"/>
      <c r="BH232" s="246"/>
      <c r="BI232" s="246"/>
      <c r="BJ232" s="246"/>
      <c r="BK232" s="246"/>
      <c r="BL232" s="246"/>
    </row>
    <row r="233" ht="15.75" customHeight="1">
      <c r="A233" s="246"/>
      <c r="B233" s="246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  <c r="AD233" s="246"/>
      <c r="AE233" s="246"/>
      <c r="AF233" s="246"/>
      <c r="AG233" s="246"/>
      <c r="AH233" s="246"/>
      <c r="AI233" s="246"/>
      <c r="AJ233" s="246"/>
      <c r="AK233" s="246"/>
      <c r="AL233" s="246"/>
      <c r="AM233" s="246"/>
      <c r="AN233" s="246"/>
      <c r="AO233" s="246"/>
      <c r="AP233" s="246"/>
      <c r="AQ233" s="246"/>
      <c r="AR233" s="246"/>
      <c r="AS233" s="246"/>
      <c r="AT233" s="246"/>
      <c r="AU233" s="246"/>
      <c r="AV233" s="246"/>
      <c r="AW233" s="246"/>
      <c r="AX233" s="246"/>
      <c r="AY233" s="246"/>
      <c r="AZ233" s="246"/>
      <c r="BA233" s="246"/>
      <c r="BB233" s="246"/>
      <c r="BC233" s="246"/>
      <c r="BD233" s="246"/>
      <c r="BE233" s="246"/>
      <c r="BF233" s="246"/>
      <c r="BG233" s="246"/>
      <c r="BH233" s="246"/>
      <c r="BI233" s="246"/>
      <c r="BJ233" s="246"/>
      <c r="BK233" s="246"/>
      <c r="BL233" s="246"/>
    </row>
    <row r="234" ht="15.75" customHeight="1">
      <c r="A234" s="246"/>
      <c r="B234" s="246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  <c r="AB234" s="246"/>
      <c r="AC234" s="246"/>
      <c r="AD234" s="246"/>
      <c r="AE234" s="246"/>
      <c r="AF234" s="246"/>
      <c r="AG234" s="246"/>
      <c r="AH234" s="246"/>
      <c r="AI234" s="246"/>
      <c r="AJ234" s="246"/>
      <c r="AK234" s="246"/>
      <c r="AL234" s="246"/>
      <c r="AM234" s="246"/>
      <c r="AN234" s="246"/>
      <c r="AO234" s="246"/>
      <c r="AP234" s="246"/>
      <c r="AQ234" s="246"/>
      <c r="AR234" s="246"/>
      <c r="AS234" s="246"/>
      <c r="AT234" s="246"/>
      <c r="AU234" s="246"/>
      <c r="AV234" s="246"/>
      <c r="AW234" s="246"/>
      <c r="AX234" s="246"/>
      <c r="AY234" s="246"/>
      <c r="AZ234" s="246"/>
      <c r="BA234" s="246"/>
      <c r="BB234" s="246"/>
      <c r="BC234" s="246"/>
      <c r="BD234" s="246"/>
      <c r="BE234" s="246"/>
      <c r="BF234" s="246"/>
      <c r="BG234" s="246"/>
      <c r="BH234" s="246"/>
      <c r="BI234" s="246"/>
      <c r="BJ234" s="246"/>
      <c r="BK234" s="246"/>
      <c r="BL234" s="246"/>
    </row>
    <row r="235" ht="15.75" customHeight="1">
      <c r="A235" s="246"/>
      <c r="B235" s="246"/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  <c r="AB235" s="246"/>
      <c r="AC235" s="246"/>
      <c r="AD235" s="246"/>
      <c r="AE235" s="246"/>
      <c r="AF235" s="246"/>
      <c r="AG235" s="246"/>
      <c r="AH235" s="246"/>
      <c r="AI235" s="246"/>
      <c r="AJ235" s="246"/>
      <c r="AK235" s="246"/>
      <c r="AL235" s="246"/>
      <c r="AM235" s="246"/>
      <c r="AN235" s="246"/>
      <c r="AO235" s="246"/>
      <c r="AP235" s="246"/>
      <c r="AQ235" s="246"/>
      <c r="AR235" s="246"/>
      <c r="AS235" s="246"/>
      <c r="AT235" s="246"/>
      <c r="AU235" s="246"/>
      <c r="AV235" s="246"/>
      <c r="AW235" s="246"/>
      <c r="AX235" s="246"/>
      <c r="AY235" s="246"/>
      <c r="AZ235" s="246"/>
      <c r="BA235" s="246"/>
      <c r="BB235" s="246"/>
      <c r="BC235" s="246"/>
      <c r="BD235" s="246"/>
      <c r="BE235" s="246"/>
      <c r="BF235" s="246"/>
      <c r="BG235" s="246"/>
      <c r="BH235" s="246"/>
      <c r="BI235" s="246"/>
      <c r="BJ235" s="246"/>
      <c r="BK235" s="246"/>
      <c r="BL235" s="246"/>
    </row>
    <row r="236" ht="15.75" customHeight="1">
      <c r="A236" s="246"/>
      <c r="B236" s="246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  <c r="AB236" s="246"/>
      <c r="AC236" s="246"/>
      <c r="AD236" s="246"/>
      <c r="AE236" s="246"/>
      <c r="AF236" s="246"/>
      <c r="AG236" s="246"/>
      <c r="AH236" s="246"/>
      <c r="AI236" s="246"/>
      <c r="AJ236" s="246"/>
      <c r="AK236" s="246"/>
      <c r="AL236" s="246"/>
      <c r="AM236" s="246"/>
      <c r="AN236" s="246"/>
      <c r="AO236" s="246"/>
      <c r="AP236" s="246"/>
      <c r="AQ236" s="246"/>
      <c r="AR236" s="246"/>
      <c r="AS236" s="246"/>
      <c r="AT236" s="246"/>
      <c r="AU236" s="246"/>
      <c r="AV236" s="246"/>
      <c r="AW236" s="246"/>
      <c r="AX236" s="246"/>
      <c r="AY236" s="246"/>
      <c r="AZ236" s="246"/>
      <c r="BA236" s="246"/>
      <c r="BB236" s="246"/>
      <c r="BC236" s="246"/>
      <c r="BD236" s="246"/>
      <c r="BE236" s="246"/>
      <c r="BF236" s="246"/>
      <c r="BG236" s="246"/>
      <c r="BH236" s="246"/>
      <c r="BI236" s="246"/>
      <c r="BJ236" s="246"/>
      <c r="BK236" s="246"/>
      <c r="BL236" s="246"/>
    </row>
    <row r="237" ht="15.75" customHeight="1">
      <c r="A237" s="246"/>
      <c r="B237" s="246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  <c r="AB237" s="246"/>
      <c r="AC237" s="246"/>
      <c r="AD237" s="246"/>
      <c r="AE237" s="246"/>
      <c r="AF237" s="246"/>
      <c r="AG237" s="246"/>
      <c r="AH237" s="246"/>
      <c r="AI237" s="246"/>
      <c r="AJ237" s="246"/>
      <c r="AK237" s="246"/>
      <c r="AL237" s="246"/>
      <c r="AM237" s="246"/>
      <c r="AN237" s="246"/>
      <c r="AO237" s="246"/>
      <c r="AP237" s="246"/>
      <c r="AQ237" s="246"/>
      <c r="AR237" s="246"/>
      <c r="AS237" s="246"/>
      <c r="AT237" s="246"/>
      <c r="AU237" s="246"/>
      <c r="AV237" s="246"/>
      <c r="AW237" s="246"/>
      <c r="AX237" s="246"/>
      <c r="AY237" s="246"/>
      <c r="AZ237" s="246"/>
      <c r="BA237" s="246"/>
      <c r="BB237" s="246"/>
      <c r="BC237" s="246"/>
      <c r="BD237" s="246"/>
      <c r="BE237" s="246"/>
      <c r="BF237" s="246"/>
      <c r="BG237" s="246"/>
      <c r="BH237" s="246"/>
      <c r="BI237" s="246"/>
      <c r="BJ237" s="246"/>
      <c r="BK237" s="246"/>
      <c r="BL237" s="246"/>
    </row>
    <row r="238" ht="15.75" customHeight="1">
      <c r="A238" s="246"/>
      <c r="B238" s="246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  <c r="AB238" s="246"/>
      <c r="AC238" s="246"/>
      <c r="AD238" s="246"/>
      <c r="AE238" s="246"/>
      <c r="AF238" s="246"/>
      <c r="AG238" s="246"/>
      <c r="AH238" s="246"/>
      <c r="AI238" s="246"/>
      <c r="AJ238" s="246"/>
      <c r="AK238" s="246"/>
      <c r="AL238" s="246"/>
      <c r="AM238" s="246"/>
      <c r="AN238" s="246"/>
      <c r="AO238" s="246"/>
      <c r="AP238" s="246"/>
      <c r="AQ238" s="246"/>
      <c r="AR238" s="246"/>
      <c r="AS238" s="246"/>
      <c r="AT238" s="246"/>
      <c r="AU238" s="246"/>
      <c r="AV238" s="246"/>
      <c r="AW238" s="246"/>
      <c r="AX238" s="246"/>
      <c r="AY238" s="246"/>
      <c r="AZ238" s="246"/>
      <c r="BA238" s="246"/>
      <c r="BB238" s="246"/>
      <c r="BC238" s="246"/>
      <c r="BD238" s="246"/>
      <c r="BE238" s="246"/>
      <c r="BF238" s="246"/>
      <c r="BG238" s="246"/>
      <c r="BH238" s="246"/>
      <c r="BI238" s="246"/>
      <c r="BJ238" s="246"/>
      <c r="BK238" s="246"/>
      <c r="BL238" s="246"/>
    </row>
    <row r="239" ht="15.75" customHeight="1">
      <c r="A239" s="246"/>
      <c r="B239" s="246"/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  <c r="AB239" s="246"/>
      <c r="AC239" s="246"/>
      <c r="AD239" s="246"/>
      <c r="AE239" s="246"/>
      <c r="AF239" s="246"/>
      <c r="AG239" s="246"/>
      <c r="AH239" s="246"/>
      <c r="AI239" s="246"/>
      <c r="AJ239" s="246"/>
      <c r="AK239" s="246"/>
      <c r="AL239" s="246"/>
      <c r="AM239" s="246"/>
      <c r="AN239" s="246"/>
      <c r="AO239" s="246"/>
      <c r="AP239" s="246"/>
      <c r="AQ239" s="246"/>
      <c r="AR239" s="246"/>
      <c r="AS239" s="246"/>
      <c r="AT239" s="246"/>
      <c r="AU239" s="246"/>
      <c r="AV239" s="246"/>
      <c r="AW239" s="246"/>
      <c r="AX239" s="246"/>
      <c r="AY239" s="246"/>
      <c r="AZ239" s="246"/>
      <c r="BA239" s="246"/>
      <c r="BB239" s="246"/>
      <c r="BC239" s="246"/>
      <c r="BD239" s="246"/>
      <c r="BE239" s="246"/>
      <c r="BF239" s="246"/>
      <c r="BG239" s="246"/>
      <c r="BH239" s="246"/>
      <c r="BI239" s="246"/>
      <c r="BJ239" s="246"/>
      <c r="BK239" s="246"/>
      <c r="BL239" s="246"/>
    </row>
    <row r="240" ht="15.75" customHeight="1">
      <c r="A240" s="246"/>
      <c r="B240" s="246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  <c r="AB240" s="246"/>
      <c r="AC240" s="246"/>
      <c r="AD240" s="246"/>
      <c r="AE240" s="246"/>
      <c r="AF240" s="246"/>
      <c r="AG240" s="246"/>
      <c r="AH240" s="246"/>
      <c r="AI240" s="246"/>
      <c r="AJ240" s="246"/>
      <c r="AK240" s="246"/>
      <c r="AL240" s="246"/>
      <c r="AM240" s="246"/>
      <c r="AN240" s="246"/>
      <c r="AO240" s="246"/>
      <c r="AP240" s="246"/>
      <c r="AQ240" s="246"/>
      <c r="AR240" s="246"/>
      <c r="AS240" s="246"/>
      <c r="AT240" s="246"/>
      <c r="AU240" s="246"/>
      <c r="AV240" s="246"/>
      <c r="AW240" s="246"/>
      <c r="AX240" s="246"/>
      <c r="AY240" s="246"/>
      <c r="AZ240" s="246"/>
      <c r="BA240" s="246"/>
      <c r="BB240" s="246"/>
      <c r="BC240" s="246"/>
      <c r="BD240" s="246"/>
      <c r="BE240" s="246"/>
      <c r="BF240" s="246"/>
      <c r="BG240" s="246"/>
      <c r="BH240" s="246"/>
      <c r="BI240" s="246"/>
      <c r="BJ240" s="246"/>
      <c r="BK240" s="246"/>
      <c r="BL240" s="246"/>
    </row>
    <row r="241" ht="15.75" customHeight="1">
      <c r="A241" s="246"/>
      <c r="B241" s="246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  <c r="AB241" s="246"/>
      <c r="AC241" s="246"/>
      <c r="AD241" s="246"/>
      <c r="AE241" s="246"/>
      <c r="AF241" s="246"/>
      <c r="AG241" s="246"/>
      <c r="AH241" s="246"/>
      <c r="AI241" s="246"/>
      <c r="AJ241" s="246"/>
      <c r="AK241" s="246"/>
      <c r="AL241" s="246"/>
      <c r="AM241" s="246"/>
      <c r="AN241" s="246"/>
      <c r="AO241" s="246"/>
      <c r="AP241" s="246"/>
      <c r="AQ241" s="246"/>
      <c r="AR241" s="246"/>
      <c r="AS241" s="246"/>
      <c r="AT241" s="246"/>
      <c r="AU241" s="246"/>
      <c r="AV241" s="246"/>
      <c r="AW241" s="246"/>
      <c r="AX241" s="246"/>
      <c r="AY241" s="246"/>
      <c r="AZ241" s="246"/>
      <c r="BA241" s="246"/>
      <c r="BB241" s="246"/>
      <c r="BC241" s="246"/>
      <c r="BD241" s="246"/>
      <c r="BE241" s="246"/>
      <c r="BF241" s="246"/>
      <c r="BG241" s="246"/>
      <c r="BH241" s="246"/>
      <c r="BI241" s="246"/>
      <c r="BJ241" s="246"/>
      <c r="BK241" s="246"/>
      <c r="BL241" s="246"/>
    </row>
    <row r="242" ht="15.75" customHeight="1">
      <c r="A242" s="246"/>
      <c r="B242" s="246"/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  <c r="AB242" s="246"/>
      <c r="AC242" s="246"/>
      <c r="AD242" s="246"/>
      <c r="AE242" s="246"/>
      <c r="AF242" s="246"/>
      <c r="AG242" s="246"/>
      <c r="AH242" s="246"/>
      <c r="AI242" s="246"/>
      <c r="AJ242" s="246"/>
      <c r="AK242" s="246"/>
      <c r="AL242" s="246"/>
      <c r="AM242" s="246"/>
      <c r="AN242" s="246"/>
      <c r="AO242" s="246"/>
      <c r="AP242" s="246"/>
      <c r="AQ242" s="246"/>
      <c r="AR242" s="246"/>
      <c r="AS242" s="246"/>
      <c r="AT242" s="246"/>
      <c r="AU242" s="246"/>
      <c r="AV242" s="246"/>
      <c r="AW242" s="246"/>
      <c r="AX242" s="246"/>
      <c r="AY242" s="246"/>
      <c r="AZ242" s="246"/>
      <c r="BA242" s="246"/>
      <c r="BB242" s="246"/>
      <c r="BC242" s="246"/>
      <c r="BD242" s="246"/>
      <c r="BE242" s="246"/>
      <c r="BF242" s="246"/>
      <c r="BG242" s="246"/>
      <c r="BH242" s="246"/>
      <c r="BI242" s="246"/>
      <c r="BJ242" s="246"/>
      <c r="BK242" s="246"/>
      <c r="BL242" s="246"/>
    </row>
    <row r="243" ht="15.75" customHeight="1">
      <c r="A243" s="246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  <c r="AB243" s="246"/>
      <c r="AC243" s="246"/>
      <c r="AD243" s="246"/>
      <c r="AE243" s="246"/>
      <c r="AF243" s="246"/>
      <c r="AG243" s="246"/>
      <c r="AH243" s="246"/>
      <c r="AI243" s="246"/>
      <c r="AJ243" s="246"/>
      <c r="AK243" s="246"/>
      <c r="AL243" s="246"/>
      <c r="AM243" s="246"/>
      <c r="AN243" s="246"/>
      <c r="AO243" s="246"/>
      <c r="AP243" s="246"/>
      <c r="AQ243" s="246"/>
      <c r="AR243" s="246"/>
      <c r="AS243" s="246"/>
      <c r="AT243" s="246"/>
      <c r="AU243" s="246"/>
      <c r="AV243" s="246"/>
      <c r="AW243" s="246"/>
      <c r="AX243" s="246"/>
      <c r="AY243" s="246"/>
      <c r="AZ243" s="246"/>
      <c r="BA243" s="246"/>
      <c r="BB243" s="246"/>
      <c r="BC243" s="246"/>
      <c r="BD243" s="246"/>
      <c r="BE243" s="246"/>
      <c r="BF243" s="246"/>
      <c r="BG243" s="246"/>
      <c r="BH243" s="246"/>
      <c r="BI243" s="246"/>
      <c r="BJ243" s="246"/>
      <c r="BK243" s="246"/>
      <c r="BL243" s="246"/>
    </row>
    <row r="244" ht="15.75" customHeight="1">
      <c r="A244" s="246"/>
      <c r="B244" s="246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  <c r="AA244" s="246"/>
      <c r="AB244" s="246"/>
      <c r="AC244" s="246"/>
      <c r="AD244" s="246"/>
      <c r="AE244" s="246"/>
      <c r="AF244" s="246"/>
      <c r="AG244" s="246"/>
      <c r="AH244" s="246"/>
      <c r="AI244" s="246"/>
      <c r="AJ244" s="246"/>
      <c r="AK244" s="246"/>
      <c r="AL244" s="246"/>
      <c r="AM244" s="246"/>
      <c r="AN244" s="246"/>
      <c r="AO244" s="246"/>
      <c r="AP244" s="246"/>
      <c r="AQ244" s="246"/>
      <c r="AR244" s="246"/>
      <c r="AS244" s="246"/>
      <c r="AT244" s="246"/>
      <c r="AU244" s="246"/>
      <c r="AV244" s="246"/>
      <c r="AW244" s="246"/>
      <c r="AX244" s="246"/>
      <c r="AY244" s="246"/>
      <c r="AZ244" s="246"/>
      <c r="BA244" s="246"/>
      <c r="BB244" s="246"/>
      <c r="BC244" s="246"/>
      <c r="BD244" s="246"/>
      <c r="BE244" s="246"/>
      <c r="BF244" s="246"/>
      <c r="BG244" s="246"/>
      <c r="BH244" s="246"/>
      <c r="BI244" s="246"/>
      <c r="BJ244" s="246"/>
      <c r="BK244" s="246"/>
      <c r="BL244" s="246"/>
    </row>
    <row r="245" ht="15.75" customHeight="1">
      <c r="A245" s="246"/>
      <c r="B245" s="246"/>
      <c r="C245" s="246"/>
      <c r="D245" s="246"/>
      <c r="E245" s="246"/>
      <c r="F245" s="246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246"/>
      <c r="S245" s="246"/>
      <c r="T245" s="246"/>
      <c r="U245" s="246"/>
      <c r="V245" s="246"/>
      <c r="W245" s="246"/>
      <c r="X245" s="246"/>
      <c r="Y245" s="246"/>
      <c r="Z245" s="246"/>
      <c r="AA245" s="246"/>
      <c r="AB245" s="246"/>
      <c r="AC245" s="246"/>
      <c r="AD245" s="246"/>
      <c r="AE245" s="246"/>
      <c r="AF245" s="246"/>
      <c r="AG245" s="246"/>
      <c r="AH245" s="246"/>
      <c r="AI245" s="246"/>
      <c r="AJ245" s="246"/>
      <c r="AK245" s="246"/>
      <c r="AL245" s="246"/>
      <c r="AM245" s="246"/>
      <c r="AN245" s="246"/>
      <c r="AO245" s="246"/>
      <c r="AP245" s="246"/>
      <c r="AQ245" s="246"/>
      <c r="AR245" s="246"/>
      <c r="AS245" s="246"/>
      <c r="AT245" s="246"/>
      <c r="AU245" s="246"/>
      <c r="AV245" s="246"/>
      <c r="AW245" s="246"/>
      <c r="AX245" s="246"/>
      <c r="AY245" s="246"/>
      <c r="AZ245" s="246"/>
      <c r="BA245" s="246"/>
      <c r="BB245" s="246"/>
      <c r="BC245" s="246"/>
      <c r="BD245" s="246"/>
      <c r="BE245" s="246"/>
      <c r="BF245" s="246"/>
      <c r="BG245" s="246"/>
      <c r="BH245" s="246"/>
      <c r="BI245" s="246"/>
      <c r="BJ245" s="246"/>
      <c r="BK245" s="246"/>
      <c r="BL245" s="246"/>
    </row>
    <row r="246" ht="15.75" customHeight="1">
      <c r="A246" s="246"/>
      <c r="B246" s="246"/>
      <c r="C246" s="246"/>
      <c r="D246" s="246"/>
      <c r="E246" s="246"/>
      <c r="F246" s="246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246"/>
      <c r="S246" s="246"/>
      <c r="T246" s="246"/>
      <c r="U246" s="246"/>
      <c r="V246" s="246"/>
      <c r="W246" s="246"/>
      <c r="X246" s="246"/>
      <c r="Y246" s="246"/>
      <c r="Z246" s="246"/>
      <c r="AA246" s="246"/>
      <c r="AB246" s="246"/>
      <c r="AC246" s="246"/>
      <c r="AD246" s="246"/>
      <c r="AE246" s="246"/>
      <c r="AF246" s="246"/>
      <c r="AG246" s="246"/>
      <c r="AH246" s="246"/>
      <c r="AI246" s="246"/>
      <c r="AJ246" s="246"/>
      <c r="AK246" s="246"/>
      <c r="AL246" s="246"/>
      <c r="AM246" s="246"/>
      <c r="AN246" s="246"/>
      <c r="AO246" s="246"/>
      <c r="AP246" s="246"/>
      <c r="AQ246" s="246"/>
      <c r="AR246" s="246"/>
      <c r="AS246" s="246"/>
      <c r="AT246" s="246"/>
      <c r="AU246" s="246"/>
      <c r="AV246" s="246"/>
      <c r="AW246" s="246"/>
      <c r="AX246" s="246"/>
      <c r="AY246" s="246"/>
      <c r="AZ246" s="246"/>
      <c r="BA246" s="246"/>
      <c r="BB246" s="246"/>
      <c r="BC246" s="246"/>
      <c r="BD246" s="246"/>
      <c r="BE246" s="246"/>
      <c r="BF246" s="246"/>
      <c r="BG246" s="246"/>
      <c r="BH246" s="246"/>
      <c r="BI246" s="246"/>
      <c r="BJ246" s="246"/>
      <c r="BK246" s="246"/>
      <c r="BL246" s="246"/>
    </row>
    <row r="247" ht="15.75" customHeight="1">
      <c r="A247" s="246"/>
      <c r="B247" s="246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246"/>
      <c r="S247" s="246"/>
      <c r="T247" s="246"/>
      <c r="U247" s="246"/>
      <c r="V247" s="246"/>
      <c r="W247" s="246"/>
      <c r="X247" s="246"/>
      <c r="Y247" s="246"/>
      <c r="Z247" s="246"/>
      <c r="AA247" s="246"/>
      <c r="AB247" s="246"/>
      <c r="AC247" s="246"/>
      <c r="AD247" s="246"/>
      <c r="AE247" s="246"/>
      <c r="AF247" s="246"/>
      <c r="AG247" s="246"/>
      <c r="AH247" s="246"/>
      <c r="AI247" s="246"/>
      <c r="AJ247" s="246"/>
      <c r="AK247" s="246"/>
      <c r="AL247" s="246"/>
      <c r="AM247" s="246"/>
      <c r="AN247" s="246"/>
      <c r="AO247" s="246"/>
      <c r="AP247" s="246"/>
      <c r="AQ247" s="246"/>
      <c r="AR247" s="246"/>
      <c r="AS247" s="246"/>
      <c r="AT247" s="246"/>
      <c r="AU247" s="246"/>
      <c r="AV247" s="246"/>
      <c r="AW247" s="246"/>
      <c r="AX247" s="246"/>
      <c r="AY247" s="246"/>
      <c r="AZ247" s="246"/>
      <c r="BA247" s="246"/>
      <c r="BB247" s="246"/>
      <c r="BC247" s="246"/>
      <c r="BD247" s="246"/>
      <c r="BE247" s="246"/>
      <c r="BF247" s="246"/>
      <c r="BG247" s="246"/>
      <c r="BH247" s="246"/>
      <c r="BI247" s="246"/>
      <c r="BJ247" s="246"/>
      <c r="BK247" s="246"/>
      <c r="BL247" s="246"/>
    </row>
    <row r="248" ht="15.75" customHeight="1">
      <c r="A248" s="246"/>
      <c r="B248" s="246"/>
      <c r="C248" s="246"/>
      <c r="D248" s="246"/>
      <c r="E248" s="246"/>
      <c r="F248" s="246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246"/>
      <c r="S248" s="246"/>
      <c r="T248" s="246"/>
      <c r="U248" s="246"/>
      <c r="V248" s="246"/>
      <c r="W248" s="246"/>
      <c r="X248" s="246"/>
      <c r="Y248" s="246"/>
      <c r="Z248" s="246"/>
      <c r="AA248" s="246"/>
      <c r="AB248" s="246"/>
      <c r="AC248" s="246"/>
      <c r="AD248" s="246"/>
      <c r="AE248" s="246"/>
      <c r="AF248" s="246"/>
      <c r="AG248" s="246"/>
      <c r="AH248" s="246"/>
      <c r="AI248" s="246"/>
      <c r="AJ248" s="246"/>
      <c r="AK248" s="246"/>
      <c r="AL248" s="246"/>
      <c r="AM248" s="246"/>
      <c r="AN248" s="246"/>
      <c r="AO248" s="246"/>
      <c r="AP248" s="246"/>
      <c r="AQ248" s="246"/>
      <c r="AR248" s="246"/>
      <c r="AS248" s="246"/>
      <c r="AT248" s="246"/>
      <c r="AU248" s="246"/>
      <c r="AV248" s="246"/>
      <c r="AW248" s="246"/>
      <c r="AX248" s="246"/>
      <c r="AY248" s="246"/>
      <c r="AZ248" s="246"/>
      <c r="BA248" s="246"/>
      <c r="BB248" s="246"/>
      <c r="BC248" s="246"/>
      <c r="BD248" s="246"/>
      <c r="BE248" s="246"/>
      <c r="BF248" s="246"/>
      <c r="BG248" s="246"/>
      <c r="BH248" s="246"/>
      <c r="BI248" s="246"/>
      <c r="BJ248" s="246"/>
      <c r="BK248" s="246"/>
      <c r="BL248" s="246"/>
    </row>
    <row r="249" ht="15.75" customHeight="1">
      <c r="A249" s="246"/>
      <c r="B249" s="246"/>
      <c r="C249" s="246"/>
      <c r="D249" s="246"/>
      <c r="E249" s="246"/>
      <c r="F249" s="246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246"/>
      <c r="S249" s="246"/>
      <c r="T249" s="246"/>
      <c r="U249" s="246"/>
      <c r="V249" s="246"/>
      <c r="W249" s="246"/>
      <c r="X249" s="246"/>
      <c r="Y249" s="246"/>
      <c r="Z249" s="246"/>
      <c r="AA249" s="246"/>
      <c r="AB249" s="246"/>
      <c r="AC249" s="246"/>
      <c r="AD249" s="246"/>
      <c r="AE249" s="246"/>
      <c r="AF249" s="246"/>
      <c r="AG249" s="246"/>
      <c r="AH249" s="246"/>
      <c r="AI249" s="246"/>
      <c r="AJ249" s="246"/>
      <c r="AK249" s="246"/>
      <c r="AL249" s="246"/>
      <c r="AM249" s="246"/>
      <c r="AN249" s="246"/>
      <c r="AO249" s="246"/>
      <c r="AP249" s="246"/>
      <c r="AQ249" s="246"/>
      <c r="AR249" s="246"/>
      <c r="AS249" s="246"/>
      <c r="AT249" s="246"/>
      <c r="AU249" s="246"/>
      <c r="AV249" s="246"/>
      <c r="AW249" s="246"/>
      <c r="AX249" s="246"/>
      <c r="AY249" s="246"/>
      <c r="AZ249" s="246"/>
      <c r="BA249" s="246"/>
      <c r="BB249" s="246"/>
      <c r="BC249" s="246"/>
      <c r="BD249" s="246"/>
      <c r="BE249" s="246"/>
      <c r="BF249" s="246"/>
      <c r="BG249" s="246"/>
      <c r="BH249" s="246"/>
      <c r="BI249" s="246"/>
      <c r="BJ249" s="246"/>
      <c r="BK249" s="246"/>
      <c r="BL249" s="246"/>
    </row>
    <row r="250" ht="15.75" customHeight="1">
      <c r="A250" s="246"/>
      <c r="B250" s="246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246"/>
      <c r="S250" s="246"/>
      <c r="T250" s="246"/>
      <c r="U250" s="246"/>
      <c r="V250" s="246"/>
      <c r="W250" s="246"/>
      <c r="X250" s="246"/>
      <c r="Y250" s="246"/>
      <c r="Z250" s="246"/>
      <c r="AA250" s="246"/>
      <c r="AB250" s="246"/>
      <c r="AC250" s="246"/>
      <c r="AD250" s="246"/>
      <c r="AE250" s="246"/>
      <c r="AF250" s="246"/>
      <c r="AG250" s="246"/>
      <c r="AH250" s="246"/>
      <c r="AI250" s="246"/>
      <c r="AJ250" s="246"/>
      <c r="AK250" s="246"/>
      <c r="AL250" s="246"/>
      <c r="AM250" s="246"/>
      <c r="AN250" s="246"/>
      <c r="AO250" s="246"/>
      <c r="AP250" s="246"/>
      <c r="AQ250" s="246"/>
      <c r="AR250" s="246"/>
      <c r="AS250" s="246"/>
      <c r="AT250" s="246"/>
      <c r="AU250" s="246"/>
      <c r="AV250" s="246"/>
      <c r="AW250" s="246"/>
      <c r="AX250" s="246"/>
      <c r="AY250" s="246"/>
      <c r="AZ250" s="246"/>
      <c r="BA250" s="246"/>
      <c r="BB250" s="246"/>
      <c r="BC250" s="246"/>
      <c r="BD250" s="246"/>
      <c r="BE250" s="246"/>
      <c r="BF250" s="246"/>
      <c r="BG250" s="246"/>
      <c r="BH250" s="246"/>
      <c r="BI250" s="246"/>
      <c r="BJ250" s="246"/>
      <c r="BK250" s="246"/>
      <c r="BL250" s="246"/>
    </row>
    <row r="251" ht="15.75" customHeight="1">
      <c r="A251" s="246"/>
      <c r="B251" s="246"/>
      <c r="C251" s="246"/>
      <c r="D251" s="246"/>
      <c r="E251" s="246"/>
      <c r="F251" s="246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246"/>
      <c r="S251" s="246"/>
      <c r="T251" s="246"/>
      <c r="U251" s="246"/>
      <c r="V251" s="246"/>
      <c r="W251" s="246"/>
      <c r="X251" s="246"/>
      <c r="Y251" s="246"/>
      <c r="Z251" s="246"/>
      <c r="AA251" s="246"/>
      <c r="AB251" s="246"/>
      <c r="AC251" s="246"/>
      <c r="AD251" s="246"/>
      <c r="AE251" s="246"/>
      <c r="AF251" s="246"/>
      <c r="AG251" s="246"/>
      <c r="AH251" s="246"/>
      <c r="AI251" s="246"/>
      <c r="AJ251" s="246"/>
      <c r="AK251" s="246"/>
      <c r="AL251" s="246"/>
      <c r="AM251" s="246"/>
      <c r="AN251" s="246"/>
      <c r="AO251" s="246"/>
      <c r="AP251" s="246"/>
      <c r="AQ251" s="246"/>
      <c r="AR251" s="246"/>
      <c r="AS251" s="246"/>
      <c r="AT251" s="246"/>
      <c r="AU251" s="246"/>
      <c r="AV251" s="246"/>
      <c r="AW251" s="246"/>
      <c r="AX251" s="246"/>
      <c r="AY251" s="246"/>
      <c r="AZ251" s="246"/>
      <c r="BA251" s="246"/>
      <c r="BB251" s="246"/>
      <c r="BC251" s="246"/>
      <c r="BD251" s="246"/>
      <c r="BE251" s="246"/>
      <c r="BF251" s="246"/>
      <c r="BG251" s="246"/>
      <c r="BH251" s="246"/>
      <c r="BI251" s="246"/>
      <c r="BJ251" s="246"/>
      <c r="BK251" s="246"/>
      <c r="BL251" s="246"/>
    </row>
    <row r="252" ht="15.75" customHeight="1">
      <c r="A252" s="246"/>
      <c r="B252" s="246"/>
      <c r="C252" s="246"/>
      <c r="D252" s="246"/>
      <c r="E252" s="246"/>
      <c r="F252" s="246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246"/>
      <c r="S252" s="246"/>
      <c r="T252" s="246"/>
      <c r="U252" s="246"/>
      <c r="V252" s="246"/>
      <c r="W252" s="246"/>
      <c r="X252" s="246"/>
      <c r="Y252" s="246"/>
      <c r="Z252" s="246"/>
      <c r="AA252" s="246"/>
      <c r="AB252" s="246"/>
      <c r="AC252" s="246"/>
      <c r="AD252" s="246"/>
      <c r="AE252" s="246"/>
      <c r="AF252" s="246"/>
      <c r="AG252" s="246"/>
      <c r="AH252" s="246"/>
      <c r="AI252" s="246"/>
      <c r="AJ252" s="246"/>
      <c r="AK252" s="246"/>
      <c r="AL252" s="246"/>
      <c r="AM252" s="246"/>
      <c r="AN252" s="246"/>
      <c r="AO252" s="246"/>
      <c r="AP252" s="246"/>
      <c r="AQ252" s="246"/>
      <c r="AR252" s="246"/>
      <c r="AS252" s="246"/>
      <c r="AT252" s="246"/>
      <c r="AU252" s="246"/>
      <c r="AV252" s="246"/>
      <c r="AW252" s="246"/>
      <c r="AX252" s="246"/>
      <c r="AY252" s="246"/>
      <c r="AZ252" s="246"/>
      <c r="BA252" s="246"/>
      <c r="BB252" s="246"/>
      <c r="BC252" s="246"/>
      <c r="BD252" s="246"/>
      <c r="BE252" s="246"/>
      <c r="BF252" s="246"/>
      <c r="BG252" s="246"/>
      <c r="BH252" s="246"/>
      <c r="BI252" s="246"/>
      <c r="BJ252" s="246"/>
      <c r="BK252" s="246"/>
      <c r="BL252" s="246"/>
    </row>
    <row r="253" ht="15.75" customHeight="1">
      <c r="A253" s="246"/>
      <c r="B253" s="246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6"/>
      <c r="Y253" s="246"/>
      <c r="Z253" s="246"/>
      <c r="AA253" s="246"/>
      <c r="AB253" s="246"/>
      <c r="AC253" s="246"/>
      <c r="AD253" s="246"/>
      <c r="AE253" s="246"/>
      <c r="AF253" s="246"/>
      <c r="AG253" s="246"/>
      <c r="AH253" s="246"/>
      <c r="AI253" s="246"/>
      <c r="AJ253" s="246"/>
      <c r="AK253" s="246"/>
      <c r="AL253" s="246"/>
      <c r="AM253" s="246"/>
      <c r="AN253" s="246"/>
      <c r="AO253" s="246"/>
      <c r="AP253" s="246"/>
      <c r="AQ253" s="246"/>
      <c r="AR253" s="246"/>
      <c r="AS253" s="246"/>
      <c r="AT253" s="246"/>
      <c r="AU253" s="246"/>
      <c r="AV253" s="246"/>
      <c r="AW253" s="246"/>
      <c r="AX253" s="246"/>
      <c r="AY253" s="246"/>
      <c r="AZ253" s="246"/>
      <c r="BA253" s="246"/>
      <c r="BB253" s="246"/>
      <c r="BC253" s="246"/>
      <c r="BD253" s="246"/>
      <c r="BE253" s="246"/>
      <c r="BF253" s="246"/>
      <c r="BG253" s="246"/>
      <c r="BH253" s="246"/>
      <c r="BI253" s="246"/>
      <c r="BJ253" s="246"/>
      <c r="BK253" s="246"/>
      <c r="BL253" s="246"/>
    </row>
    <row r="254" ht="15.75" customHeight="1">
      <c r="A254" s="246"/>
      <c r="B254" s="246"/>
      <c r="C254" s="246"/>
      <c r="D254" s="246"/>
      <c r="E254" s="246"/>
      <c r="F254" s="246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246"/>
      <c r="S254" s="246"/>
      <c r="T254" s="246"/>
      <c r="U254" s="246"/>
      <c r="V254" s="246"/>
      <c r="W254" s="246"/>
      <c r="X254" s="246"/>
      <c r="Y254" s="246"/>
      <c r="Z254" s="246"/>
      <c r="AA254" s="246"/>
      <c r="AB254" s="246"/>
      <c r="AC254" s="246"/>
      <c r="AD254" s="246"/>
      <c r="AE254" s="246"/>
      <c r="AF254" s="246"/>
      <c r="AG254" s="246"/>
      <c r="AH254" s="246"/>
      <c r="AI254" s="246"/>
      <c r="AJ254" s="246"/>
      <c r="AK254" s="246"/>
      <c r="AL254" s="246"/>
      <c r="AM254" s="246"/>
      <c r="AN254" s="246"/>
      <c r="AO254" s="246"/>
      <c r="AP254" s="246"/>
      <c r="AQ254" s="246"/>
      <c r="AR254" s="246"/>
      <c r="AS254" s="246"/>
      <c r="AT254" s="246"/>
      <c r="AU254" s="246"/>
      <c r="AV254" s="246"/>
      <c r="AW254" s="246"/>
      <c r="AX254" s="246"/>
      <c r="AY254" s="246"/>
      <c r="AZ254" s="246"/>
      <c r="BA254" s="246"/>
      <c r="BB254" s="246"/>
      <c r="BC254" s="246"/>
      <c r="BD254" s="246"/>
      <c r="BE254" s="246"/>
      <c r="BF254" s="246"/>
      <c r="BG254" s="246"/>
      <c r="BH254" s="246"/>
      <c r="BI254" s="246"/>
      <c r="BJ254" s="246"/>
      <c r="BK254" s="246"/>
      <c r="BL254" s="246"/>
    </row>
    <row r="255" ht="15.75" customHeight="1">
      <c r="A255" s="246"/>
      <c r="B255" s="246"/>
      <c r="C255" s="246"/>
      <c r="D255" s="246"/>
      <c r="E255" s="246"/>
      <c r="F255" s="246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246"/>
      <c r="S255" s="246"/>
      <c r="T255" s="246"/>
      <c r="U255" s="246"/>
      <c r="V255" s="246"/>
      <c r="W255" s="246"/>
      <c r="X255" s="246"/>
      <c r="Y255" s="246"/>
      <c r="Z255" s="246"/>
      <c r="AA255" s="246"/>
      <c r="AB255" s="246"/>
      <c r="AC255" s="246"/>
      <c r="AD255" s="246"/>
      <c r="AE255" s="246"/>
      <c r="AF255" s="246"/>
      <c r="AG255" s="246"/>
      <c r="AH255" s="246"/>
      <c r="AI255" s="246"/>
      <c r="AJ255" s="246"/>
      <c r="AK255" s="246"/>
      <c r="AL255" s="246"/>
      <c r="AM255" s="246"/>
      <c r="AN255" s="246"/>
      <c r="AO255" s="246"/>
      <c r="AP255" s="246"/>
      <c r="AQ255" s="246"/>
      <c r="AR255" s="246"/>
      <c r="AS255" s="246"/>
      <c r="AT255" s="246"/>
      <c r="AU255" s="246"/>
      <c r="AV255" s="246"/>
      <c r="AW255" s="246"/>
      <c r="AX255" s="246"/>
      <c r="AY255" s="246"/>
      <c r="AZ255" s="246"/>
      <c r="BA255" s="246"/>
      <c r="BB255" s="246"/>
      <c r="BC255" s="246"/>
      <c r="BD255" s="246"/>
      <c r="BE255" s="246"/>
      <c r="BF255" s="246"/>
      <c r="BG255" s="246"/>
      <c r="BH255" s="246"/>
      <c r="BI255" s="246"/>
      <c r="BJ255" s="246"/>
      <c r="BK255" s="246"/>
      <c r="BL255" s="246"/>
    </row>
    <row r="256" ht="15.75" customHeight="1">
      <c r="A256" s="246"/>
      <c r="B256" s="246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246"/>
      <c r="S256" s="246"/>
      <c r="T256" s="246"/>
      <c r="U256" s="246"/>
      <c r="V256" s="246"/>
      <c r="W256" s="246"/>
      <c r="X256" s="246"/>
      <c r="Y256" s="246"/>
      <c r="Z256" s="246"/>
      <c r="AA256" s="246"/>
      <c r="AB256" s="246"/>
      <c r="AC256" s="246"/>
      <c r="AD256" s="246"/>
      <c r="AE256" s="246"/>
      <c r="AF256" s="246"/>
      <c r="AG256" s="246"/>
      <c r="AH256" s="246"/>
      <c r="AI256" s="246"/>
      <c r="AJ256" s="246"/>
      <c r="AK256" s="246"/>
      <c r="AL256" s="246"/>
      <c r="AM256" s="246"/>
      <c r="AN256" s="246"/>
      <c r="AO256" s="246"/>
      <c r="AP256" s="246"/>
      <c r="AQ256" s="246"/>
      <c r="AR256" s="246"/>
      <c r="AS256" s="246"/>
      <c r="AT256" s="246"/>
      <c r="AU256" s="246"/>
      <c r="AV256" s="246"/>
      <c r="AW256" s="246"/>
      <c r="AX256" s="246"/>
      <c r="AY256" s="246"/>
      <c r="AZ256" s="246"/>
      <c r="BA256" s="246"/>
      <c r="BB256" s="246"/>
      <c r="BC256" s="246"/>
      <c r="BD256" s="246"/>
      <c r="BE256" s="246"/>
      <c r="BF256" s="246"/>
      <c r="BG256" s="246"/>
      <c r="BH256" s="246"/>
      <c r="BI256" s="246"/>
      <c r="BJ256" s="246"/>
      <c r="BK256" s="246"/>
      <c r="BL256" s="246"/>
    </row>
    <row r="257" ht="15.75" customHeight="1">
      <c r="A257" s="246"/>
      <c r="B257" s="246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246"/>
      <c r="S257" s="246"/>
      <c r="T257" s="246"/>
      <c r="U257" s="246"/>
      <c r="V257" s="246"/>
      <c r="W257" s="246"/>
      <c r="X257" s="246"/>
      <c r="Y257" s="246"/>
      <c r="Z257" s="246"/>
      <c r="AA257" s="246"/>
      <c r="AB257" s="246"/>
      <c r="AC257" s="246"/>
      <c r="AD257" s="246"/>
      <c r="AE257" s="246"/>
      <c r="AF257" s="246"/>
      <c r="AG257" s="246"/>
      <c r="AH257" s="246"/>
      <c r="AI257" s="246"/>
      <c r="AJ257" s="246"/>
      <c r="AK257" s="246"/>
      <c r="AL257" s="246"/>
      <c r="AM257" s="246"/>
      <c r="AN257" s="246"/>
      <c r="AO257" s="246"/>
      <c r="AP257" s="246"/>
      <c r="AQ257" s="246"/>
      <c r="AR257" s="246"/>
      <c r="AS257" s="246"/>
      <c r="AT257" s="246"/>
      <c r="AU257" s="246"/>
      <c r="AV257" s="246"/>
      <c r="AW257" s="246"/>
      <c r="AX257" s="246"/>
      <c r="AY257" s="246"/>
      <c r="AZ257" s="246"/>
      <c r="BA257" s="246"/>
      <c r="BB257" s="246"/>
      <c r="BC257" s="246"/>
      <c r="BD257" s="246"/>
      <c r="BE257" s="246"/>
      <c r="BF257" s="246"/>
      <c r="BG257" s="246"/>
      <c r="BH257" s="246"/>
      <c r="BI257" s="246"/>
      <c r="BJ257" s="246"/>
      <c r="BK257" s="246"/>
      <c r="BL257" s="246"/>
    </row>
    <row r="258" ht="15.75" customHeight="1">
      <c r="A258" s="246"/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6"/>
      <c r="S258" s="246"/>
      <c r="T258" s="246"/>
      <c r="U258" s="246"/>
      <c r="V258" s="246"/>
      <c r="W258" s="246"/>
      <c r="X258" s="246"/>
      <c r="Y258" s="246"/>
      <c r="Z258" s="246"/>
      <c r="AA258" s="246"/>
      <c r="AB258" s="246"/>
      <c r="AC258" s="246"/>
      <c r="AD258" s="246"/>
      <c r="AE258" s="246"/>
      <c r="AF258" s="246"/>
      <c r="AG258" s="246"/>
      <c r="AH258" s="246"/>
      <c r="AI258" s="246"/>
      <c r="AJ258" s="246"/>
      <c r="AK258" s="246"/>
      <c r="AL258" s="246"/>
      <c r="AM258" s="246"/>
      <c r="AN258" s="246"/>
      <c r="AO258" s="246"/>
      <c r="AP258" s="246"/>
      <c r="AQ258" s="246"/>
      <c r="AR258" s="246"/>
      <c r="AS258" s="246"/>
      <c r="AT258" s="246"/>
      <c r="AU258" s="246"/>
      <c r="AV258" s="246"/>
      <c r="AW258" s="246"/>
      <c r="AX258" s="246"/>
      <c r="AY258" s="246"/>
      <c r="AZ258" s="246"/>
      <c r="BA258" s="246"/>
      <c r="BB258" s="246"/>
      <c r="BC258" s="246"/>
      <c r="BD258" s="246"/>
      <c r="BE258" s="246"/>
      <c r="BF258" s="246"/>
      <c r="BG258" s="246"/>
      <c r="BH258" s="246"/>
      <c r="BI258" s="246"/>
      <c r="BJ258" s="246"/>
      <c r="BK258" s="246"/>
      <c r="BL258" s="246"/>
    </row>
    <row r="259" ht="15.75" customHeight="1">
      <c r="A259" s="246"/>
      <c r="B259" s="246"/>
      <c r="C259" s="246"/>
      <c r="D259" s="246"/>
      <c r="E259" s="246"/>
      <c r="F259" s="246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246"/>
      <c r="S259" s="246"/>
      <c r="T259" s="246"/>
      <c r="U259" s="246"/>
      <c r="V259" s="246"/>
      <c r="W259" s="246"/>
      <c r="X259" s="246"/>
      <c r="Y259" s="246"/>
      <c r="Z259" s="246"/>
      <c r="AA259" s="246"/>
      <c r="AB259" s="246"/>
      <c r="AC259" s="246"/>
      <c r="AD259" s="246"/>
      <c r="AE259" s="246"/>
      <c r="AF259" s="246"/>
      <c r="AG259" s="246"/>
      <c r="AH259" s="246"/>
      <c r="AI259" s="246"/>
      <c r="AJ259" s="246"/>
      <c r="AK259" s="246"/>
      <c r="AL259" s="246"/>
      <c r="AM259" s="246"/>
      <c r="AN259" s="246"/>
      <c r="AO259" s="246"/>
      <c r="AP259" s="246"/>
      <c r="AQ259" s="246"/>
      <c r="AR259" s="246"/>
      <c r="AS259" s="246"/>
      <c r="AT259" s="246"/>
      <c r="AU259" s="246"/>
      <c r="AV259" s="246"/>
      <c r="AW259" s="246"/>
      <c r="AX259" s="246"/>
      <c r="AY259" s="246"/>
      <c r="AZ259" s="246"/>
      <c r="BA259" s="246"/>
      <c r="BB259" s="246"/>
      <c r="BC259" s="246"/>
      <c r="BD259" s="246"/>
      <c r="BE259" s="246"/>
      <c r="BF259" s="246"/>
      <c r="BG259" s="246"/>
      <c r="BH259" s="246"/>
      <c r="BI259" s="246"/>
      <c r="BJ259" s="246"/>
      <c r="BK259" s="246"/>
      <c r="BL259" s="246"/>
    </row>
    <row r="260" ht="15.75" customHeight="1">
      <c r="A260" s="246"/>
      <c r="B260" s="246"/>
      <c r="C260" s="246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246"/>
      <c r="S260" s="246"/>
      <c r="T260" s="246"/>
      <c r="U260" s="246"/>
      <c r="V260" s="246"/>
      <c r="W260" s="246"/>
      <c r="X260" s="246"/>
      <c r="Y260" s="246"/>
      <c r="Z260" s="246"/>
      <c r="AA260" s="246"/>
      <c r="AB260" s="246"/>
      <c r="AC260" s="246"/>
      <c r="AD260" s="246"/>
      <c r="AE260" s="246"/>
      <c r="AF260" s="246"/>
      <c r="AG260" s="246"/>
      <c r="AH260" s="246"/>
      <c r="AI260" s="246"/>
      <c r="AJ260" s="246"/>
      <c r="AK260" s="246"/>
      <c r="AL260" s="246"/>
      <c r="AM260" s="246"/>
      <c r="AN260" s="246"/>
      <c r="AO260" s="246"/>
      <c r="AP260" s="246"/>
      <c r="AQ260" s="246"/>
      <c r="AR260" s="246"/>
      <c r="AS260" s="246"/>
      <c r="AT260" s="246"/>
      <c r="AU260" s="246"/>
      <c r="AV260" s="246"/>
      <c r="AW260" s="246"/>
      <c r="AX260" s="246"/>
      <c r="AY260" s="246"/>
      <c r="AZ260" s="246"/>
      <c r="BA260" s="246"/>
      <c r="BB260" s="246"/>
      <c r="BC260" s="246"/>
      <c r="BD260" s="246"/>
      <c r="BE260" s="246"/>
      <c r="BF260" s="246"/>
      <c r="BG260" s="246"/>
      <c r="BH260" s="246"/>
      <c r="BI260" s="246"/>
      <c r="BJ260" s="246"/>
      <c r="BK260" s="246"/>
      <c r="BL260" s="246"/>
    </row>
    <row r="261" ht="15.75" customHeight="1">
      <c r="A261" s="246"/>
      <c r="B261" s="246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46"/>
      <c r="S261" s="246"/>
      <c r="T261" s="246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6"/>
      <c r="AG261" s="246"/>
      <c r="AH261" s="246"/>
      <c r="AI261" s="246"/>
      <c r="AJ261" s="246"/>
      <c r="AK261" s="246"/>
      <c r="AL261" s="246"/>
      <c r="AM261" s="246"/>
      <c r="AN261" s="246"/>
      <c r="AO261" s="246"/>
      <c r="AP261" s="246"/>
      <c r="AQ261" s="246"/>
      <c r="AR261" s="246"/>
      <c r="AS261" s="246"/>
      <c r="AT261" s="246"/>
      <c r="AU261" s="246"/>
      <c r="AV261" s="246"/>
      <c r="AW261" s="246"/>
      <c r="AX261" s="246"/>
      <c r="AY261" s="246"/>
      <c r="AZ261" s="246"/>
      <c r="BA261" s="246"/>
      <c r="BB261" s="246"/>
      <c r="BC261" s="246"/>
      <c r="BD261" s="246"/>
      <c r="BE261" s="246"/>
      <c r="BF261" s="246"/>
      <c r="BG261" s="246"/>
      <c r="BH261" s="246"/>
      <c r="BI261" s="246"/>
      <c r="BJ261" s="246"/>
      <c r="BK261" s="246"/>
      <c r="BL261" s="246"/>
    </row>
    <row r="262" ht="15.75" customHeight="1">
      <c r="A262" s="246"/>
      <c r="B262" s="246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246"/>
      <c r="S262" s="246"/>
      <c r="T262" s="246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6"/>
      <c r="AG262" s="246"/>
      <c r="AH262" s="246"/>
      <c r="AI262" s="246"/>
      <c r="AJ262" s="246"/>
      <c r="AK262" s="246"/>
      <c r="AL262" s="246"/>
      <c r="AM262" s="246"/>
      <c r="AN262" s="246"/>
      <c r="AO262" s="246"/>
      <c r="AP262" s="246"/>
      <c r="AQ262" s="246"/>
      <c r="AR262" s="246"/>
      <c r="AS262" s="246"/>
      <c r="AT262" s="246"/>
      <c r="AU262" s="246"/>
      <c r="AV262" s="246"/>
      <c r="AW262" s="246"/>
      <c r="AX262" s="246"/>
      <c r="AY262" s="246"/>
      <c r="AZ262" s="246"/>
      <c r="BA262" s="246"/>
      <c r="BB262" s="246"/>
      <c r="BC262" s="246"/>
      <c r="BD262" s="246"/>
      <c r="BE262" s="246"/>
      <c r="BF262" s="246"/>
      <c r="BG262" s="246"/>
      <c r="BH262" s="246"/>
      <c r="BI262" s="246"/>
      <c r="BJ262" s="246"/>
      <c r="BK262" s="246"/>
      <c r="BL262" s="246"/>
    </row>
    <row r="263" ht="15.75" customHeight="1">
      <c r="A263" s="246"/>
      <c r="B263" s="246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246"/>
      <c r="S263" s="246"/>
      <c r="T263" s="246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6"/>
      <c r="AG263" s="246"/>
      <c r="AH263" s="246"/>
      <c r="AI263" s="246"/>
      <c r="AJ263" s="246"/>
      <c r="AK263" s="246"/>
      <c r="AL263" s="246"/>
      <c r="AM263" s="246"/>
      <c r="AN263" s="246"/>
      <c r="AO263" s="246"/>
      <c r="AP263" s="246"/>
      <c r="AQ263" s="246"/>
      <c r="AR263" s="246"/>
      <c r="AS263" s="246"/>
      <c r="AT263" s="246"/>
      <c r="AU263" s="246"/>
      <c r="AV263" s="246"/>
      <c r="AW263" s="246"/>
      <c r="AX263" s="246"/>
      <c r="AY263" s="246"/>
      <c r="AZ263" s="246"/>
      <c r="BA263" s="246"/>
      <c r="BB263" s="246"/>
      <c r="BC263" s="246"/>
      <c r="BD263" s="246"/>
      <c r="BE263" s="246"/>
      <c r="BF263" s="246"/>
      <c r="BG263" s="246"/>
      <c r="BH263" s="246"/>
      <c r="BI263" s="246"/>
      <c r="BJ263" s="246"/>
      <c r="BK263" s="246"/>
      <c r="BL263" s="246"/>
    </row>
    <row r="264" ht="15.75" customHeight="1">
      <c r="A264" s="246"/>
      <c r="B264" s="246"/>
      <c r="C264" s="246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246"/>
      <c r="S264" s="246"/>
      <c r="T264" s="246"/>
      <c r="U264" s="246"/>
      <c r="V264" s="246"/>
      <c r="W264" s="246"/>
      <c r="X264" s="246"/>
      <c r="Y264" s="246"/>
      <c r="Z264" s="246"/>
      <c r="AA264" s="246"/>
      <c r="AB264" s="246"/>
      <c r="AC264" s="246"/>
      <c r="AD264" s="246"/>
      <c r="AE264" s="246"/>
      <c r="AF264" s="246"/>
      <c r="AG264" s="246"/>
      <c r="AH264" s="246"/>
      <c r="AI264" s="246"/>
      <c r="AJ264" s="246"/>
      <c r="AK264" s="246"/>
      <c r="AL264" s="246"/>
      <c r="AM264" s="246"/>
      <c r="AN264" s="246"/>
      <c r="AO264" s="246"/>
      <c r="AP264" s="246"/>
      <c r="AQ264" s="246"/>
      <c r="AR264" s="246"/>
      <c r="AS264" s="246"/>
      <c r="AT264" s="246"/>
      <c r="AU264" s="246"/>
      <c r="AV264" s="246"/>
      <c r="AW264" s="246"/>
      <c r="AX264" s="246"/>
      <c r="AY264" s="246"/>
      <c r="AZ264" s="246"/>
      <c r="BA264" s="246"/>
      <c r="BB264" s="246"/>
      <c r="BC264" s="246"/>
      <c r="BD264" s="246"/>
      <c r="BE264" s="246"/>
      <c r="BF264" s="246"/>
      <c r="BG264" s="246"/>
      <c r="BH264" s="246"/>
      <c r="BI264" s="246"/>
      <c r="BJ264" s="246"/>
      <c r="BK264" s="246"/>
      <c r="BL264" s="246"/>
    </row>
    <row r="265" ht="15.75" customHeight="1">
      <c r="A265" s="246"/>
      <c r="B265" s="246"/>
      <c r="C265" s="246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246"/>
      <c r="S265" s="246"/>
      <c r="T265" s="246"/>
      <c r="U265" s="246"/>
      <c r="V265" s="246"/>
      <c r="W265" s="246"/>
      <c r="X265" s="246"/>
      <c r="Y265" s="246"/>
      <c r="Z265" s="246"/>
      <c r="AA265" s="246"/>
      <c r="AB265" s="246"/>
      <c r="AC265" s="246"/>
      <c r="AD265" s="246"/>
      <c r="AE265" s="246"/>
      <c r="AF265" s="246"/>
      <c r="AG265" s="246"/>
      <c r="AH265" s="246"/>
      <c r="AI265" s="246"/>
      <c r="AJ265" s="246"/>
      <c r="AK265" s="246"/>
      <c r="AL265" s="246"/>
      <c r="AM265" s="246"/>
      <c r="AN265" s="246"/>
      <c r="AO265" s="246"/>
      <c r="AP265" s="246"/>
      <c r="AQ265" s="246"/>
      <c r="AR265" s="246"/>
      <c r="AS265" s="246"/>
      <c r="AT265" s="246"/>
      <c r="AU265" s="246"/>
      <c r="AV265" s="246"/>
      <c r="AW265" s="246"/>
      <c r="AX265" s="246"/>
      <c r="AY265" s="246"/>
      <c r="AZ265" s="246"/>
      <c r="BA265" s="246"/>
      <c r="BB265" s="246"/>
      <c r="BC265" s="246"/>
      <c r="BD265" s="246"/>
      <c r="BE265" s="246"/>
      <c r="BF265" s="246"/>
      <c r="BG265" s="246"/>
      <c r="BH265" s="246"/>
      <c r="BI265" s="246"/>
      <c r="BJ265" s="246"/>
      <c r="BK265" s="246"/>
      <c r="BL265" s="246"/>
    </row>
    <row r="266" ht="15.75" customHeight="1">
      <c r="A266" s="246"/>
      <c r="B266" s="246"/>
      <c r="C266" s="246"/>
      <c r="D266" s="246"/>
      <c r="E266" s="246"/>
      <c r="F266" s="246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246"/>
      <c r="S266" s="246"/>
      <c r="T266" s="246"/>
      <c r="U266" s="246"/>
      <c r="V266" s="246"/>
      <c r="W266" s="246"/>
      <c r="X266" s="246"/>
      <c r="Y266" s="246"/>
      <c r="Z266" s="246"/>
      <c r="AA266" s="246"/>
      <c r="AB266" s="246"/>
      <c r="AC266" s="246"/>
      <c r="AD266" s="246"/>
      <c r="AE266" s="246"/>
      <c r="AF266" s="246"/>
      <c r="AG266" s="246"/>
      <c r="AH266" s="246"/>
      <c r="AI266" s="246"/>
      <c r="AJ266" s="246"/>
      <c r="AK266" s="246"/>
      <c r="AL266" s="246"/>
      <c r="AM266" s="246"/>
      <c r="AN266" s="246"/>
      <c r="AO266" s="246"/>
      <c r="AP266" s="246"/>
      <c r="AQ266" s="246"/>
      <c r="AR266" s="246"/>
      <c r="AS266" s="246"/>
      <c r="AT266" s="246"/>
      <c r="AU266" s="246"/>
      <c r="AV266" s="246"/>
      <c r="AW266" s="246"/>
      <c r="AX266" s="246"/>
      <c r="AY266" s="246"/>
      <c r="AZ266" s="246"/>
      <c r="BA266" s="246"/>
      <c r="BB266" s="246"/>
      <c r="BC266" s="246"/>
      <c r="BD266" s="246"/>
      <c r="BE266" s="246"/>
      <c r="BF266" s="246"/>
      <c r="BG266" s="246"/>
      <c r="BH266" s="246"/>
      <c r="BI266" s="246"/>
      <c r="BJ266" s="246"/>
      <c r="BK266" s="246"/>
      <c r="BL266" s="246"/>
    </row>
    <row r="267" ht="15.75" customHeight="1">
      <c r="A267" s="246"/>
      <c r="B267" s="246"/>
      <c r="C267" s="246"/>
      <c r="D267" s="246"/>
      <c r="E267" s="246"/>
      <c r="F267" s="246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246"/>
      <c r="S267" s="246"/>
      <c r="T267" s="246"/>
      <c r="U267" s="246"/>
      <c r="V267" s="246"/>
      <c r="W267" s="246"/>
      <c r="X267" s="246"/>
      <c r="Y267" s="246"/>
      <c r="Z267" s="246"/>
      <c r="AA267" s="246"/>
      <c r="AB267" s="246"/>
      <c r="AC267" s="246"/>
      <c r="AD267" s="246"/>
      <c r="AE267" s="246"/>
      <c r="AF267" s="246"/>
      <c r="AG267" s="246"/>
      <c r="AH267" s="246"/>
      <c r="AI267" s="246"/>
      <c r="AJ267" s="246"/>
      <c r="AK267" s="246"/>
      <c r="AL267" s="246"/>
      <c r="AM267" s="246"/>
      <c r="AN267" s="246"/>
      <c r="AO267" s="246"/>
      <c r="AP267" s="246"/>
      <c r="AQ267" s="246"/>
      <c r="AR267" s="246"/>
      <c r="AS267" s="246"/>
      <c r="AT267" s="246"/>
      <c r="AU267" s="246"/>
      <c r="AV267" s="246"/>
      <c r="AW267" s="246"/>
      <c r="AX267" s="246"/>
      <c r="AY267" s="246"/>
      <c r="AZ267" s="246"/>
      <c r="BA267" s="246"/>
      <c r="BB267" s="246"/>
      <c r="BC267" s="246"/>
      <c r="BD267" s="246"/>
      <c r="BE267" s="246"/>
      <c r="BF267" s="246"/>
      <c r="BG267" s="246"/>
      <c r="BH267" s="246"/>
      <c r="BI267" s="246"/>
      <c r="BJ267" s="246"/>
      <c r="BK267" s="246"/>
      <c r="BL267" s="246"/>
    </row>
    <row r="268" ht="15.75" customHeight="1">
      <c r="A268" s="246"/>
      <c r="B268" s="246"/>
      <c r="C268" s="246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246"/>
      <c r="S268" s="246"/>
      <c r="T268" s="246"/>
      <c r="U268" s="246"/>
      <c r="V268" s="246"/>
      <c r="W268" s="246"/>
      <c r="X268" s="246"/>
      <c r="Y268" s="246"/>
      <c r="Z268" s="246"/>
      <c r="AA268" s="246"/>
      <c r="AB268" s="246"/>
      <c r="AC268" s="246"/>
      <c r="AD268" s="246"/>
      <c r="AE268" s="246"/>
      <c r="AF268" s="246"/>
      <c r="AG268" s="246"/>
      <c r="AH268" s="246"/>
      <c r="AI268" s="246"/>
      <c r="AJ268" s="246"/>
      <c r="AK268" s="246"/>
      <c r="AL268" s="246"/>
      <c r="AM268" s="246"/>
      <c r="AN268" s="246"/>
      <c r="AO268" s="246"/>
      <c r="AP268" s="246"/>
      <c r="AQ268" s="246"/>
      <c r="AR268" s="246"/>
      <c r="AS268" s="246"/>
      <c r="AT268" s="246"/>
      <c r="AU268" s="246"/>
      <c r="AV268" s="246"/>
      <c r="AW268" s="246"/>
      <c r="AX268" s="246"/>
      <c r="AY268" s="246"/>
      <c r="AZ268" s="246"/>
      <c r="BA268" s="246"/>
      <c r="BB268" s="246"/>
      <c r="BC268" s="246"/>
      <c r="BD268" s="246"/>
      <c r="BE268" s="246"/>
      <c r="BF268" s="246"/>
      <c r="BG268" s="246"/>
      <c r="BH268" s="246"/>
      <c r="BI268" s="246"/>
      <c r="BJ268" s="246"/>
      <c r="BK268" s="246"/>
      <c r="BL268" s="246"/>
    </row>
    <row r="269" ht="15.75" customHeight="1">
      <c r="A269" s="246"/>
      <c r="B269" s="246"/>
      <c r="C269" s="246"/>
      <c r="D269" s="246"/>
      <c r="E269" s="246"/>
      <c r="F269" s="246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246"/>
      <c r="S269" s="246"/>
      <c r="T269" s="246"/>
      <c r="U269" s="246"/>
      <c r="V269" s="246"/>
      <c r="W269" s="246"/>
      <c r="X269" s="246"/>
      <c r="Y269" s="246"/>
      <c r="Z269" s="246"/>
      <c r="AA269" s="246"/>
      <c r="AB269" s="246"/>
      <c r="AC269" s="246"/>
      <c r="AD269" s="246"/>
      <c r="AE269" s="246"/>
      <c r="AF269" s="246"/>
      <c r="AG269" s="246"/>
      <c r="AH269" s="246"/>
      <c r="AI269" s="246"/>
      <c r="AJ269" s="246"/>
      <c r="AK269" s="246"/>
      <c r="AL269" s="246"/>
      <c r="AM269" s="246"/>
      <c r="AN269" s="246"/>
      <c r="AO269" s="246"/>
      <c r="AP269" s="246"/>
      <c r="AQ269" s="246"/>
      <c r="AR269" s="246"/>
      <c r="AS269" s="246"/>
      <c r="AT269" s="246"/>
      <c r="AU269" s="246"/>
      <c r="AV269" s="246"/>
      <c r="AW269" s="246"/>
      <c r="AX269" s="246"/>
      <c r="AY269" s="246"/>
      <c r="AZ269" s="246"/>
      <c r="BA269" s="246"/>
      <c r="BB269" s="246"/>
      <c r="BC269" s="246"/>
      <c r="BD269" s="246"/>
      <c r="BE269" s="246"/>
      <c r="BF269" s="246"/>
      <c r="BG269" s="246"/>
      <c r="BH269" s="246"/>
      <c r="BI269" s="246"/>
      <c r="BJ269" s="246"/>
      <c r="BK269" s="246"/>
      <c r="BL269" s="24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 ht="15.75" customHeight="1">
      <c r="A1" s="43" t="s">
        <v>0</v>
      </c>
      <c r="B1" s="203"/>
      <c r="C1" s="203"/>
      <c r="D1" s="43" t="s">
        <v>7</v>
      </c>
      <c r="E1" s="43" t="s">
        <v>8</v>
      </c>
      <c r="F1" s="43" t="s">
        <v>9</v>
      </c>
      <c r="G1" s="43" t="s">
        <v>10</v>
      </c>
      <c r="H1" s="43" t="s">
        <v>11</v>
      </c>
      <c r="I1" s="43" t="s">
        <v>12</v>
      </c>
      <c r="J1" s="43" t="s">
        <v>13</v>
      </c>
      <c r="K1" s="43" t="s">
        <v>63</v>
      </c>
      <c r="L1" s="43" t="s">
        <v>64</v>
      </c>
      <c r="M1" s="43" t="s">
        <v>65</v>
      </c>
      <c r="N1" s="43" t="s">
        <v>66</v>
      </c>
      <c r="O1" s="43" t="s">
        <v>67</v>
      </c>
      <c r="P1" s="43" t="s">
        <v>68</v>
      </c>
      <c r="Q1" s="43" t="s">
        <v>69</v>
      </c>
      <c r="R1" s="43" t="s">
        <v>70</v>
      </c>
      <c r="S1" s="43" t="str">
        <f t="array" ref="S1:AD1">transpose(A22:A33)</f>
        <v>Q1 26</v>
      </c>
      <c r="T1" s="43" t="s">
        <v>72</v>
      </c>
      <c r="U1" s="43" t="s">
        <v>73</v>
      </c>
      <c r="V1" s="43" t="s">
        <v>74</v>
      </c>
      <c r="W1" s="43" t="s">
        <v>75</v>
      </c>
      <c r="X1" s="43" t="s">
        <v>76</v>
      </c>
      <c r="Y1" s="43" t="s">
        <v>77</v>
      </c>
      <c r="Z1" s="43" t="s">
        <v>78</v>
      </c>
      <c r="AA1" s="43" t="s">
        <v>79</v>
      </c>
      <c r="AB1" s="43" t="s">
        <v>80</v>
      </c>
      <c r="AC1" s="43" t="s">
        <v>81</v>
      </c>
      <c r="AD1" s="43" t="s">
        <v>82</v>
      </c>
      <c r="AE1" s="204"/>
      <c r="AF1" s="43" t="s">
        <v>14</v>
      </c>
      <c r="AG1" s="43" t="s">
        <v>2</v>
      </c>
      <c r="AH1" s="43" t="s">
        <v>3</v>
      </c>
      <c r="AI1" s="43" t="s">
        <v>4</v>
      </c>
      <c r="AJ1" s="43" t="s">
        <v>5</v>
      </c>
      <c r="AK1" s="43" t="s">
        <v>6</v>
      </c>
      <c r="AL1" s="43" t="s">
        <v>7</v>
      </c>
      <c r="AM1" s="43" t="s">
        <v>8</v>
      </c>
      <c r="AN1" s="43" t="s">
        <v>9</v>
      </c>
      <c r="AO1" s="43" t="s">
        <v>10</v>
      </c>
      <c r="AP1" s="43" t="s">
        <v>11</v>
      </c>
      <c r="AQ1" s="43" t="s">
        <v>12</v>
      </c>
      <c r="AR1" s="43" t="s">
        <v>13</v>
      </c>
      <c r="AS1" s="43" t="s">
        <v>63</v>
      </c>
      <c r="AT1" s="43" t="s">
        <v>64</v>
      </c>
      <c r="AU1" s="43" t="s">
        <v>65</v>
      </c>
      <c r="AV1" s="43" t="s">
        <v>66</v>
      </c>
      <c r="AW1" s="43" t="s">
        <v>67</v>
      </c>
      <c r="AX1" s="43" t="s">
        <v>68</v>
      </c>
      <c r="AY1" s="43" t="s">
        <v>69</v>
      </c>
      <c r="AZ1" s="43" t="s">
        <v>70</v>
      </c>
      <c r="BA1" s="43" t="str">
        <f t="array" ref="BA1:BL1">transpose(A22:A33)</f>
        <v>Q1 26</v>
      </c>
      <c r="BB1" s="43" t="s">
        <v>72</v>
      </c>
      <c r="BC1" s="43" t="s">
        <v>73</v>
      </c>
      <c r="BD1" s="43" t="s">
        <v>74</v>
      </c>
      <c r="BE1" s="43" t="s">
        <v>75</v>
      </c>
      <c r="BF1" s="43" t="s">
        <v>76</v>
      </c>
      <c r="BG1" s="43" t="s">
        <v>77</v>
      </c>
      <c r="BH1" s="43" t="s">
        <v>78</v>
      </c>
      <c r="BI1" s="43" t="s">
        <v>79</v>
      </c>
      <c r="BJ1" s="43" t="s">
        <v>80</v>
      </c>
      <c r="BK1" s="43" t="s">
        <v>81</v>
      </c>
      <c r="BL1" s="43" t="s">
        <v>82</v>
      </c>
    </row>
    <row r="2" ht="15.75" customHeight="1">
      <c r="A2" s="43" t="s">
        <v>2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4"/>
      <c r="AF2" s="205"/>
      <c r="AG2" s="206">
        <v>0.14</v>
      </c>
      <c r="AH2" s="206">
        <v>0.33</v>
      </c>
      <c r="AI2" s="206">
        <v>0.25</v>
      </c>
      <c r="AJ2" s="206">
        <v>0.15</v>
      </c>
      <c r="AK2" s="206">
        <v>0.07</v>
      </c>
      <c r="AL2" s="206">
        <v>0.04</v>
      </c>
      <c r="AM2" s="206">
        <v>0.02</v>
      </c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</row>
    <row r="3" ht="15.75" customHeight="1">
      <c r="A3" s="43" t="s">
        <v>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4"/>
      <c r="AF3" s="205"/>
      <c r="AG3" s="205"/>
      <c r="AH3" s="206">
        <v>0.14</v>
      </c>
      <c r="AI3" s="206">
        <v>0.33</v>
      </c>
      <c r="AJ3" s="206">
        <v>0.25</v>
      </c>
      <c r="AK3" s="206">
        <v>0.15</v>
      </c>
      <c r="AL3" s="206">
        <v>0.07</v>
      </c>
      <c r="AM3" s="206">
        <v>0.04</v>
      </c>
      <c r="AN3" s="206">
        <v>0.02</v>
      </c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</row>
    <row r="4" ht="15.75" customHeight="1">
      <c r="A4" s="43" t="s">
        <v>4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4"/>
      <c r="AF4" s="205"/>
      <c r="AG4" s="205"/>
      <c r="AH4" s="205"/>
      <c r="AI4" s="206">
        <v>0.14</v>
      </c>
      <c r="AJ4" s="206">
        <v>0.33</v>
      </c>
      <c r="AK4" s="206">
        <v>0.25</v>
      </c>
      <c r="AL4" s="206">
        <v>0.15</v>
      </c>
      <c r="AM4" s="206">
        <v>0.07</v>
      </c>
      <c r="AN4" s="206">
        <v>0.04</v>
      </c>
      <c r="AO4" s="206">
        <v>0.02</v>
      </c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</row>
    <row r="5" ht="15.75" customHeight="1">
      <c r="A5" s="43" t="s">
        <v>5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4"/>
      <c r="AF5" s="205"/>
      <c r="AG5" s="205"/>
      <c r="AH5" s="205"/>
      <c r="AI5" s="205"/>
      <c r="AJ5" s="206">
        <v>0.14</v>
      </c>
      <c r="AK5" s="206">
        <v>0.33</v>
      </c>
      <c r="AL5" s="206">
        <v>0.25</v>
      </c>
      <c r="AM5" s="206">
        <v>0.15</v>
      </c>
      <c r="AN5" s="206">
        <v>0.07</v>
      </c>
      <c r="AO5" s="206">
        <v>0.04</v>
      </c>
      <c r="AP5" s="206">
        <v>0.02</v>
      </c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</row>
    <row r="6" ht="15.75" customHeight="1">
      <c r="A6" s="43" t="s">
        <v>6</v>
      </c>
      <c r="B6" s="205"/>
      <c r="C6" s="205"/>
      <c r="D6" s="206">
        <v>0.1</v>
      </c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8"/>
      <c r="AF6" s="207"/>
      <c r="AG6" s="207"/>
      <c r="AH6" s="207"/>
      <c r="AI6" s="207"/>
      <c r="AJ6" s="207"/>
      <c r="AK6" s="206">
        <v>0.14</v>
      </c>
      <c r="AL6" s="206">
        <v>0.33</v>
      </c>
      <c r="AM6" s="206">
        <v>0.25</v>
      </c>
      <c r="AN6" s="206">
        <v>0.15</v>
      </c>
      <c r="AO6" s="206">
        <v>0.07</v>
      </c>
      <c r="AP6" s="206">
        <v>0.04</v>
      </c>
      <c r="AQ6" s="206">
        <v>0.02</v>
      </c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</row>
    <row r="7" ht="15.75" customHeight="1">
      <c r="A7" s="43" t="s">
        <v>7</v>
      </c>
      <c r="B7" s="205"/>
      <c r="C7" s="205"/>
      <c r="D7" s="206">
        <f>227/255</f>
        <v>0.8901960784</v>
      </c>
      <c r="E7" s="206">
        <v>0.1</v>
      </c>
      <c r="F7" s="206">
        <v>0.01</v>
      </c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8"/>
      <c r="AF7" s="207"/>
      <c r="AG7" s="207"/>
      <c r="AH7" s="207"/>
      <c r="AI7" s="207"/>
      <c r="AJ7" s="207"/>
      <c r="AK7" s="207"/>
      <c r="AL7" s="206">
        <v>0.14</v>
      </c>
      <c r="AM7" s="206">
        <v>0.33</v>
      </c>
      <c r="AN7" s="206">
        <v>0.25</v>
      </c>
      <c r="AO7" s="206">
        <v>0.15</v>
      </c>
      <c r="AP7" s="206">
        <v>0.07</v>
      </c>
      <c r="AQ7" s="206">
        <v>0.04</v>
      </c>
      <c r="AR7" s="206">
        <v>0.02</v>
      </c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</row>
    <row r="8" ht="15.75" customHeight="1">
      <c r="A8" s="43" t="s">
        <v>8</v>
      </c>
      <c r="B8" s="205"/>
      <c r="C8" s="205"/>
      <c r="D8" s="207"/>
      <c r="E8" s="206">
        <f>227/255</f>
        <v>0.8901960784</v>
      </c>
      <c r="F8" s="206">
        <v>0.1</v>
      </c>
      <c r="G8" s="206">
        <v>0.01</v>
      </c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8"/>
      <c r="AF8" s="207"/>
      <c r="AG8" s="207"/>
      <c r="AH8" s="207"/>
      <c r="AI8" s="207"/>
      <c r="AJ8" s="207"/>
      <c r="AK8" s="207"/>
      <c r="AL8" s="207"/>
      <c r="AM8" s="206">
        <v>0.14</v>
      </c>
      <c r="AN8" s="206">
        <v>0.33</v>
      </c>
      <c r="AO8" s="206">
        <v>0.25</v>
      </c>
      <c r="AP8" s="206">
        <v>0.15</v>
      </c>
      <c r="AQ8" s="206">
        <v>0.07</v>
      </c>
      <c r="AR8" s="206">
        <v>0.04</v>
      </c>
      <c r="AS8" s="206">
        <v>0.02</v>
      </c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</row>
    <row r="9" ht="15.75" customHeight="1">
      <c r="A9" s="43" t="s">
        <v>9</v>
      </c>
      <c r="B9" s="205"/>
      <c r="C9" s="205"/>
      <c r="D9" s="207"/>
      <c r="E9" s="207"/>
      <c r="F9" s="206">
        <f>227/255</f>
        <v>0.8901960784</v>
      </c>
      <c r="G9" s="206">
        <v>0.1</v>
      </c>
      <c r="H9" s="206">
        <v>0.01</v>
      </c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8"/>
      <c r="AF9" s="207"/>
      <c r="AG9" s="207"/>
      <c r="AH9" s="207"/>
      <c r="AI9" s="207"/>
      <c r="AJ9" s="207"/>
      <c r="AK9" s="207"/>
      <c r="AL9" s="207"/>
      <c r="AM9" s="207"/>
      <c r="AN9" s="206">
        <v>0.14</v>
      </c>
      <c r="AO9" s="206">
        <v>0.33</v>
      </c>
      <c r="AP9" s="206">
        <v>0.25</v>
      </c>
      <c r="AQ9" s="206">
        <v>0.15</v>
      </c>
      <c r="AR9" s="206">
        <v>0.07</v>
      </c>
      <c r="AS9" s="206">
        <v>0.04</v>
      </c>
      <c r="AT9" s="206">
        <v>0.02</v>
      </c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</row>
    <row r="10" ht="15.75" customHeight="1">
      <c r="A10" s="43" t="s">
        <v>10</v>
      </c>
      <c r="B10" s="205"/>
      <c r="C10" s="205"/>
      <c r="D10" s="207"/>
      <c r="E10" s="207"/>
      <c r="F10" s="207"/>
      <c r="G10" s="206">
        <f>227/255</f>
        <v>0.8901960784</v>
      </c>
      <c r="H10" s="206">
        <v>0.1</v>
      </c>
      <c r="I10" s="206">
        <v>0.01</v>
      </c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8"/>
      <c r="AF10" s="207"/>
      <c r="AG10" s="207"/>
      <c r="AH10" s="207"/>
      <c r="AI10" s="207"/>
      <c r="AJ10" s="207"/>
      <c r="AK10" s="207"/>
      <c r="AL10" s="207"/>
      <c r="AM10" s="207"/>
      <c r="AN10" s="207"/>
      <c r="AO10" s="206">
        <v>0.14</v>
      </c>
      <c r="AP10" s="206">
        <v>0.33</v>
      </c>
      <c r="AQ10" s="206">
        <v>0.25</v>
      </c>
      <c r="AR10" s="206">
        <v>0.15</v>
      </c>
      <c r="AS10" s="206">
        <v>0.07</v>
      </c>
      <c r="AT10" s="206">
        <v>0.04</v>
      </c>
      <c r="AU10" s="206">
        <v>0.02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</row>
    <row r="11" ht="15.75" customHeight="1">
      <c r="A11" s="43" t="s">
        <v>11</v>
      </c>
      <c r="B11" s="205"/>
      <c r="C11" s="205"/>
      <c r="D11" s="207"/>
      <c r="E11" s="207"/>
      <c r="F11" s="207"/>
      <c r="G11" s="207"/>
      <c r="H11" s="206">
        <f>227/255</f>
        <v>0.8901960784</v>
      </c>
      <c r="I11" s="206">
        <v>0.1</v>
      </c>
      <c r="J11" s="206">
        <v>0.01</v>
      </c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8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6">
        <v>0.14</v>
      </c>
      <c r="AQ11" s="206">
        <v>0.33</v>
      </c>
      <c r="AR11" s="206">
        <v>0.25</v>
      </c>
      <c r="AS11" s="206">
        <v>0.15</v>
      </c>
      <c r="AT11" s="206">
        <v>0.07</v>
      </c>
      <c r="AU11" s="206">
        <v>0.04</v>
      </c>
      <c r="AV11" s="206">
        <v>0.02</v>
      </c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</row>
    <row r="12" ht="15.75" customHeight="1">
      <c r="A12" s="43" t="s">
        <v>12</v>
      </c>
      <c r="B12" s="205"/>
      <c r="C12" s="205"/>
      <c r="D12" s="207"/>
      <c r="E12" s="207"/>
      <c r="F12" s="207"/>
      <c r="G12" s="207"/>
      <c r="H12" s="207"/>
      <c r="I12" s="206">
        <f>227/255</f>
        <v>0.8901960784</v>
      </c>
      <c r="J12" s="206">
        <v>0.1</v>
      </c>
      <c r="K12" s="206">
        <v>0.01</v>
      </c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8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>
        <v>0.14</v>
      </c>
      <c r="AR12" s="206">
        <v>0.33</v>
      </c>
      <c r="AS12" s="206">
        <v>0.25</v>
      </c>
      <c r="AT12" s="206">
        <v>0.15</v>
      </c>
      <c r="AU12" s="206">
        <v>0.07</v>
      </c>
      <c r="AV12" s="206">
        <v>0.04</v>
      </c>
      <c r="AW12" s="206">
        <v>0.02</v>
      </c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</row>
    <row r="13" ht="15.75" customHeight="1">
      <c r="A13" s="43" t="s">
        <v>13</v>
      </c>
      <c r="B13" s="205"/>
      <c r="C13" s="205"/>
      <c r="D13" s="207"/>
      <c r="E13" s="207"/>
      <c r="F13" s="207"/>
      <c r="G13" s="207"/>
      <c r="H13" s="207"/>
      <c r="I13" s="207"/>
      <c r="J13" s="206">
        <f>227/255</f>
        <v>0.8901960784</v>
      </c>
      <c r="K13" s="206">
        <v>0.1</v>
      </c>
      <c r="L13" s="206">
        <v>0.01</v>
      </c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8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6">
        <v>0.14</v>
      </c>
      <c r="AS13" s="206">
        <v>0.33</v>
      </c>
      <c r="AT13" s="206">
        <v>0.25</v>
      </c>
      <c r="AU13" s="206">
        <v>0.15</v>
      </c>
      <c r="AV13" s="206">
        <v>0.07</v>
      </c>
      <c r="AW13" s="206">
        <v>0.04</v>
      </c>
      <c r="AX13" s="206">
        <v>0.02</v>
      </c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</row>
    <row r="14" ht="15.75" customHeight="1">
      <c r="A14" s="43" t="s">
        <v>63</v>
      </c>
      <c r="B14" s="205"/>
      <c r="C14" s="205"/>
      <c r="D14" s="207"/>
      <c r="E14" s="207"/>
      <c r="F14" s="207"/>
      <c r="G14" s="207"/>
      <c r="H14" s="207"/>
      <c r="I14" s="207"/>
      <c r="J14" s="207"/>
      <c r="K14" s="206">
        <f>227/255</f>
        <v>0.8901960784</v>
      </c>
      <c r="L14" s="206">
        <v>0.1</v>
      </c>
      <c r="M14" s="206">
        <v>0.01</v>
      </c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8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6">
        <v>0.14</v>
      </c>
      <c r="AT14" s="206">
        <v>0.33</v>
      </c>
      <c r="AU14" s="206">
        <v>0.25</v>
      </c>
      <c r="AV14" s="206">
        <v>0.15</v>
      </c>
      <c r="AW14" s="206">
        <v>0.07</v>
      </c>
      <c r="AX14" s="206">
        <v>0.04</v>
      </c>
      <c r="AY14" s="206">
        <v>0.02</v>
      </c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</row>
    <row r="15" ht="15.75" customHeight="1">
      <c r="A15" s="43" t="s">
        <v>64</v>
      </c>
      <c r="B15" s="205"/>
      <c r="C15" s="205"/>
      <c r="D15" s="207"/>
      <c r="E15" s="207"/>
      <c r="F15" s="207"/>
      <c r="G15" s="207"/>
      <c r="H15" s="207"/>
      <c r="I15" s="207"/>
      <c r="J15" s="207"/>
      <c r="K15" s="207"/>
      <c r="L15" s="206">
        <f>227/255</f>
        <v>0.8901960784</v>
      </c>
      <c r="M15" s="206">
        <v>0.1</v>
      </c>
      <c r="N15" s="206">
        <v>0.01</v>
      </c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8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6">
        <v>0.14</v>
      </c>
      <c r="AU15" s="206">
        <v>0.33</v>
      </c>
      <c r="AV15" s="206">
        <v>0.25</v>
      </c>
      <c r="AW15" s="206">
        <v>0.15</v>
      </c>
      <c r="AX15" s="206">
        <v>0.07</v>
      </c>
      <c r="AY15" s="206">
        <v>0.04</v>
      </c>
      <c r="AZ15" s="206">
        <v>0.02</v>
      </c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</row>
    <row r="16" ht="15.75" customHeight="1">
      <c r="A16" s="43" t="s">
        <v>65</v>
      </c>
      <c r="B16" s="205"/>
      <c r="C16" s="205"/>
      <c r="D16" s="207"/>
      <c r="E16" s="207"/>
      <c r="F16" s="207"/>
      <c r="G16" s="207"/>
      <c r="H16" s="207"/>
      <c r="I16" s="207"/>
      <c r="J16" s="207"/>
      <c r="K16" s="207"/>
      <c r="L16" s="207"/>
      <c r="M16" s="206">
        <f>227/255</f>
        <v>0.8901960784</v>
      </c>
      <c r="N16" s="206">
        <v>0.1</v>
      </c>
      <c r="O16" s="206">
        <v>0.01</v>
      </c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8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6">
        <v>0.14</v>
      </c>
      <c r="AV16" s="206">
        <v>0.33</v>
      </c>
      <c r="AW16" s="206">
        <v>0.25</v>
      </c>
      <c r="AX16" s="206">
        <v>0.15</v>
      </c>
      <c r="AY16" s="206">
        <v>0.07</v>
      </c>
      <c r="AZ16" s="206">
        <v>0.04</v>
      </c>
      <c r="BA16" s="206">
        <v>0.02</v>
      </c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</row>
    <row r="17" ht="15.75" customHeight="1">
      <c r="A17" s="43" t="s">
        <v>66</v>
      </c>
      <c r="B17" s="205"/>
      <c r="C17" s="205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6">
        <v>0.89</v>
      </c>
      <c r="O17" s="206">
        <v>0.1</v>
      </c>
      <c r="P17" s="206">
        <v>0.01</v>
      </c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8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6">
        <v>0.14</v>
      </c>
      <c r="AW17" s="206">
        <v>0.33</v>
      </c>
      <c r="AX17" s="206">
        <v>0.25</v>
      </c>
      <c r="AY17" s="206">
        <v>0.15</v>
      </c>
      <c r="AZ17" s="206">
        <v>0.07</v>
      </c>
      <c r="BA17" s="206">
        <v>0.04</v>
      </c>
      <c r="BB17" s="206">
        <v>0.02</v>
      </c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</row>
    <row r="18" ht="15.75" customHeight="1">
      <c r="A18" s="43" t="s">
        <v>67</v>
      </c>
      <c r="B18" s="205"/>
      <c r="C18" s="205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6">
        <v>0.89</v>
      </c>
      <c r="P18" s="206">
        <v>0.1</v>
      </c>
      <c r="Q18" s="206">
        <v>0.01</v>
      </c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8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6">
        <v>0.14</v>
      </c>
      <c r="AX18" s="206">
        <v>0.33</v>
      </c>
      <c r="AY18" s="206">
        <v>0.25</v>
      </c>
      <c r="AZ18" s="206">
        <v>0.15</v>
      </c>
      <c r="BA18" s="206">
        <v>0.07</v>
      </c>
      <c r="BB18" s="206">
        <v>0.04</v>
      </c>
      <c r="BC18" s="206">
        <v>0.02</v>
      </c>
      <c r="BD18" s="207"/>
      <c r="BE18" s="207"/>
      <c r="BF18" s="207"/>
      <c r="BG18" s="207"/>
      <c r="BH18" s="207"/>
      <c r="BI18" s="207"/>
      <c r="BJ18" s="207"/>
      <c r="BK18" s="207"/>
      <c r="BL18" s="207"/>
    </row>
    <row r="19" ht="15.75" customHeight="1">
      <c r="A19" s="43" t="s">
        <v>68</v>
      </c>
      <c r="B19" s="205"/>
      <c r="C19" s="205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6">
        <v>0.89</v>
      </c>
      <c r="Q19" s="206">
        <v>0.1</v>
      </c>
      <c r="R19" s="206">
        <v>0.01</v>
      </c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8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6">
        <v>0.14</v>
      </c>
      <c r="AY19" s="206">
        <v>0.33</v>
      </c>
      <c r="AZ19" s="206">
        <v>0.25</v>
      </c>
      <c r="BA19" s="206">
        <v>0.15</v>
      </c>
      <c r="BB19" s="206">
        <v>0.07</v>
      </c>
      <c r="BC19" s="206">
        <v>0.04</v>
      </c>
      <c r="BD19" s="206">
        <v>0.02</v>
      </c>
      <c r="BE19" s="207"/>
      <c r="BF19" s="207"/>
      <c r="BG19" s="207"/>
      <c r="BH19" s="207"/>
      <c r="BI19" s="207"/>
      <c r="BJ19" s="207"/>
      <c r="BK19" s="207"/>
      <c r="BL19" s="207"/>
    </row>
    <row r="20" ht="15.75" customHeight="1">
      <c r="A20" s="43" t="s">
        <v>69</v>
      </c>
      <c r="B20" s="205"/>
      <c r="C20" s="205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6">
        <v>0.89</v>
      </c>
      <c r="R20" s="206">
        <v>0.1</v>
      </c>
      <c r="S20" s="206">
        <v>0.01</v>
      </c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8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6">
        <v>0.14</v>
      </c>
      <c r="AZ20" s="206">
        <v>0.33</v>
      </c>
      <c r="BA20" s="206">
        <v>0.25</v>
      </c>
      <c r="BB20" s="206">
        <v>0.15</v>
      </c>
      <c r="BC20" s="206">
        <v>0.07</v>
      </c>
      <c r="BD20" s="206">
        <v>0.04</v>
      </c>
      <c r="BE20" s="206">
        <v>0.02</v>
      </c>
      <c r="BF20" s="207"/>
      <c r="BG20" s="207"/>
      <c r="BH20" s="207"/>
      <c r="BI20" s="207"/>
      <c r="BJ20" s="207"/>
      <c r="BK20" s="207"/>
      <c r="BL20" s="207"/>
    </row>
    <row r="21" ht="15.75" customHeight="1">
      <c r="A21" s="43" t="s">
        <v>70</v>
      </c>
      <c r="B21" s="205"/>
      <c r="C21" s="205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6">
        <v>0.89</v>
      </c>
      <c r="S21" s="206">
        <v>0.1</v>
      </c>
      <c r="T21" s="206">
        <v>0.01</v>
      </c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8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6">
        <v>0.14</v>
      </c>
      <c r="BA21" s="206">
        <v>0.33</v>
      </c>
      <c r="BB21" s="206">
        <v>0.25</v>
      </c>
      <c r="BC21" s="206">
        <v>0.15</v>
      </c>
      <c r="BD21" s="206">
        <v>0.07</v>
      </c>
      <c r="BE21" s="206">
        <v>0.04</v>
      </c>
      <c r="BF21" s="206">
        <v>0.02</v>
      </c>
      <c r="BG21" s="207"/>
      <c r="BH21" s="207"/>
      <c r="BI21" s="207"/>
      <c r="BJ21" s="207"/>
      <c r="BK21" s="207"/>
      <c r="BL21" s="207"/>
    </row>
    <row r="22" ht="15.75" customHeight="1">
      <c r="A22" s="43" t="s">
        <v>71</v>
      </c>
      <c r="B22" s="205"/>
      <c r="C22" s="205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6">
        <f>227/255</f>
        <v>0.8901960784</v>
      </c>
      <c r="T22" s="206">
        <v>0.1</v>
      </c>
      <c r="U22" s="206">
        <v>0.01</v>
      </c>
      <c r="V22" s="207"/>
      <c r="W22" s="207"/>
      <c r="X22" s="207"/>
      <c r="Y22" s="207"/>
      <c r="Z22" s="207"/>
      <c r="AA22" s="207"/>
      <c r="AB22" s="207"/>
      <c r="AC22" s="207"/>
      <c r="AD22" s="207"/>
      <c r="AE22" s="208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6">
        <v>0.14</v>
      </c>
      <c r="BB22" s="206">
        <v>0.33</v>
      </c>
      <c r="BC22" s="206">
        <v>0.25</v>
      </c>
      <c r="BD22" s="206">
        <v>0.15</v>
      </c>
      <c r="BE22" s="206">
        <v>0.07</v>
      </c>
      <c r="BF22" s="206">
        <v>0.04</v>
      </c>
      <c r="BG22" s="206">
        <v>0.02</v>
      </c>
      <c r="BH22" s="207"/>
      <c r="BI22" s="207"/>
      <c r="BJ22" s="207"/>
      <c r="BK22" s="207"/>
      <c r="BL22" s="207"/>
    </row>
    <row r="23" ht="15.75" customHeight="1">
      <c r="A23" s="43" t="s">
        <v>72</v>
      </c>
      <c r="B23" s="205"/>
      <c r="C23" s="205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6">
        <f>227/255</f>
        <v>0.8901960784</v>
      </c>
      <c r="U23" s="206">
        <v>0.1</v>
      </c>
      <c r="V23" s="206">
        <v>0.01</v>
      </c>
      <c r="W23" s="207"/>
      <c r="X23" s="207"/>
      <c r="Y23" s="207"/>
      <c r="Z23" s="207"/>
      <c r="AA23" s="207"/>
      <c r="AB23" s="207"/>
      <c r="AC23" s="207"/>
      <c r="AD23" s="207"/>
      <c r="AE23" s="208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6">
        <v>0.14</v>
      </c>
      <c r="BC23" s="206">
        <v>0.33</v>
      </c>
      <c r="BD23" s="206">
        <v>0.25</v>
      </c>
      <c r="BE23" s="206">
        <v>0.15</v>
      </c>
      <c r="BF23" s="206">
        <v>0.07</v>
      </c>
      <c r="BG23" s="206">
        <v>0.04</v>
      </c>
      <c r="BH23" s="206">
        <v>0.02</v>
      </c>
      <c r="BI23" s="207"/>
      <c r="BJ23" s="207"/>
      <c r="BK23" s="207"/>
      <c r="BL23" s="207"/>
    </row>
    <row r="24" ht="15.75" customHeight="1">
      <c r="A24" s="43" t="s">
        <v>73</v>
      </c>
      <c r="B24" s="205"/>
      <c r="C24" s="205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6">
        <f>227/255</f>
        <v>0.8901960784</v>
      </c>
      <c r="V24" s="206">
        <v>0.1</v>
      </c>
      <c r="W24" s="206">
        <v>0.01</v>
      </c>
      <c r="X24" s="207"/>
      <c r="Y24" s="207"/>
      <c r="Z24" s="207"/>
      <c r="AA24" s="207"/>
      <c r="AB24" s="207"/>
      <c r="AC24" s="207"/>
      <c r="AD24" s="207"/>
      <c r="AE24" s="208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6">
        <v>0.14</v>
      </c>
      <c r="BD24" s="206">
        <v>0.33</v>
      </c>
      <c r="BE24" s="206">
        <v>0.25</v>
      </c>
      <c r="BF24" s="206">
        <v>0.15</v>
      </c>
      <c r="BG24" s="206">
        <v>0.07</v>
      </c>
      <c r="BH24" s="206">
        <v>0.04</v>
      </c>
      <c r="BI24" s="206">
        <v>0.02</v>
      </c>
      <c r="BJ24" s="207"/>
      <c r="BK24" s="207"/>
      <c r="BL24" s="207"/>
    </row>
    <row r="25" ht="15.75" customHeight="1">
      <c r="A25" s="43" t="s">
        <v>74</v>
      </c>
      <c r="B25" s="205"/>
      <c r="C25" s="205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6">
        <f>227/255</f>
        <v>0.8901960784</v>
      </c>
      <c r="W25" s="206">
        <v>0.1</v>
      </c>
      <c r="X25" s="206">
        <v>0.01</v>
      </c>
      <c r="Y25" s="207"/>
      <c r="Z25" s="207"/>
      <c r="AA25" s="207"/>
      <c r="AB25" s="207"/>
      <c r="AC25" s="207"/>
      <c r="AD25" s="207"/>
      <c r="AE25" s="208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6">
        <v>0.14</v>
      </c>
      <c r="BE25" s="206">
        <v>0.33</v>
      </c>
      <c r="BF25" s="206">
        <v>0.25</v>
      </c>
      <c r="BG25" s="206">
        <v>0.15</v>
      </c>
      <c r="BH25" s="206">
        <v>0.07</v>
      </c>
      <c r="BI25" s="206">
        <v>0.04</v>
      </c>
      <c r="BJ25" s="206">
        <v>0.02</v>
      </c>
      <c r="BK25" s="207"/>
      <c r="BL25" s="207"/>
    </row>
    <row r="26" ht="15.75" customHeight="1">
      <c r="A26" s="43" t="s">
        <v>75</v>
      </c>
      <c r="B26" s="205"/>
      <c r="C26" s="205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6">
        <f>227/255</f>
        <v>0.8901960784</v>
      </c>
      <c r="X26" s="206">
        <v>0.1</v>
      </c>
      <c r="Y26" s="206">
        <v>0.01</v>
      </c>
      <c r="Z26" s="207"/>
      <c r="AA26" s="207"/>
      <c r="AB26" s="207"/>
      <c r="AC26" s="207"/>
      <c r="AD26" s="207"/>
      <c r="AE26" s="208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6">
        <v>0.14</v>
      </c>
      <c r="BF26" s="206">
        <v>0.33</v>
      </c>
      <c r="BG26" s="206">
        <v>0.25</v>
      </c>
      <c r="BH26" s="206">
        <v>0.15</v>
      </c>
      <c r="BI26" s="206">
        <v>0.07</v>
      </c>
      <c r="BJ26" s="206">
        <v>0.04</v>
      </c>
      <c r="BK26" s="206">
        <v>0.02</v>
      </c>
      <c r="BL26" s="207"/>
    </row>
    <row r="27" ht="15.75" customHeight="1">
      <c r="A27" s="43" t="s">
        <v>76</v>
      </c>
      <c r="B27" s="205"/>
      <c r="C27" s="205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6">
        <f>227/255</f>
        <v>0.8901960784</v>
      </c>
      <c r="Y27" s="206">
        <v>0.1</v>
      </c>
      <c r="Z27" s="206">
        <v>0.01</v>
      </c>
      <c r="AA27" s="207"/>
      <c r="AB27" s="207"/>
      <c r="AC27" s="207"/>
      <c r="AD27" s="207"/>
      <c r="AE27" s="208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6">
        <v>0.14</v>
      </c>
      <c r="BG27" s="206">
        <v>0.33</v>
      </c>
      <c r="BH27" s="206">
        <v>0.25</v>
      </c>
      <c r="BI27" s="206">
        <v>0.15</v>
      </c>
      <c r="BJ27" s="206">
        <v>0.07</v>
      </c>
      <c r="BK27" s="206">
        <v>0.04</v>
      </c>
      <c r="BL27" s="206">
        <v>0.02</v>
      </c>
    </row>
    <row r="28" ht="15.75" customHeight="1">
      <c r="A28" s="43" t="s">
        <v>77</v>
      </c>
      <c r="B28" s="205"/>
      <c r="C28" s="205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6">
        <f>227/255</f>
        <v>0.8901960784</v>
      </c>
      <c r="Z28" s="206">
        <v>0.1</v>
      </c>
      <c r="AA28" s="206">
        <v>0.01</v>
      </c>
      <c r="AB28" s="207"/>
      <c r="AC28" s="207"/>
      <c r="AD28" s="207"/>
      <c r="AE28" s="208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6">
        <v>0.14</v>
      </c>
      <c r="BH28" s="206">
        <v>0.33</v>
      </c>
      <c r="BI28" s="206">
        <v>0.25</v>
      </c>
      <c r="BJ28" s="206">
        <v>0.15</v>
      </c>
      <c r="BK28" s="206">
        <v>0.07</v>
      </c>
      <c r="BL28" s="206">
        <v>0.04</v>
      </c>
    </row>
    <row r="29" ht="15.75" customHeight="1">
      <c r="A29" s="43" t="s">
        <v>78</v>
      </c>
      <c r="B29" s="205"/>
      <c r="C29" s="205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6">
        <v>0.89</v>
      </c>
      <c r="AA29" s="206">
        <v>0.1</v>
      </c>
      <c r="AB29" s="206">
        <v>0.01</v>
      </c>
      <c r="AC29" s="207"/>
      <c r="AD29" s="207"/>
      <c r="AE29" s="208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6">
        <v>0.14</v>
      </c>
      <c r="BI29" s="206">
        <v>0.33</v>
      </c>
      <c r="BJ29" s="206">
        <v>0.25</v>
      </c>
      <c r="BK29" s="206">
        <v>0.15</v>
      </c>
      <c r="BL29" s="206">
        <v>0.07</v>
      </c>
    </row>
    <row r="30" ht="15.75" customHeight="1">
      <c r="A30" s="43" t="s">
        <v>79</v>
      </c>
      <c r="B30" s="205"/>
      <c r="C30" s="205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6">
        <v>0.89</v>
      </c>
      <c r="AB30" s="206">
        <v>0.1</v>
      </c>
      <c r="AC30" s="206">
        <v>0.01</v>
      </c>
      <c r="AD30" s="207"/>
      <c r="AE30" s="208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6">
        <v>0.14</v>
      </c>
      <c r="BJ30" s="206">
        <v>0.33</v>
      </c>
      <c r="BK30" s="206">
        <v>0.25</v>
      </c>
      <c r="BL30" s="206">
        <v>0.15</v>
      </c>
    </row>
    <row r="31" ht="15.75" customHeight="1">
      <c r="A31" s="43" t="s">
        <v>80</v>
      </c>
      <c r="B31" s="205"/>
      <c r="C31" s="205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6">
        <v>0.89</v>
      </c>
      <c r="AC31" s="206">
        <v>0.1</v>
      </c>
      <c r="AD31" s="206">
        <v>0.01</v>
      </c>
      <c r="AE31" s="208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6">
        <v>0.14</v>
      </c>
      <c r="BK31" s="206">
        <v>0.33</v>
      </c>
      <c r="BL31" s="206">
        <v>0.25</v>
      </c>
    </row>
    <row r="32" ht="15.75" customHeight="1">
      <c r="A32" s="43" t="s">
        <v>81</v>
      </c>
      <c r="B32" s="205"/>
      <c r="C32" s="205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6">
        <v>0.89</v>
      </c>
      <c r="AD32" s="206">
        <v>0.1</v>
      </c>
      <c r="AE32" s="208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6">
        <v>0.14</v>
      </c>
      <c r="BL32" s="206">
        <v>0.33</v>
      </c>
    </row>
    <row r="33" ht="15.75" customHeight="1">
      <c r="A33" s="43" t="s">
        <v>82</v>
      </c>
      <c r="B33" s="205"/>
      <c r="C33" s="205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6">
        <v>0.89</v>
      </c>
      <c r="AE33" s="208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6">
        <v>0.14</v>
      </c>
    </row>
    <row r="34" ht="15.75" customHeight="1">
      <c r="A34" s="205"/>
      <c r="B34" s="209" t="s">
        <v>54</v>
      </c>
      <c r="C34" s="209" t="s">
        <v>170</v>
      </c>
      <c r="D34" s="209" t="s">
        <v>7</v>
      </c>
      <c r="E34" s="209" t="s">
        <v>8</v>
      </c>
      <c r="F34" s="209" t="s">
        <v>9</v>
      </c>
      <c r="G34" s="209" t="s">
        <v>10</v>
      </c>
      <c r="H34" s="209" t="s">
        <v>11</v>
      </c>
      <c r="I34" s="209" t="s">
        <v>12</v>
      </c>
      <c r="J34" s="209" t="s">
        <v>13</v>
      </c>
      <c r="K34" s="209" t="s">
        <v>63</v>
      </c>
      <c r="L34" s="209" t="s">
        <v>64</v>
      </c>
      <c r="M34" s="209" t="s">
        <v>65</v>
      </c>
      <c r="N34" s="209" t="s">
        <v>66</v>
      </c>
      <c r="O34" s="209" t="s">
        <v>67</v>
      </c>
      <c r="P34" s="209" t="s">
        <v>68</v>
      </c>
      <c r="Q34" s="209" t="s">
        <v>69</v>
      </c>
      <c r="R34" s="209" t="s">
        <v>70</v>
      </c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04"/>
      <c r="AF34" s="209" t="s">
        <v>14</v>
      </c>
      <c r="AG34" s="209" t="s">
        <v>2</v>
      </c>
      <c r="AH34" s="209" t="s">
        <v>3</v>
      </c>
      <c r="AI34" s="209" t="s">
        <v>4</v>
      </c>
      <c r="AJ34" s="209" t="s">
        <v>5</v>
      </c>
      <c r="AK34" s="209" t="s">
        <v>6</v>
      </c>
      <c r="AL34" s="209" t="s">
        <v>7</v>
      </c>
      <c r="AM34" s="209" t="s">
        <v>8</v>
      </c>
      <c r="AN34" s="209" t="s">
        <v>9</v>
      </c>
      <c r="AO34" s="209" t="s">
        <v>10</v>
      </c>
      <c r="AP34" s="209" t="s">
        <v>11</v>
      </c>
      <c r="AQ34" s="209" t="s">
        <v>12</v>
      </c>
      <c r="AR34" s="209" t="s">
        <v>13</v>
      </c>
      <c r="AS34" s="209" t="s">
        <v>63</v>
      </c>
      <c r="AT34" s="209" t="s">
        <v>64</v>
      </c>
      <c r="AU34" s="209" t="s">
        <v>65</v>
      </c>
      <c r="AV34" s="209" t="s">
        <v>66</v>
      </c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</row>
    <row r="35" ht="15.75" customHeight="1">
      <c r="A35" s="209" t="s">
        <v>2</v>
      </c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04"/>
      <c r="AF35" s="212">
        <v>0.0</v>
      </c>
      <c r="AG35" s="53">
        <f t="shared" ref="AG35:AM35" si="1">$AF35*AG2</f>
        <v>0</v>
      </c>
      <c r="AH35" s="53">
        <f t="shared" si="1"/>
        <v>0</v>
      </c>
      <c r="AI35" s="53">
        <f t="shared" si="1"/>
        <v>0</v>
      </c>
      <c r="AJ35" s="53">
        <f t="shared" si="1"/>
        <v>0</v>
      </c>
      <c r="AK35" s="53">
        <f t="shared" si="1"/>
        <v>0</v>
      </c>
      <c r="AL35" s="53">
        <f t="shared" si="1"/>
        <v>0</v>
      </c>
      <c r="AM35" s="53">
        <f t="shared" si="1"/>
        <v>0</v>
      </c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</row>
    <row r="36" ht="15.75" customHeight="1">
      <c r="A36" s="209" t="s">
        <v>3</v>
      </c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04"/>
      <c r="AF36" s="212">
        <v>0.0</v>
      </c>
      <c r="AG36" s="211"/>
      <c r="AH36" s="53">
        <f t="shared" ref="AH36:AN36" si="2">$AF36*AH3</f>
        <v>0</v>
      </c>
      <c r="AI36" s="53">
        <f t="shared" si="2"/>
        <v>0</v>
      </c>
      <c r="AJ36" s="53">
        <f t="shared" si="2"/>
        <v>0</v>
      </c>
      <c r="AK36" s="53">
        <f t="shared" si="2"/>
        <v>0</v>
      </c>
      <c r="AL36" s="53">
        <f t="shared" si="2"/>
        <v>0</v>
      </c>
      <c r="AM36" s="53">
        <f t="shared" si="2"/>
        <v>0</v>
      </c>
      <c r="AN36" s="53">
        <f t="shared" si="2"/>
        <v>0</v>
      </c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</row>
    <row r="37" ht="15.75" customHeight="1">
      <c r="A37" s="209" t="s">
        <v>4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04"/>
      <c r="AF37" s="212">
        <v>0.0</v>
      </c>
      <c r="AG37" s="207"/>
      <c r="AH37" s="211"/>
      <c r="AI37" s="53">
        <f t="shared" ref="AI37:AO37" si="3">$AF37*AI4</f>
        <v>0</v>
      </c>
      <c r="AJ37" s="53">
        <f t="shared" si="3"/>
        <v>0</v>
      </c>
      <c r="AK37" s="53">
        <f t="shared" si="3"/>
        <v>0</v>
      </c>
      <c r="AL37" s="53">
        <f t="shared" si="3"/>
        <v>0</v>
      </c>
      <c r="AM37" s="53">
        <f t="shared" si="3"/>
        <v>0</v>
      </c>
      <c r="AN37" s="53">
        <f t="shared" si="3"/>
        <v>0</v>
      </c>
      <c r="AO37" s="53">
        <f t="shared" si="3"/>
        <v>0</v>
      </c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</row>
    <row r="38" ht="15.75" customHeight="1">
      <c r="A38" s="209" t="s">
        <v>5</v>
      </c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04"/>
      <c r="AF38" s="212">
        <v>0.0</v>
      </c>
      <c r="AG38" s="207"/>
      <c r="AH38" s="211"/>
      <c r="AI38" s="211"/>
      <c r="AJ38" s="53">
        <f t="shared" ref="AJ38:AP38" si="4">$AF38*AJ5</f>
        <v>0</v>
      </c>
      <c r="AK38" s="53">
        <f t="shared" si="4"/>
        <v>0</v>
      </c>
      <c r="AL38" s="53">
        <f t="shared" si="4"/>
        <v>0</v>
      </c>
      <c r="AM38" s="53">
        <f t="shared" si="4"/>
        <v>0</v>
      </c>
      <c r="AN38" s="53">
        <f t="shared" si="4"/>
        <v>0</v>
      </c>
      <c r="AO38" s="53">
        <f t="shared" si="4"/>
        <v>0</v>
      </c>
      <c r="AP38" s="53">
        <f t="shared" si="4"/>
        <v>0</v>
      </c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</row>
    <row r="39" ht="15.75" customHeight="1">
      <c r="A39" s="209" t="s">
        <v>6</v>
      </c>
      <c r="B39" s="159"/>
      <c r="C39" s="159"/>
      <c r="D39" s="53">
        <f>$B39*D6</f>
        <v>0</v>
      </c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04"/>
      <c r="AF39" s="212">
        <v>0.0</v>
      </c>
      <c r="AG39" s="207"/>
      <c r="AH39" s="211"/>
      <c r="AI39" s="211"/>
      <c r="AJ39" s="211"/>
      <c r="AK39" s="53">
        <f t="shared" ref="AK39:AQ39" si="5">$AF39*AK6</f>
        <v>0</v>
      </c>
      <c r="AL39" s="53">
        <f t="shared" si="5"/>
        <v>0</v>
      </c>
      <c r="AM39" s="53">
        <f t="shared" si="5"/>
        <v>0</v>
      </c>
      <c r="AN39" s="53">
        <f t="shared" si="5"/>
        <v>0</v>
      </c>
      <c r="AO39" s="53">
        <f t="shared" si="5"/>
        <v>0</v>
      </c>
      <c r="AP39" s="53">
        <f t="shared" si="5"/>
        <v>0</v>
      </c>
      <c r="AQ39" s="53">
        <f t="shared" si="5"/>
        <v>0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</row>
    <row r="40" ht="15.75" customHeight="1">
      <c r="A40" s="209" t="s">
        <v>7</v>
      </c>
      <c r="B40" s="205"/>
      <c r="C40" s="207"/>
      <c r="D40" s="53">
        <f t="shared" ref="D40:F40" si="6">$B40*D7*$C40</f>
        <v>0</v>
      </c>
      <c r="E40" s="53">
        <f t="shared" si="6"/>
        <v>0</v>
      </c>
      <c r="F40" s="53">
        <f t="shared" si="6"/>
        <v>0</v>
      </c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5"/>
      <c r="AF40" s="216">
        <f t="array" ref="AF40:AF66">transpose(D67:AD67)</f>
        <v>0</v>
      </c>
      <c r="AG40" s="207"/>
      <c r="AH40" s="211"/>
      <c r="AI40" s="211"/>
      <c r="AJ40" s="211"/>
      <c r="AK40" s="211"/>
      <c r="AL40" s="53">
        <f t="shared" ref="AL40:AR40" si="7">$AF40*AL7</f>
        <v>0</v>
      </c>
      <c r="AM40" s="53">
        <f t="shared" si="7"/>
        <v>0</v>
      </c>
      <c r="AN40" s="53">
        <f t="shared" si="7"/>
        <v>0</v>
      </c>
      <c r="AO40" s="53">
        <f t="shared" si="7"/>
        <v>0</v>
      </c>
      <c r="AP40" s="53">
        <f t="shared" si="7"/>
        <v>0</v>
      </c>
      <c r="AQ40" s="53">
        <f t="shared" si="7"/>
        <v>0</v>
      </c>
      <c r="AR40" s="53">
        <f t="shared" si="7"/>
        <v>0</v>
      </c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</row>
    <row r="41" ht="15.75" customHeight="1">
      <c r="A41" s="209" t="s">
        <v>8</v>
      </c>
      <c r="B41" s="205"/>
      <c r="C41" s="207"/>
      <c r="D41" s="211"/>
      <c r="E41" s="53">
        <f t="shared" ref="E41:G41" si="8">$B41*E8*$C41</f>
        <v>0</v>
      </c>
      <c r="F41" s="53">
        <f t="shared" si="8"/>
        <v>0</v>
      </c>
      <c r="G41" s="53">
        <f t="shared" si="8"/>
        <v>0</v>
      </c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7"/>
      <c r="AF41" s="53">
        <v>0.0</v>
      </c>
      <c r="AG41" s="207"/>
      <c r="AH41" s="211"/>
      <c r="AI41" s="211"/>
      <c r="AJ41" s="211"/>
      <c r="AK41" s="211"/>
      <c r="AL41" s="211"/>
      <c r="AM41" s="53">
        <f t="shared" ref="AM41:AS41" si="9">$AF41*AM8</f>
        <v>0</v>
      </c>
      <c r="AN41" s="53">
        <f t="shared" si="9"/>
        <v>0</v>
      </c>
      <c r="AO41" s="53">
        <f t="shared" si="9"/>
        <v>0</v>
      </c>
      <c r="AP41" s="53">
        <f t="shared" si="9"/>
        <v>0</v>
      </c>
      <c r="AQ41" s="53">
        <f t="shared" si="9"/>
        <v>0</v>
      </c>
      <c r="AR41" s="53">
        <f t="shared" si="9"/>
        <v>0</v>
      </c>
      <c r="AS41" s="53">
        <f t="shared" si="9"/>
        <v>0</v>
      </c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</row>
    <row r="42" ht="15.75" customHeight="1">
      <c r="A42" s="209" t="s">
        <v>9</v>
      </c>
      <c r="B42" s="205"/>
      <c r="C42" s="207"/>
      <c r="D42" s="205"/>
      <c r="E42" s="211"/>
      <c r="F42" s="53">
        <f t="shared" ref="F42:H42" si="10">$B42*F9*$C42</f>
        <v>0</v>
      </c>
      <c r="G42" s="53">
        <f t="shared" si="10"/>
        <v>0</v>
      </c>
      <c r="H42" s="53">
        <f t="shared" si="10"/>
        <v>0</v>
      </c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7"/>
      <c r="AF42" s="53">
        <v>0.0</v>
      </c>
      <c r="AG42" s="207"/>
      <c r="AH42" s="211"/>
      <c r="AI42" s="211"/>
      <c r="AJ42" s="211"/>
      <c r="AK42" s="211"/>
      <c r="AL42" s="211"/>
      <c r="AM42" s="211"/>
      <c r="AN42" s="53">
        <f t="shared" ref="AN42:AT42" si="11">$AF42*AN9</f>
        <v>0</v>
      </c>
      <c r="AO42" s="53">
        <f t="shared" si="11"/>
        <v>0</v>
      </c>
      <c r="AP42" s="53">
        <f t="shared" si="11"/>
        <v>0</v>
      </c>
      <c r="AQ42" s="53">
        <f t="shared" si="11"/>
        <v>0</v>
      </c>
      <c r="AR42" s="53">
        <f t="shared" si="11"/>
        <v>0</v>
      </c>
      <c r="AS42" s="53">
        <f t="shared" si="11"/>
        <v>0</v>
      </c>
      <c r="AT42" s="53">
        <f t="shared" si="11"/>
        <v>0</v>
      </c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</row>
    <row r="43" ht="15.75" customHeight="1">
      <c r="A43" s="209" t="s">
        <v>10</v>
      </c>
      <c r="B43" s="247">
        <v>0.0</v>
      </c>
      <c r="C43" s="214">
        <v>0.15</v>
      </c>
      <c r="D43" s="205"/>
      <c r="E43" s="205"/>
      <c r="F43" s="211"/>
      <c r="G43" s="53">
        <f t="shared" ref="G43:I43" si="12">$B43*G10*$C43</f>
        <v>0</v>
      </c>
      <c r="H43" s="53">
        <f t="shared" si="12"/>
        <v>0</v>
      </c>
      <c r="I43" s="53">
        <f t="shared" si="12"/>
        <v>0</v>
      </c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7"/>
      <c r="AF43" s="53">
        <v>0.0</v>
      </c>
      <c r="AG43" s="207"/>
      <c r="AH43" s="211"/>
      <c r="AI43" s="211"/>
      <c r="AJ43" s="211"/>
      <c r="AK43" s="211"/>
      <c r="AL43" s="211"/>
      <c r="AM43" s="211"/>
      <c r="AN43" s="211"/>
      <c r="AO43" s="53">
        <f t="shared" ref="AO43:AU43" si="13">$AF43*AO10</f>
        <v>0</v>
      </c>
      <c r="AP43" s="53">
        <f t="shared" si="13"/>
        <v>0</v>
      </c>
      <c r="AQ43" s="53">
        <f t="shared" si="13"/>
        <v>0</v>
      </c>
      <c r="AR43" s="53">
        <f t="shared" si="13"/>
        <v>0</v>
      </c>
      <c r="AS43" s="53">
        <f t="shared" si="13"/>
        <v>0</v>
      </c>
      <c r="AT43" s="53">
        <f t="shared" si="13"/>
        <v>0</v>
      </c>
      <c r="AU43" s="53">
        <f t="shared" si="13"/>
        <v>0</v>
      </c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</row>
    <row r="44" ht="15.75" customHeight="1">
      <c r="A44" s="209" t="s">
        <v>11</v>
      </c>
      <c r="B44" s="213">
        <v>0.0</v>
      </c>
      <c r="C44" s="214">
        <v>0.15</v>
      </c>
      <c r="D44" s="205"/>
      <c r="E44" s="205"/>
      <c r="F44" s="205"/>
      <c r="G44" s="205"/>
      <c r="H44" s="53">
        <f t="shared" ref="H44:J44" si="14">$B44*H11*$C44</f>
        <v>0</v>
      </c>
      <c r="I44" s="53">
        <f t="shared" si="14"/>
        <v>0</v>
      </c>
      <c r="J44" s="53">
        <f t="shared" si="14"/>
        <v>0</v>
      </c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7"/>
      <c r="AF44" s="53">
        <v>0.0</v>
      </c>
      <c r="AG44" s="207"/>
      <c r="AH44" s="211"/>
      <c r="AI44" s="211"/>
      <c r="AJ44" s="211"/>
      <c r="AK44" s="211"/>
      <c r="AL44" s="211"/>
      <c r="AM44" s="211"/>
      <c r="AN44" s="211"/>
      <c r="AO44" s="211"/>
      <c r="AP44" s="53">
        <f t="shared" ref="AP44:AV44" si="15">$AF44*AP11</f>
        <v>0</v>
      </c>
      <c r="AQ44" s="53">
        <f t="shared" si="15"/>
        <v>0</v>
      </c>
      <c r="AR44" s="53">
        <f t="shared" si="15"/>
        <v>0</v>
      </c>
      <c r="AS44" s="53">
        <f t="shared" si="15"/>
        <v>0</v>
      </c>
      <c r="AT44" s="53">
        <f t="shared" si="15"/>
        <v>0</v>
      </c>
      <c r="AU44" s="53">
        <f t="shared" si="15"/>
        <v>0</v>
      </c>
      <c r="AV44" s="53">
        <f t="shared" si="15"/>
        <v>0</v>
      </c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</row>
    <row r="45" ht="15.75" customHeight="1">
      <c r="A45" s="209" t="s">
        <v>12</v>
      </c>
      <c r="B45" s="213">
        <v>0.0</v>
      </c>
      <c r="C45" s="214">
        <v>0.15</v>
      </c>
      <c r="D45" s="205"/>
      <c r="E45" s="205"/>
      <c r="F45" s="205"/>
      <c r="G45" s="205"/>
      <c r="H45" s="205"/>
      <c r="I45" s="53">
        <f t="shared" ref="I45:K45" si="16">$B45*I12*$C45</f>
        <v>0</v>
      </c>
      <c r="J45" s="53">
        <f t="shared" si="16"/>
        <v>0</v>
      </c>
      <c r="K45" s="53">
        <f t="shared" si="16"/>
        <v>0</v>
      </c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7"/>
      <c r="AF45" s="53">
        <v>0.0</v>
      </c>
      <c r="AG45" s="207"/>
      <c r="AH45" s="211"/>
      <c r="AI45" s="211"/>
      <c r="AJ45" s="211"/>
      <c r="AK45" s="211"/>
      <c r="AL45" s="211"/>
      <c r="AM45" s="211"/>
      <c r="AN45" s="211"/>
      <c r="AO45" s="211"/>
      <c r="AP45" s="211"/>
      <c r="AQ45" s="53">
        <f t="shared" ref="AQ45:AW45" si="17">$AF45*AQ12</f>
        <v>0</v>
      </c>
      <c r="AR45" s="53">
        <f t="shared" si="17"/>
        <v>0</v>
      </c>
      <c r="AS45" s="53">
        <f t="shared" si="17"/>
        <v>0</v>
      </c>
      <c r="AT45" s="53">
        <f t="shared" si="17"/>
        <v>0</v>
      </c>
      <c r="AU45" s="53">
        <f t="shared" si="17"/>
        <v>0</v>
      </c>
      <c r="AV45" s="53">
        <f t="shared" si="17"/>
        <v>0</v>
      </c>
      <c r="AW45" s="53">
        <f t="shared" si="17"/>
        <v>0</v>
      </c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</row>
    <row r="46" ht="15.75" customHeight="1">
      <c r="A46" s="209" t="s">
        <v>13</v>
      </c>
      <c r="B46" s="213">
        <v>0.0</v>
      </c>
      <c r="C46" s="214">
        <v>0.15</v>
      </c>
      <c r="D46" s="205"/>
      <c r="E46" s="205"/>
      <c r="F46" s="205"/>
      <c r="G46" s="205"/>
      <c r="H46" s="205"/>
      <c r="I46" s="205"/>
      <c r="J46" s="53">
        <f t="shared" ref="J46:L46" si="18">$B46*J13*$C46</f>
        <v>0</v>
      </c>
      <c r="K46" s="53">
        <f t="shared" si="18"/>
        <v>0</v>
      </c>
      <c r="L46" s="53">
        <f t="shared" si="18"/>
        <v>0</v>
      </c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7"/>
      <c r="AF46" s="53">
        <v>0.0</v>
      </c>
      <c r="AG46" s="207"/>
      <c r="AH46" s="211"/>
      <c r="AI46" s="211"/>
      <c r="AJ46" s="211"/>
      <c r="AK46" s="211"/>
      <c r="AL46" s="211"/>
      <c r="AM46" s="211"/>
      <c r="AN46" s="211"/>
      <c r="AO46" s="211"/>
      <c r="AP46" s="207"/>
      <c r="AQ46" s="211"/>
      <c r="AR46" s="53">
        <f t="shared" ref="AR46:AX46" si="19">$AF46*AR13</f>
        <v>0</v>
      </c>
      <c r="AS46" s="53">
        <f t="shared" si="19"/>
        <v>0</v>
      </c>
      <c r="AT46" s="53">
        <f t="shared" si="19"/>
        <v>0</v>
      </c>
      <c r="AU46" s="53">
        <f t="shared" si="19"/>
        <v>0</v>
      </c>
      <c r="AV46" s="53">
        <f t="shared" si="19"/>
        <v>0</v>
      </c>
      <c r="AW46" s="53">
        <f t="shared" si="19"/>
        <v>0</v>
      </c>
      <c r="AX46" s="53">
        <f t="shared" si="19"/>
        <v>0</v>
      </c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</row>
    <row r="47" ht="15.75" customHeight="1">
      <c r="A47" s="209" t="s">
        <v>63</v>
      </c>
      <c r="B47" s="213">
        <v>0.0</v>
      </c>
      <c r="C47" s="214">
        <v>0.15</v>
      </c>
      <c r="D47" s="205"/>
      <c r="E47" s="205"/>
      <c r="F47" s="205"/>
      <c r="G47" s="205"/>
      <c r="H47" s="205"/>
      <c r="I47" s="205"/>
      <c r="J47" s="211"/>
      <c r="K47" s="53">
        <f t="shared" ref="K47:M47" si="20">$B47*K14*$C47</f>
        <v>0</v>
      </c>
      <c r="L47" s="53">
        <f t="shared" si="20"/>
        <v>0</v>
      </c>
      <c r="M47" s="53">
        <f t="shared" si="20"/>
        <v>0</v>
      </c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7"/>
      <c r="AF47" s="53">
        <v>0.0</v>
      </c>
      <c r="AG47" s="207"/>
      <c r="AH47" s="211"/>
      <c r="AI47" s="211"/>
      <c r="AJ47" s="211"/>
      <c r="AK47" s="211"/>
      <c r="AL47" s="211"/>
      <c r="AM47" s="211"/>
      <c r="AN47" s="211"/>
      <c r="AO47" s="211"/>
      <c r="AP47" s="207"/>
      <c r="AQ47" s="211"/>
      <c r="AR47" s="211"/>
      <c r="AS47" s="53">
        <f t="shared" ref="AS47:AY47" si="21">$AF47*AS14</f>
        <v>0</v>
      </c>
      <c r="AT47" s="53">
        <f t="shared" si="21"/>
        <v>0</v>
      </c>
      <c r="AU47" s="53">
        <f t="shared" si="21"/>
        <v>0</v>
      </c>
      <c r="AV47" s="53">
        <f t="shared" si="21"/>
        <v>0</v>
      </c>
      <c r="AW47" s="53">
        <f t="shared" si="21"/>
        <v>0</v>
      </c>
      <c r="AX47" s="53">
        <f t="shared" si="21"/>
        <v>0</v>
      </c>
      <c r="AY47" s="53">
        <f t="shared" si="21"/>
        <v>0</v>
      </c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</row>
    <row r="48" ht="15.75" customHeight="1">
      <c r="A48" s="209" t="s">
        <v>64</v>
      </c>
      <c r="B48" s="213">
        <v>10.0</v>
      </c>
      <c r="C48" s="214">
        <v>0.15</v>
      </c>
      <c r="D48" s="205"/>
      <c r="E48" s="205"/>
      <c r="F48" s="205"/>
      <c r="G48" s="205"/>
      <c r="H48" s="205"/>
      <c r="I48" s="205"/>
      <c r="J48" s="211"/>
      <c r="K48" s="211"/>
      <c r="L48" s="53">
        <f t="shared" ref="L48:N48" si="22">$B48*L15*$C48</f>
        <v>1.335294118</v>
      </c>
      <c r="M48" s="53">
        <f t="shared" si="22"/>
        <v>0.15</v>
      </c>
      <c r="N48" s="53">
        <f t="shared" si="22"/>
        <v>0.015</v>
      </c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7"/>
      <c r="AF48" s="53">
        <v>1.3352941176470587</v>
      </c>
      <c r="AG48" s="207"/>
      <c r="AH48" s="211"/>
      <c r="AI48" s="211"/>
      <c r="AJ48" s="211"/>
      <c r="AK48" s="211"/>
      <c r="AL48" s="211"/>
      <c r="AM48" s="211"/>
      <c r="AN48" s="211"/>
      <c r="AO48" s="211"/>
      <c r="AP48" s="207"/>
      <c r="AQ48" s="211"/>
      <c r="AR48" s="211"/>
      <c r="AS48" s="211"/>
      <c r="AT48" s="53">
        <f t="shared" ref="AT48:AZ48" si="23">$AF48*AT15</f>
        <v>0.1869411765</v>
      </c>
      <c r="AU48" s="53">
        <f t="shared" si="23"/>
        <v>0.4406470588</v>
      </c>
      <c r="AV48" s="53">
        <f t="shared" si="23"/>
        <v>0.3338235294</v>
      </c>
      <c r="AW48" s="53">
        <f t="shared" si="23"/>
        <v>0.2002941176</v>
      </c>
      <c r="AX48" s="53">
        <f t="shared" si="23"/>
        <v>0.09347058824</v>
      </c>
      <c r="AY48" s="53">
        <f t="shared" si="23"/>
        <v>0.05341176471</v>
      </c>
      <c r="AZ48" s="53">
        <f t="shared" si="23"/>
        <v>0.02670588235</v>
      </c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</row>
    <row r="49" ht="15.75" customHeight="1">
      <c r="A49" s="209" t="s">
        <v>65</v>
      </c>
      <c r="B49" s="213">
        <v>10.0</v>
      </c>
      <c r="C49" s="214">
        <v>0.15</v>
      </c>
      <c r="D49" s="205"/>
      <c r="E49" s="205"/>
      <c r="F49" s="205"/>
      <c r="G49" s="205"/>
      <c r="H49" s="205"/>
      <c r="I49" s="205"/>
      <c r="J49" s="211"/>
      <c r="K49" s="211"/>
      <c r="L49" s="211"/>
      <c r="M49" s="53">
        <f t="shared" ref="M49:O49" si="24">$B49*M16*$C49</f>
        <v>1.335294118</v>
      </c>
      <c r="N49" s="53">
        <f t="shared" si="24"/>
        <v>0.15</v>
      </c>
      <c r="O49" s="53">
        <f t="shared" si="24"/>
        <v>0.015</v>
      </c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7"/>
      <c r="AF49" s="53">
        <v>1.4852941176470587</v>
      </c>
      <c r="AG49" s="207"/>
      <c r="AH49" s="211"/>
      <c r="AI49" s="211"/>
      <c r="AJ49" s="211"/>
      <c r="AK49" s="211"/>
      <c r="AL49" s="211"/>
      <c r="AM49" s="211"/>
      <c r="AN49" s="211"/>
      <c r="AO49" s="211"/>
      <c r="AP49" s="207"/>
      <c r="AQ49" s="211"/>
      <c r="AR49" s="211"/>
      <c r="AS49" s="211"/>
      <c r="AT49" s="211"/>
      <c r="AU49" s="53">
        <f t="shared" ref="AU49:BA49" si="25">$AF49*AU16</f>
        <v>0.2079411765</v>
      </c>
      <c r="AV49" s="53">
        <f t="shared" si="25"/>
        <v>0.4901470588</v>
      </c>
      <c r="AW49" s="53">
        <f t="shared" si="25"/>
        <v>0.3713235294</v>
      </c>
      <c r="AX49" s="53">
        <f t="shared" si="25"/>
        <v>0.2227941176</v>
      </c>
      <c r="AY49" s="53">
        <f t="shared" si="25"/>
        <v>0.1039705882</v>
      </c>
      <c r="AZ49" s="53">
        <f t="shared" si="25"/>
        <v>0.05941176471</v>
      </c>
      <c r="BA49" s="53">
        <f t="shared" si="25"/>
        <v>0.02970588235</v>
      </c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</row>
    <row r="50" ht="15.75" customHeight="1">
      <c r="A50" s="209" t="s">
        <v>66</v>
      </c>
      <c r="B50" s="213">
        <v>10.0</v>
      </c>
      <c r="C50" s="214">
        <v>0.15</v>
      </c>
      <c r="D50" s="205"/>
      <c r="E50" s="205"/>
      <c r="F50" s="205"/>
      <c r="G50" s="205"/>
      <c r="H50" s="205"/>
      <c r="I50" s="205"/>
      <c r="J50" s="211"/>
      <c r="K50" s="211"/>
      <c r="L50" s="211"/>
      <c r="M50" s="211"/>
      <c r="N50" s="53">
        <f t="shared" ref="N50:P50" si="26">$B50*N17*$C50</f>
        <v>1.335</v>
      </c>
      <c r="O50" s="53">
        <f t="shared" si="26"/>
        <v>0.15</v>
      </c>
      <c r="P50" s="53">
        <f t="shared" si="26"/>
        <v>0.015</v>
      </c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7"/>
      <c r="AF50" s="53">
        <v>1.5</v>
      </c>
      <c r="AG50" s="207"/>
      <c r="AH50" s="211"/>
      <c r="AI50" s="211"/>
      <c r="AJ50" s="211"/>
      <c r="AK50" s="211"/>
      <c r="AL50" s="211"/>
      <c r="AM50" s="211"/>
      <c r="AN50" s="211"/>
      <c r="AO50" s="211"/>
      <c r="AP50" s="207"/>
      <c r="AQ50" s="211"/>
      <c r="AR50" s="211"/>
      <c r="AS50" s="211"/>
      <c r="AT50" s="211"/>
      <c r="AU50" s="211"/>
      <c r="AV50" s="53">
        <f t="shared" ref="AV50:BB50" si="27">$AF50*AV17</f>
        <v>0.21</v>
      </c>
      <c r="AW50" s="53">
        <f t="shared" si="27"/>
        <v>0.495</v>
      </c>
      <c r="AX50" s="53">
        <f t="shared" si="27"/>
        <v>0.375</v>
      </c>
      <c r="AY50" s="53">
        <f t="shared" si="27"/>
        <v>0.225</v>
      </c>
      <c r="AZ50" s="53">
        <f t="shared" si="27"/>
        <v>0.105</v>
      </c>
      <c r="BA50" s="53">
        <f t="shared" si="27"/>
        <v>0.06</v>
      </c>
      <c r="BB50" s="53">
        <f t="shared" si="27"/>
        <v>0.03</v>
      </c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</row>
    <row r="51" ht="15.75" customHeight="1">
      <c r="A51" s="209" t="s">
        <v>67</v>
      </c>
      <c r="B51" s="213">
        <v>23.0</v>
      </c>
      <c r="C51" s="214">
        <v>0.15</v>
      </c>
      <c r="D51" s="205"/>
      <c r="E51" s="205"/>
      <c r="F51" s="205"/>
      <c r="G51" s="205"/>
      <c r="H51" s="205"/>
      <c r="I51" s="205"/>
      <c r="J51" s="211"/>
      <c r="K51" s="211"/>
      <c r="L51" s="211"/>
      <c r="M51" s="211"/>
      <c r="N51" s="211"/>
      <c r="O51" s="53">
        <f t="shared" ref="O51:Q51" si="28">$B51*O18*$C51</f>
        <v>3.0705</v>
      </c>
      <c r="P51" s="53">
        <f t="shared" si="28"/>
        <v>0.345</v>
      </c>
      <c r="Q51" s="53">
        <f t="shared" si="28"/>
        <v>0.0345</v>
      </c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7"/>
      <c r="AF51" s="53">
        <v>3.2354999999999996</v>
      </c>
      <c r="AG51" s="207"/>
      <c r="AH51" s="211"/>
      <c r="AI51" s="211"/>
      <c r="AJ51" s="211"/>
      <c r="AK51" s="211"/>
      <c r="AL51" s="211"/>
      <c r="AM51" s="211"/>
      <c r="AN51" s="211"/>
      <c r="AO51" s="211"/>
      <c r="AP51" s="207"/>
      <c r="AQ51" s="211"/>
      <c r="AR51" s="211"/>
      <c r="AS51" s="211"/>
      <c r="AT51" s="211"/>
      <c r="AU51" s="211"/>
      <c r="AV51" s="211"/>
      <c r="AW51" s="53">
        <f t="shared" ref="AW51:BC51" si="29">$AF51*AW18</f>
        <v>0.45297</v>
      </c>
      <c r="AX51" s="53">
        <f t="shared" si="29"/>
        <v>1.067715</v>
      </c>
      <c r="AY51" s="53">
        <f t="shared" si="29"/>
        <v>0.808875</v>
      </c>
      <c r="AZ51" s="53">
        <f t="shared" si="29"/>
        <v>0.485325</v>
      </c>
      <c r="BA51" s="53">
        <f t="shared" si="29"/>
        <v>0.226485</v>
      </c>
      <c r="BB51" s="53">
        <f t="shared" si="29"/>
        <v>0.12942</v>
      </c>
      <c r="BC51" s="53">
        <f t="shared" si="29"/>
        <v>0.06471</v>
      </c>
      <c r="BD51" s="211"/>
      <c r="BE51" s="211"/>
      <c r="BF51" s="211"/>
      <c r="BG51" s="211"/>
      <c r="BH51" s="211"/>
      <c r="BI51" s="211"/>
      <c r="BJ51" s="211"/>
      <c r="BK51" s="211"/>
      <c r="BL51" s="211"/>
    </row>
    <row r="52" ht="15.75" customHeight="1">
      <c r="A52" s="209" t="s">
        <v>68</v>
      </c>
      <c r="B52" s="213">
        <v>9.0</v>
      </c>
      <c r="C52" s="214">
        <v>0.15</v>
      </c>
      <c r="D52" s="205"/>
      <c r="E52" s="205"/>
      <c r="F52" s="205"/>
      <c r="G52" s="205"/>
      <c r="H52" s="205"/>
      <c r="I52" s="205"/>
      <c r="J52" s="211"/>
      <c r="K52" s="211"/>
      <c r="L52" s="211"/>
      <c r="M52" s="211"/>
      <c r="N52" s="211"/>
      <c r="O52" s="211"/>
      <c r="P52" s="53">
        <f t="shared" ref="P52:R52" si="30">$B52*P19*$C52</f>
        <v>1.2015</v>
      </c>
      <c r="Q52" s="53">
        <f t="shared" si="30"/>
        <v>0.135</v>
      </c>
      <c r="R52" s="53">
        <f t="shared" si="30"/>
        <v>0.0135</v>
      </c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7"/>
      <c r="AF52" s="53">
        <v>1.5615</v>
      </c>
      <c r="AG52" s="211"/>
      <c r="AH52" s="211"/>
      <c r="AI52" s="211"/>
      <c r="AJ52" s="211"/>
      <c r="AK52" s="211"/>
      <c r="AL52" s="211"/>
      <c r="AM52" s="211"/>
      <c r="AN52" s="211"/>
      <c r="AO52" s="211"/>
      <c r="AP52" s="207"/>
      <c r="AQ52" s="211"/>
      <c r="AR52" s="211"/>
      <c r="AS52" s="211"/>
      <c r="AT52" s="211"/>
      <c r="AU52" s="211"/>
      <c r="AV52" s="211"/>
      <c r="AW52" s="211"/>
      <c r="AX52" s="53">
        <f t="shared" ref="AX52:BD52" si="31">$AF52*AX19</f>
        <v>0.21861</v>
      </c>
      <c r="AY52" s="53">
        <f t="shared" si="31"/>
        <v>0.515295</v>
      </c>
      <c r="AZ52" s="53">
        <f t="shared" si="31"/>
        <v>0.390375</v>
      </c>
      <c r="BA52" s="53">
        <f t="shared" si="31"/>
        <v>0.234225</v>
      </c>
      <c r="BB52" s="53">
        <f t="shared" si="31"/>
        <v>0.109305</v>
      </c>
      <c r="BC52" s="53">
        <f t="shared" si="31"/>
        <v>0.06246</v>
      </c>
      <c r="BD52" s="53">
        <f t="shared" si="31"/>
        <v>0.03123</v>
      </c>
      <c r="BE52" s="211"/>
      <c r="BF52" s="211"/>
      <c r="BG52" s="211"/>
      <c r="BH52" s="211"/>
      <c r="BI52" s="211"/>
      <c r="BJ52" s="211"/>
      <c r="BK52" s="211"/>
      <c r="BL52" s="211"/>
    </row>
    <row r="53" ht="15.75" customHeight="1">
      <c r="A53" s="209" t="s">
        <v>69</v>
      </c>
      <c r="B53" s="213">
        <f>sum('BDR Rollout'!L6)</f>
        <v>0</v>
      </c>
      <c r="C53" s="214">
        <v>0.15</v>
      </c>
      <c r="D53" s="205"/>
      <c r="E53" s="205"/>
      <c r="F53" s="205"/>
      <c r="G53" s="205"/>
      <c r="H53" s="205"/>
      <c r="I53" s="205"/>
      <c r="J53" s="211"/>
      <c r="K53" s="211"/>
      <c r="L53" s="211"/>
      <c r="M53" s="211"/>
      <c r="N53" s="211"/>
      <c r="O53" s="211"/>
      <c r="P53" s="211"/>
      <c r="Q53" s="53">
        <f t="shared" ref="Q53:S53" si="32">$B53*Q20*$C53</f>
        <v>0</v>
      </c>
      <c r="R53" s="53">
        <f t="shared" si="32"/>
        <v>0</v>
      </c>
      <c r="S53" s="53">
        <f t="shared" si="32"/>
        <v>0</v>
      </c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7"/>
      <c r="AF53" s="53">
        <v>0.1695</v>
      </c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53">
        <f t="shared" ref="AY53:BE53" si="33">$AF53*AY20</f>
        <v>0.02373</v>
      </c>
      <c r="AZ53" s="53">
        <f t="shared" si="33"/>
        <v>0.055935</v>
      </c>
      <c r="BA53" s="53">
        <f t="shared" si="33"/>
        <v>0.042375</v>
      </c>
      <c r="BB53" s="53">
        <f t="shared" si="33"/>
        <v>0.025425</v>
      </c>
      <c r="BC53" s="53">
        <f t="shared" si="33"/>
        <v>0.011865</v>
      </c>
      <c r="BD53" s="53">
        <f t="shared" si="33"/>
        <v>0.00678</v>
      </c>
      <c r="BE53" s="53">
        <f t="shared" si="33"/>
        <v>0.00339</v>
      </c>
      <c r="BF53" s="211"/>
      <c r="BG53" s="211"/>
      <c r="BH53" s="211"/>
      <c r="BI53" s="211"/>
      <c r="BJ53" s="211"/>
      <c r="BK53" s="211"/>
      <c r="BL53" s="211"/>
    </row>
    <row r="54" ht="15.75" customHeight="1">
      <c r="A54" s="218" t="s">
        <v>70</v>
      </c>
      <c r="B54" s="213">
        <f>sum('BDR Rollout'!L7)</f>
        <v>0</v>
      </c>
      <c r="C54" s="214">
        <v>0.15</v>
      </c>
      <c r="D54" s="205"/>
      <c r="E54" s="205"/>
      <c r="F54" s="205"/>
      <c r="G54" s="205"/>
      <c r="H54" s="205"/>
      <c r="I54" s="205"/>
      <c r="J54" s="211"/>
      <c r="K54" s="211"/>
      <c r="L54" s="211"/>
      <c r="M54" s="211"/>
      <c r="N54" s="211"/>
      <c r="O54" s="211"/>
      <c r="P54" s="211"/>
      <c r="Q54" s="211"/>
      <c r="R54" s="53">
        <f t="shared" ref="R54:T54" si="34">$B54*R21*$C54</f>
        <v>0</v>
      </c>
      <c r="S54" s="53">
        <f t="shared" si="34"/>
        <v>0</v>
      </c>
      <c r="T54" s="53">
        <f t="shared" si="34"/>
        <v>0</v>
      </c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7"/>
      <c r="AF54" s="53">
        <v>0.0135</v>
      </c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53">
        <f t="shared" ref="AZ54:BF54" si="35">$AF54*AZ21</f>
        <v>0.00189</v>
      </c>
      <c r="BA54" s="53">
        <f t="shared" si="35"/>
        <v>0.004455</v>
      </c>
      <c r="BB54" s="53">
        <f t="shared" si="35"/>
        <v>0.003375</v>
      </c>
      <c r="BC54" s="53">
        <f t="shared" si="35"/>
        <v>0.002025</v>
      </c>
      <c r="BD54" s="53">
        <f t="shared" si="35"/>
        <v>0.000945</v>
      </c>
      <c r="BE54" s="53">
        <f t="shared" si="35"/>
        <v>0.00054</v>
      </c>
      <c r="BF54" s="53">
        <f t="shared" si="35"/>
        <v>0.00027</v>
      </c>
      <c r="BG54" s="211"/>
      <c r="BH54" s="211"/>
      <c r="BI54" s="211"/>
      <c r="BJ54" s="211"/>
      <c r="BK54" s="211"/>
      <c r="BL54" s="211"/>
    </row>
    <row r="55" ht="15.75" customHeight="1">
      <c r="A55" s="209" t="s">
        <v>71</v>
      </c>
      <c r="B55" s="213">
        <f>sum('BDR Rollout'!L8)</f>
        <v>0</v>
      </c>
      <c r="C55" s="214">
        <v>0.15</v>
      </c>
      <c r="D55" s="205"/>
      <c r="E55" s="205"/>
      <c r="F55" s="205"/>
      <c r="G55" s="205"/>
      <c r="H55" s="205"/>
      <c r="I55" s="205"/>
      <c r="J55" s="211"/>
      <c r="K55" s="211"/>
      <c r="L55" s="211"/>
      <c r="M55" s="211"/>
      <c r="N55" s="211"/>
      <c r="O55" s="211"/>
      <c r="P55" s="211"/>
      <c r="Q55" s="211"/>
      <c r="R55" s="211"/>
      <c r="S55" s="53">
        <f t="shared" ref="S55:U55" si="36">$B55*S22*$C55</f>
        <v>0</v>
      </c>
      <c r="T55" s="53">
        <f t="shared" si="36"/>
        <v>0</v>
      </c>
      <c r="U55" s="53">
        <f t="shared" si="36"/>
        <v>0</v>
      </c>
      <c r="V55" s="211"/>
      <c r="W55" s="211"/>
      <c r="X55" s="211"/>
      <c r="Y55" s="211"/>
      <c r="Z55" s="211"/>
      <c r="AA55" s="211"/>
      <c r="AB55" s="211"/>
      <c r="AC55" s="211"/>
      <c r="AD55" s="211"/>
      <c r="AE55" s="217"/>
      <c r="AF55" s="53">
        <v>0.0</v>
      </c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07"/>
      <c r="AZ55" s="211"/>
      <c r="BA55" s="53">
        <f t="shared" ref="BA55:BG55" si="37">$AF55*BA22</f>
        <v>0</v>
      </c>
      <c r="BB55" s="53">
        <f t="shared" si="37"/>
        <v>0</v>
      </c>
      <c r="BC55" s="53">
        <f t="shared" si="37"/>
        <v>0</v>
      </c>
      <c r="BD55" s="53">
        <f t="shared" si="37"/>
        <v>0</v>
      </c>
      <c r="BE55" s="53">
        <f t="shared" si="37"/>
        <v>0</v>
      </c>
      <c r="BF55" s="53">
        <f t="shared" si="37"/>
        <v>0</v>
      </c>
      <c r="BG55" s="53">
        <f t="shared" si="37"/>
        <v>0</v>
      </c>
      <c r="BH55" s="211"/>
      <c r="BI55" s="211"/>
      <c r="BJ55" s="211"/>
      <c r="BK55" s="211"/>
      <c r="BL55" s="211"/>
    </row>
    <row r="56" ht="15.75" customHeight="1">
      <c r="A56" s="209" t="s">
        <v>72</v>
      </c>
      <c r="B56" s="213">
        <f>sum('BDR Rollout'!L9)</f>
        <v>0</v>
      </c>
      <c r="C56" s="214">
        <v>0.15</v>
      </c>
      <c r="D56" s="205"/>
      <c r="E56" s="205"/>
      <c r="F56" s="205"/>
      <c r="G56" s="205"/>
      <c r="H56" s="205"/>
      <c r="I56" s="205"/>
      <c r="J56" s="211"/>
      <c r="K56" s="211"/>
      <c r="L56" s="211"/>
      <c r="M56" s="211"/>
      <c r="N56" s="211"/>
      <c r="O56" s="211"/>
      <c r="P56" s="211"/>
      <c r="Q56" s="211"/>
      <c r="R56" s="211"/>
      <c r="S56" s="205"/>
      <c r="T56" s="53">
        <f t="shared" ref="T56:V56" si="38">$B56*T23*$C56</f>
        <v>0</v>
      </c>
      <c r="U56" s="53">
        <f t="shared" si="38"/>
        <v>0</v>
      </c>
      <c r="V56" s="53">
        <f t="shared" si="38"/>
        <v>0</v>
      </c>
      <c r="W56" s="211"/>
      <c r="X56" s="211"/>
      <c r="Y56" s="211"/>
      <c r="Z56" s="211"/>
      <c r="AA56" s="211"/>
      <c r="AB56" s="211"/>
      <c r="AC56" s="211"/>
      <c r="AD56" s="211"/>
      <c r="AE56" s="217"/>
      <c r="AF56" s="53">
        <v>0.0</v>
      </c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07"/>
      <c r="AZ56" s="211"/>
      <c r="BA56" s="211"/>
      <c r="BB56" s="53">
        <f t="shared" ref="BB56:BH56" si="39">$AF56*BB23</f>
        <v>0</v>
      </c>
      <c r="BC56" s="53">
        <f t="shared" si="39"/>
        <v>0</v>
      </c>
      <c r="BD56" s="53">
        <f t="shared" si="39"/>
        <v>0</v>
      </c>
      <c r="BE56" s="53">
        <f t="shared" si="39"/>
        <v>0</v>
      </c>
      <c r="BF56" s="53">
        <f t="shared" si="39"/>
        <v>0</v>
      </c>
      <c r="BG56" s="53">
        <f t="shared" si="39"/>
        <v>0</v>
      </c>
      <c r="BH56" s="53">
        <f t="shared" si="39"/>
        <v>0</v>
      </c>
      <c r="BI56" s="211"/>
      <c r="BJ56" s="211"/>
      <c r="BK56" s="211"/>
      <c r="BL56" s="211"/>
    </row>
    <row r="57" ht="15.75" customHeight="1">
      <c r="A57" s="209" t="s">
        <v>73</v>
      </c>
      <c r="B57" s="213">
        <f>sum('BDR Rollout'!L10)</f>
        <v>0</v>
      </c>
      <c r="C57" s="214">
        <v>0.15</v>
      </c>
      <c r="D57" s="205"/>
      <c r="E57" s="205"/>
      <c r="F57" s="205"/>
      <c r="G57" s="205"/>
      <c r="H57" s="205"/>
      <c r="I57" s="205"/>
      <c r="J57" s="211"/>
      <c r="K57" s="211"/>
      <c r="L57" s="211"/>
      <c r="M57" s="211"/>
      <c r="N57" s="211"/>
      <c r="O57" s="211"/>
      <c r="P57" s="211"/>
      <c r="Q57" s="211"/>
      <c r="R57" s="211"/>
      <c r="S57" s="205"/>
      <c r="T57" s="205"/>
      <c r="U57" s="53">
        <f t="shared" ref="U57:W57" si="40">$B57*U24*$C57</f>
        <v>0</v>
      </c>
      <c r="V57" s="53">
        <f t="shared" si="40"/>
        <v>0</v>
      </c>
      <c r="W57" s="53">
        <f t="shared" si="40"/>
        <v>0</v>
      </c>
      <c r="X57" s="211"/>
      <c r="Y57" s="211"/>
      <c r="Z57" s="211"/>
      <c r="AA57" s="211"/>
      <c r="AB57" s="211"/>
      <c r="AC57" s="211"/>
      <c r="AD57" s="211"/>
      <c r="AE57" s="217"/>
      <c r="AF57" s="53">
        <v>0.0</v>
      </c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07"/>
      <c r="AZ57" s="211"/>
      <c r="BA57" s="211"/>
      <c r="BB57" s="211"/>
      <c r="BC57" s="53">
        <f t="shared" ref="BC57:BI57" si="41">$AF57*BC24</f>
        <v>0</v>
      </c>
      <c r="BD57" s="53">
        <f t="shared" si="41"/>
        <v>0</v>
      </c>
      <c r="BE57" s="53">
        <f t="shared" si="41"/>
        <v>0</v>
      </c>
      <c r="BF57" s="53">
        <f t="shared" si="41"/>
        <v>0</v>
      </c>
      <c r="BG57" s="53">
        <f t="shared" si="41"/>
        <v>0</v>
      </c>
      <c r="BH57" s="53">
        <f t="shared" si="41"/>
        <v>0</v>
      </c>
      <c r="BI57" s="53">
        <f t="shared" si="41"/>
        <v>0</v>
      </c>
      <c r="BJ57" s="211"/>
      <c r="BK57" s="211"/>
      <c r="BL57" s="211"/>
    </row>
    <row r="58" ht="15.75" customHeight="1">
      <c r="A58" s="209" t="s">
        <v>74</v>
      </c>
      <c r="B58" s="213">
        <f>sum('BDR Rollout'!L11)</f>
        <v>0</v>
      </c>
      <c r="C58" s="214">
        <v>0.15</v>
      </c>
      <c r="D58" s="205"/>
      <c r="E58" s="205"/>
      <c r="F58" s="205"/>
      <c r="G58" s="205"/>
      <c r="H58" s="205"/>
      <c r="I58" s="205"/>
      <c r="J58" s="211"/>
      <c r="K58" s="211"/>
      <c r="L58" s="211"/>
      <c r="M58" s="211"/>
      <c r="N58" s="211"/>
      <c r="O58" s="211"/>
      <c r="P58" s="211"/>
      <c r="Q58" s="211"/>
      <c r="R58" s="211"/>
      <c r="S58" s="205"/>
      <c r="T58" s="205"/>
      <c r="U58" s="205"/>
      <c r="V58" s="53">
        <f t="shared" ref="V58:X58" si="42">$B58*V25*$C58</f>
        <v>0</v>
      </c>
      <c r="W58" s="53">
        <f t="shared" si="42"/>
        <v>0</v>
      </c>
      <c r="X58" s="53">
        <f t="shared" si="42"/>
        <v>0</v>
      </c>
      <c r="Y58" s="211"/>
      <c r="Z58" s="211"/>
      <c r="AA58" s="211"/>
      <c r="AB58" s="211"/>
      <c r="AC58" s="211"/>
      <c r="AD58" s="211"/>
      <c r="AE58" s="217"/>
      <c r="AF58" s="53">
        <v>0.0</v>
      </c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07"/>
      <c r="AZ58" s="211"/>
      <c r="BA58" s="211"/>
      <c r="BB58" s="211"/>
      <c r="BC58" s="211"/>
      <c r="BD58" s="53">
        <f t="shared" ref="BD58:BJ58" si="43">$AF58*BD25</f>
        <v>0</v>
      </c>
      <c r="BE58" s="53">
        <f t="shared" si="43"/>
        <v>0</v>
      </c>
      <c r="BF58" s="53">
        <f t="shared" si="43"/>
        <v>0</v>
      </c>
      <c r="BG58" s="53">
        <f t="shared" si="43"/>
        <v>0</v>
      </c>
      <c r="BH58" s="53">
        <f t="shared" si="43"/>
        <v>0</v>
      </c>
      <c r="BI58" s="53">
        <f t="shared" si="43"/>
        <v>0</v>
      </c>
      <c r="BJ58" s="53">
        <f t="shared" si="43"/>
        <v>0</v>
      </c>
      <c r="BK58" s="211"/>
      <c r="BL58" s="211"/>
    </row>
    <row r="59" ht="15.75" customHeight="1">
      <c r="A59" s="209" t="s">
        <v>75</v>
      </c>
      <c r="B59" s="213">
        <f>sum('BDR Rollout'!L12)</f>
        <v>0</v>
      </c>
      <c r="C59" s="214">
        <v>0.15</v>
      </c>
      <c r="D59" s="205"/>
      <c r="E59" s="205"/>
      <c r="F59" s="205"/>
      <c r="G59" s="205"/>
      <c r="H59" s="205"/>
      <c r="I59" s="205"/>
      <c r="J59" s="211"/>
      <c r="K59" s="211"/>
      <c r="L59" s="211"/>
      <c r="M59" s="211"/>
      <c r="N59" s="211"/>
      <c r="O59" s="211"/>
      <c r="P59" s="211"/>
      <c r="Q59" s="211"/>
      <c r="R59" s="211"/>
      <c r="S59" s="205"/>
      <c r="T59" s="205"/>
      <c r="U59" s="205"/>
      <c r="V59" s="211"/>
      <c r="W59" s="53">
        <f t="shared" ref="W59:Y59" si="44">$B59*W26*$C59</f>
        <v>0</v>
      </c>
      <c r="X59" s="53">
        <f t="shared" si="44"/>
        <v>0</v>
      </c>
      <c r="Y59" s="53">
        <f t="shared" si="44"/>
        <v>0</v>
      </c>
      <c r="Z59" s="211"/>
      <c r="AA59" s="211"/>
      <c r="AB59" s="211"/>
      <c r="AC59" s="211"/>
      <c r="AD59" s="211"/>
      <c r="AE59" s="217"/>
      <c r="AF59" s="53">
        <v>0.0</v>
      </c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07"/>
      <c r="AZ59" s="211"/>
      <c r="BA59" s="211"/>
      <c r="BB59" s="211"/>
      <c r="BC59" s="211"/>
      <c r="BD59" s="211"/>
      <c r="BE59" s="53">
        <f t="shared" ref="BE59:BK59" si="45">$AF59*BE26</f>
        <v>0</v>
      </c>
      <c r="BF59" s="53">
        <f t="shared" si="45"/>
        <v>0</v>
      </c>
      <c r="BG59" s="53">
        <f t="shared" si="45"/>
        <v>0</v>
      </c>
      <c r="BH59" s="53">
        <f t="shared" si="45"/>
        <v>0</v>
      </c>
      <c r="BI59" s="53">
        <f t="shared" si="45"/>
        <v>0</v>
      </c>
      <c r="BJ59" s="53">
        <f t="shared" si="45"/>
        <v>0</v>
      </c>
      <c r="BK59" s="53">
        <f t="shared" si="45"/>
        <v>0</v>
      </c>
      <c r="BL59" s="211"/>
    </row>
    <row r="60" ht="15.75" customHeight="1">
      <c r="A60" s="209" t="s">
        <v>76</v>
      </c>
      <c r="B60" s="213">
        <f>sum('BDR Rollout'!L13)</f>
        <v>0</v>
      </c>
      <c r="C60" s="214">
        <v>0.15</v>
      </c>
      <c r="D60" s="205"/>
      <c r="E60" s="205"/>
      <c r="F60" s="205"/>
      <c r="G60" s="205"/>
      <c r="H60" s="205"/>
      <c r="I60" s="205"/>
      <c r="J60" s="211"/>
      <c r="K60" s="211"/>
      <c r="L60" s="211"/>
      <c r="M60" s="211"/>
      <c r="N60" s="211"/>
      <c r="O60" s="211"/>
      <c r="P60" s="211"/>
      <c r="Q60" s="211"/>
      <c r="R60" s="211"/>
      <c r="S60" s="205"/>
      <c r="T60" s="205"/>
      <c r="U60" s="205"/>
      <c r="V60" s="211"/>
      <c r="W60" s="211"/>
      <c r="X60" s="53">
        <f t="shared" ref="X60:Z60" si="46">$B60*X27*$C60</f>
        <v>0</v>
      </c>
      <c r="Y60" s="53">
        <f t="shared" si="46"/>
        <v>0</v>
      </c>
      <c r="Z60" s="53">
        <f t="shared" si="46"/>
        <v>0</v>
      </c>
      <c r="AA60" s="211"/>
      <c r="AB60" s="211"/>
      <c r="AC60" s="211"/>
      <c r="AD60" s="211"/>
      <c r="AE60" s="217"/>
      <c r="AF60" s="53">
        <v>0.0</v>
      </c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07"/>
      <c r="AZ60" s="211"/>
      <c r="BA60" s="211"/>
      <c r="BB60" s="211"/>
      <c r="BC60" s="211"/>
      <c r="BD60" s="211"/>
      <c r="BE60" s="211"/>
      <c r="BF60" s="53">
        <f t="shared" ref="BF60:BL60" si="47">$AF60*BF27</f>
        <v>0</v>
      </c>
      <c r="BG60" s="53">
        <f t="shared" si="47"/>
        <v>0</v>
      </c>
      <c r="BH60" s="53">
        <f t="shared" si="47"/>
        <v>0</v>
      </c>
      <c r="BI60" s="53">
        <f t="shared" si="47"/>
        <v>0</v>
      </c>
      <c r="BJ60" s="53">
        <f t="shared" si="47"/>
        <v>0</v>
      </c>
      <c r="BK60" s="53">
        <f t="shared" si="47"/>
        <v>0</v>
      </c>
      <c r="BL60" s="53">
        <f t="shared" si="47"/>
        <v>0</v>
      </c>
    </row>
    <row r="61" ht="15.75" customHeight="1">
      <c r="A61" s="209" t="s">
        <v>77</v>
      </c>
      <c r="B61" s="213">
        <f>sum('BDR Rollout'!L14)</f>
        <v>0</v>
      </c>
      <c r="C61" s="214">
        <v>0.15</v>
      </c>
      <c r="D61" s="205"/>
      <c r="E61" s="205"/>
      <c r="F61" s="205"/>
      <c r="G61" s="205"/>
      <c r="H61" s="205"/>
      <c r="I61" s="205"/>
      <c r="J61" s="211"/>
      <c r="K61" s="211"/>
      <c r="L61" s="211"/>
      <c r="M61" s="211"/>
      <c r="N61" s="211"/>
      <c r="O61" s="211"/>
      <c r="P61" s="211"/>
      <c r="Q61" s="211"/>
      <c r="R61" s="211"/>
      <c r="S61" s="205"/>
      <c r="T61" s="205"/>
      <c r="U61" s="205"/>
      <c r="V61" s="211"/>
      <c r="W61" s="211"/>
      <c r="X61" s="211"/>
      <c r="Y61" s="53">
        <f t="shared" ref="Y61:AA61" si="48">$B61*Y28*$C61</f>
        <v>0</v>
      </c>
      <c r="Z61" s="53">
        <f t="shared" si="48"/>
        <v>0</v>
      </c>
      <c r="AA61" s="53">
        <f t="shared" si="48"/>
        <v>0</v>
      </c>
      <c r="AB61" s="211"/>
      <c r="AC61" s="211"/>
      <c r="AD61" s="211"/>
      <c r="AE61" s="217"/>
      <c r="AF61" s="53">
        <v>0.0</v>
      </c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07"/>
      <c r="AZ61" s="211"/>
      <c r="BA61" s="211"/>
      <c r="BB61" s="211"/>
      <c r="BC61" s="211"/>
      <c r="BD61" s="211"/>
      <c r="BE61" s="211"/>
      <c r="BF61" s="211"/>
      <c r="BG61" s="53">
        <f t="shared" ref="BG61:BL61" si="49">$AF61*BG28</f>
        <v>0</v>
      </c>
      <c r="BH61" s="53">
        <f t="shared" si="49"/>
        <v>0</v>
      </c>
      <c r="BI61" s="53">
        <f t="shared" si="49"/>
        <v>0</v>
      </c>
      <c r="BJ61" s="53">
        <f t="shared" si="49"/>
        <v>0</v>
      </c>
      <c r="BK61" s="53">
        <f t="shared" si="49"/>
        <v>0</v>
      </c>
      <c r="BL61" s="53">
        <f t="shared" si="49"/>
        <v>0</v>
      </c>
    </row>
    <row r="62" ht="15.75" customHeight="1">
      <c r="A62" s="209" t="s">
        <v>78</v>
      </c>
      <c r="B62" s="213">
        <f>sum('BDR Rollout'!L15)</f>
        <v>0</v>
      </c>
      <c r="C62" s="214">
        <v>0.15</v>
      </c>
      <c r="D62" s="205"/>
      <c r="E62" s="205"/>
      <c r="F62" s="205"/>
      <c r="G62" s="205"/>
      <c r="H62" s="205"/>
      <c r="I62" s="205"/>
      <c r="J62" s="211"/>
      <c r="K62" s="211"/>
      <c r="L62" s="211"/>
      <c r="M62" s="211"/>
      <c r="N62" s="211"/>
      <c r="O62" s="211"/>
      <c r="P62" s="211"/>
      <c r="Q62" s="211"/>
      <c r="R62" s="211"/>
      <c r="S62" s="205"/>
      <c r="T62" s="205"/>
      <c r="U62" s="205"/>
      <c r="V62" s="211"/>
      <c r="W62" s="211"/>
      <c r="X62" s="211"/>
      <c r="Y62" s="211"/>
      <c r="Z62" s="53">
        <f t="shared" ref="Z62:AB62" si="50">$B62*Z29*$C62</f>
        <v>0</v>
      </c>
      <c r="AA62" s="53">
        <f t="shared" si="50"/>
        <v>0</v>
      </c>
      <c r="AB62" s="53">
        <f t="shared" si="50"/>
        <v>0</v>
      </c>
      <c r="AC62" s="211"/>
      <c r="AD62" s="211"/>
      <c r="AE62" s="217"/>
      <c r="AF62" s="53">
        <v>0.0</v>
      </c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53">
        <f t="shared" ref="BH62:BL62" si="51">$AF62*BH29</f>
        <v>0</v>
      </c>
      <c r="BI62" s="53">
        <f t="shared" si="51"/>
        <v>0</v>
      </c>
      <c r="BJ62" s="53">
        <f t="shared" si="51"/>
        <v>0</v>
      </c>
      <c r="BK62" s="53">
        <f t="shared" si="51"/>
        <v>0</v>
      </c>
      <c r="BL62" s="53">
        <f t="shared" si="51"/>
        <v>0</v>
      </c>
    </row>
    <row r="63" ht="15.75" customHeight="1">
      <c r="A63" s="209" t="s">
        <v>79</v>
      </c>
      <c r="B63" s="213">
        <f>sum('BDR Rollout'!L16)</f>
        <v>0</v>
      </c>
      <c r="C63" s="214">
        <v>0.15</v>
      </c>
      <c r="D63" s="205"/>
      <c r="E63" s="205"/>
      <c r="F63" s="205"/>
      <c r="G63" s="205"/>
      <c r="H63" s="205"/>
      <c r="I63" s="205"/>
      <c r="J63" s="211"/>
      <c r="K63" s="211"/>
      <c r="L63" s="211"/>
      <c r="M63" s="211"/>
      <c r="N63" s="211"/>
      <c r="O63" s="211"/>
      <c r="P63" s="211"/>
      <c r="Q63" s="211"/>
      <c r="R63" s="211"/>
      <c r="S63" s="205"/>
      <c r="T63" s="205"/>
      <c r="U63" s="205"/>
      <c r="V63" s="211"/>
      <c r="W63" s="211"/>
      <c r="X63" s="211"/>
      <c r="Y63" s="211"/>
      <c r="Z63" s="211"/>
      <c r="AA63" s="53">
        <f t="shared" ref="AA63:AC63" si="52">$B63*AA30*$C63</f>
        <v>0</v>
      </c>
      <c r="AB63" s="53">
        <f t="shared" si="52"/>
        <v>0</v>
      </c>
      <c r="AC63" s="53">
        <f t="shared" si="52"/>
        <v>0</v>
      </c>
      <c r="AD63" s="211"/>
      <c r="AE63" s="217"/>
      <c r="AF63" s="53">
        <v>0.0</v>
      </c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53">
        <f t="shared" ref="BI63:BL63" si="53">$AF63*BI30</f>
        <v>0</v>
      </c>
      <c r="BJ63" s="53">
        <f t="shared" si="53"/>
        <v>0</v>
      </c>
      <c r="BK63" s="53">
        <f t="shared" si="53"/>
        <v>0</v>
      </c>
      <c r="BL63" s="53">
        <f t="shared" si="53"/>
        <v>0</v>
      </c>
    </row>
    <row r="64" ht="15.75" customHeight="1">
      <c r="A64" s="209" t="s">
        <v>80</v>
      </c>
      <c r="B64" s="213">
        <f>sum('BDR Rollout'!L17)</f>
        <v>0</v>
      </c>
      <c r="C64" s="214">
        <v>0.15</v>
      </c>
      <c r="D64" s="205"/>
      <c r="E64" s="205"/>
      <c r="F64" s="205"/>
      <c r="G64" s="205"/>
      <c r="H64" s="205"/>
      <c r="I64" s="205"/>
      <c r="J64" s="211"/>
      <c r="K64" s="211"/>
      <c r="L64" s="211"/>
      <c r="M64" s="211"/>
      <c r="N64" s="211"/>
      <c r="O64" s="211"/>
      <c r="P64" s="211"/>
      <c r="Q64" s="211"/>
      <c r="R64" s="211"/>
      <c r="S64" s="205"/>
      <c r="T64" s="205"/>
      <c r="U64" s="205"/>
      <c r="V64" s="211"/>
      <c r="W64" s="211"/>
      <c r="X64" s="211"/>
      <c r="Y64" s="211"/>
      <c r="Z64" s="211"/>
      <c r="AA64" s="211"/>
      <c r="AB64" s="53">
        <f t="shared" ref="AB64:AD64" si="54">$B64*AB31*$C64</f>
        <v>0</v>
      </c>
      <c r="AC64" s="53">
        <f t="shared" si="54"/>
        <v>0</v>
      </c>
      <c r="AD64" s="53">
        <f t="shared" si="54"/>
        <v>0</v>
      </c>
      <c r="AE64" s="217"/>
      <c r="AF64" s="53">
        <v>0.0</v>
      </c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53">
        <f t="shared" ref="BJ64:BL64" si="55">$AF64*BJ31</f>
        <v>0</v>
      </c>
      <c r="BK64" s="53">
        <f t="shared" si="55"/>
        <v>0</v>
      </c>
      <c r="BL64" s="53">
        <f t="shared" si="55"/>
        <v>0</v>
      </c>
    </row>
    <row r="65" ht="15.75" customHeight="1">
      <c r="A65" s="209" t="s">
        <v>81</v>
      </c>
      <c r="B65" s="213">
        <f>sum('BDR Rollout'!L18)</f>
        <v>0</v>
      </c>
      <c r="C65" s="214">
        <v>0.15</v>
      </c>
      <c r="D65" s="205"/>
      <c r="E65" s="205"/>
      <c r="F65" s="205"/>
      <c r="G65" s="205"/>
      <c r="H65" s="205"/>
      <c r="I65" s="205"/>
      <c r="J65" s="211"/>
      <c r="K65" s="211"/>
      <c r="L65" s="211"/>
      <c r="M65" s="211"/>
      <c r="N65" s="211"/>
      <c r="O65" s="211"/>
      <c r="P65" s="211"/>
      <c r="Q65" s="211"/>
      <c r="R65" s="211"/>
      <c r="S65" s="205"/>
      <c r="T65" s="205"/>
      <c r="U65" s="205"/>
      <c r="V65" s="211"/>
      <c r="W65" s="211"/>
      <c r="X65" s="211"/>
      <c r="Y65" s="211"/>
      <c r="Z65" s="211"/>
      <c r="AA65" s="211"/>
      <c r="AB65" s="211"/>
      <c r="AC65" s="53">
        <f t="shared" ref="AC65:AD65" si="56">$B65*AC32*$C65</f>
        <v>0</v>
      </c>
      <c r="AD65" s="53">
        <f t="shared" si="56"/>
        <v>0</v>
      </c>
      <c r="AE65" s="217"/>
      <c r="AF65" s="53">
        <v>0.0</v>
      </c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53">
        <f t="shared" ref="BK65:BL65" si="57">$AF65*BK32</f>
        <v>0</v>
      </c>
      <c r="BL65" s="53">
        <f t="shared" si="57"/>
        <v>0</v>
      </c>
    </row>
    <row r="66" ht="15.75" customHeight="1">
      <c r="A66" s="209" t="s">
        <v>82</v>
      </c>
      <c r="B66" s="213">
        <f>sum('BDR Rollout'!L19)</f>
        <v>0</v>
      </c>
      <c r="C66" s="214">
        <v>0.15</v>
      </c>
      <c r="D66" s="219"/>
      <c r="E66" s="219"/>
      <c r="F66" s="219"/>
      <c r="G66" s="219"/>
      <c r="H66" s="219"/>
      <c r="I66" s="219"/>
      <c r="J66" s="220"/>
      <c r="K66" s="220"/>
      <c r="L66" s="220"/>
      <c r="M66" s="220"/>
      <c r="N66" s="220"/>
      <c r="O66" s="221"/>
      <c r="P66" s="221"/>
      <c r="Q66" s="221"/>
      <c r="R66" s="221"/>
      <c r="S66" s="205"/>
      <c r="T66" s="205"/>
      <c r="U66" s="205"/>
      <c r="V66" s="211"/>
      <c r="W66" s="211"/>
      <c r="X66" s="211"/>
      <c r="Y66" s="211"/>
      <c r="Z66" s="211"/>
      <c r="AA66" s="211"/>
      <c r="AB66" s="211"/>
      <c r="AC66" s="211"/>
      <c r="AD66" s="53">
        <f>$B66*AD33*$C66</f>
        <v>0</v>
      </c>
      <c r="AE66" s="222"/>
      <c r="AF66" s="53">
        <v>0.0</v>
      </c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3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53">
        <f>$AF66*BL33</f>
        <v>0</v>
      </c>
    </row>
    <row r="67" ht="15.75" customHeight="1">
      <c r="A67" s="224" t="s">
        <v>171</v>
      </c>
      <c r="B67" s="225"/>
      <c r="C67" s="225"/>
      <c r="D67" s="118">
        <f t="shared" ref="D67:AD67" si="58">sum(D39:D66)</f>
        <v>0</v>
      </c>
      <c r="E67" s="118">
        <f t="shared" si="58"/>
        <v>0</v>
      </c>
      <c r="F67" s="118">
        <f t="shared" si="58"/>
        <v>0</v>
      </c>
      <c r="G67" s="118">
        <f t="shared" si="58"/>
        <v>0</v>
      </c>
      <c r="H67" s="118">
        <f t="shared" si="58"/>
        <v>0</v>
      </c>
      <c r="I67" s="118">
        <f t="shared" si="58"/>
        <v>0</v>
      </c>
      <c r="J67" s="118">
        <f t="shared" si="58"/>
        <v>0</v>
      </c>
      <c r="K67" s="118">
        <f t="shared" si="58"/>
        <v>0</v>
      </c>
      <c r="L67" s="118">
        <f t="shared" si="58"/>
        <v>1.335294118</v>
      </c>
      <c r="M67" s="118">
        <f t="shared" si="58"/>
        <v>1.485294118</v>
      </c>
      <c r="N67" s="118">
        <f t="shared" si="58"/>
        <v>1.5</v>
      </c>
      <c r="O67" s="118">
        <f t="shared" si="58"/>
        <v>3.2355</v>
      </c>
      <c r="P67" s="118">
        <f t="shared" si="58"/>
        <v>1.5615</v>
      </c>
      <c r="Q67" s="118">
        <f t="shared" si="58"/>
        <v>0.1695</v>
      </c>
      <c r="R67" s="118">
        <f t="shared" si="58"/>
        <v>0.0135</v>
      </c>
      <c r="S67" s="118">
        <f t="shared" si="58"/>
        <v>0</v>
      </c>
      <c r="T67" s="118">
        <f t="shared" si="58"/>
        <v>0</v>
      </c>
      <c r="U67" s="118">
        <f t="shared" si="58"/>
        <v>0</v>
      </c>
      <c r="V67" s="118">
        <f t="shared" si="58"/>
        <v>0</v>
      </c>
      <c r="W67" s="118">
        <f t="shared" si="58"/>
        <v>0</v>
      </c>
      <c r="X67" s="118">
        <f t="shared" si="58"/>
        <v>0</v>
      </c>
      <c r="Y67" s="118">
        <f t="shared" si="58"/>
        <v>0</v>
      </c>
      <c r="Z67" s="118">
        <f t="shared" si="58"/>
        <v>0</v>
      </c>
      <c r="AA67" s="118">
        <f t="shared" si="58"/>
        <v>0</v>
      </c>
      <c r="AB67" s="118">
        <f t="shared" si="58"/>
        <v>0</v>
      </c>
      <c r="AC67" s="118">
        <f t="shared" si="58"/>
        <v>0</v>
      </c>
      <c r="AD67" s="118">
        <f t="shared" si="58"/>
        <v>0</v>
      </c>
      <c r="AE67" s="226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7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9"/>
    </row>
    <row r="68" ht="15.75" customHeight="1">
      <c r="A68" s="230" t="s">
        <v>172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2"/>
      <c r="AF68" s="231"/>
      <c r="AG68" s="60">
        <f t="shared" ref="AG68:BL68" si="59">sum(AG35:AG66)</f>
        <v>0</v>
      </c>
      <c r="AH68" s="60">
        <f t="shared" si="59"/>
        <v>0</v>
      </c>
      <c r="AI68" s="60">
        <f t="shared" si="59"/>
        <v>0</v>
      </c>
      <c r="AJ68" s="60">
        <f t="shared" si="59"/>
        <v>0</v>
      </c>
      <c r="AK68" s="60">
        <f t="shared" si="59"/>
        <v>0</v>
      </c>
      <c r="AL68" s="60">
        <f t="shared" si="59"/>
        <v>0</v>
      </c>
      <c r="AM68" s="60">
        <f t="shared" si="59"/>
        <v>0</v>
      </c>
      <c r="AN68" s="60">
        <f t="shared" si="59"/>
        <v>0</v>
      </c>
      <c r="AO68" s="60">
        <f t="shared" si="59"/>
        <v>0</v>
      </c>
      <c r="AP68" s="60">
        <f t="shared" si="59"/>
        <v>0</v>
      </c>
      <c r="AQ68" s="60">
        <f t="shared" si="59"/>
        <v>0</v>
      </c>
      <c r="AR68" s="60">
        <f t="shared" si="59"/>
        <v>0</v>
      </c>
      <c r="AS68" s="60">
        <f t="shared" si="59"/>
        <v>0</v>
      </c>
      <c r="AT68" s="60">
        <f t="shared" si="59"/>
        <v>0.1869411765</v>
      </c>
      <c r="AU68" s="60">
        <f t="shared" si="59"/>
        <v>0.6485882353</v>
      </c>
      <c r="AV68" s="60">
        <f t="shared" si="59"/>
        <v>1.033970588</v>
      </c>
      <c r="AW68" s="60">
        <f t="shared" si="59"/>
        <v>1.519587647</v>
      </c>
      <c r="AX68" s="60">
        <f t="shared" si="59"/>
        <v>1.977589706</v>
      </c>
      <c r="AY68" s="60">
        <f t="shared" si="59"/>
        <v>1.730282353</v>
      </c>
      <c r="AZ68" s="60">
        <f t="shared" si="59"/>
        <v>1.124642647</v>
      </c>
      <c r="BA68" s="60">
        <f t="shared" si="59"/>
        <v>0.5972458824</v>
      </c>
      <c r="BB68" s="60">
        <f t="shared" si="59"/>
        <v>0.297525</v>
      </c>
      <c r="BC68" s="60">
        <f t="shared" si="59"/>
        <v>0.14106</v>
      </c>
      <c r="BD68" s="60">
        <f t="shared" si="59"/>
        <v>0.038955</v>
      </c>
      <c r="BE68" s="60">
        <f t="shared" si="59"/>
        <v>0.00393</v>
      </c>
      <c r="BF68" s="60">
        <f t="shared" si="59"/>
        <v>0.00027</v>
      </c>
      <c r="BG68" s="60">
        <f t="shared" si="59"/>
        <v>0</v>
      </c>
      <c r="BH68" s="60">
        <f t="shared" si="59"/>
        <v>0</v>
      </c>
      <c r="BI68" s="60">
        <f t="shared" si="59"/>
        <v>0</v>
      </c>
      <c r="BJ68" s="60">
        <f t="shared" si="59"/>
        <v>0</v>
      </c>
      <c r="BK68" s="60">
        <f t="shared" si="59"/>
        <v>0</v>
      </c>
      <c r="BL68" s="60">
        <f t="shared" si="59"/>
        <v>0</v>
      </c>
    </row>
    <row r="69" ht="15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233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234">
        <v>1.0</v>
      </c>
      <c r="AX69" s="234">
        <v>3.0</v>
      </c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</row>
    <row r="70" ht="15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233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</row>
    <row r="71" ht="15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233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</row>
    <row r="72" ht="15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23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233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</row>
    <row r="73" ht="15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23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233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</row>
    <row r="74" ht="15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23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233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233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233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</row>
    <row r="77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233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</row>
    <row r="78" ht="15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233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</row>
    <row r="79" ht="15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233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</row>
    <row r="80" ht="15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233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</row>
    <row r="81" ht="15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233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</row>
    <row r="82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233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</row>
    <row r="83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233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</row>
    <row r="84" ht="15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233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</row>
    <row r="85" ht="15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233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</row>
    <row r="86" ht="15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233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</row>
    <row r="87" ht="15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233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</row>
    <row r="88" ht="15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233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</row>
    <row r="89" ht="15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233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</row>
    <row r="90" ht="15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233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</row>
    <row r="91" ht="15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233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</row>
    <row r="92" ht="15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233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</row>
    <row r="93" ht="15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233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</row>
    <row r="94" ht="15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233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</row>
    <row r="95" ht="15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233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</row>
    <row r="96" ht="15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233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</row>
    <row r="97" ht="15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233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</row>
    <row r="98" ht="15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233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</row>
    <row r="99" ht="15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233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</row>
    <row r="100" ht="15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233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</row>
    <row r="101" ht="15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233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</row>
    <row r="102" ht="15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233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</row>
    <row r="103" ht="15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233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</row>
    <row r="104" ht="15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233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</row>
    <row r="105" ht="15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233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</row>
    <row r="106" ht="15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233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</row>
    <row r="107" ht="15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233"/>
      <c r="AF107" s="185"/>
      <c r="AG107" s="185"/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</row>
    <row r="108" ht="15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233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</row>
    <row r="109" ht="15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233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</row>
    <row r="110" ht="15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233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</row>
    <row r="111" ht="15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233"/>
      <c r="AF111" s="185"/>
      <c r="AG111" s="185"/>
      <c r="AH111" s="185"/>
      <c r="AI111" s="185"/>
      <c r="AJ111" s="185"/>
      <c r="AK111" s="185"/>
      <c r="AL111" s="185"/>
      <c r="AM111" s="185"/>
      <c r="AN111" s="185"/>
      <c r="AO111" s="185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</row>
    <row r="112" ht="15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233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</row>
    <row r="113" ht="15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233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</row>
    <row r="114" ht="15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233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</row>
    <row r="115" ht="15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233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185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</row>
    <row r="116" ht="15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233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</row>
    <row r="117" ht="15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233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185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</row>
    <row r="118" ht="15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233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185"/>
      <c r="BI118" s="185"/>
      <c r="BJ118" s="185"/>
      <c r="BK118" s="185"/>
      <c r="BL118" s="185"/>
    </row>
    <row r="119" ht="15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233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5"/>
      <c r="BL119" s="185"/>
    </row>
    <row r="120" ht="15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233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  <c r="BK120" s="185"/>
      <c r="BL120" s="185"/>
    </row>
    <row r="121" ht="15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233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</row>
    <row r="122" ht="15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233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  <c r="BH122" s="185"/>
      <c r="BI122" s="185"/>
      <c r="BJ122" s="185"/>
      <c r="BK122" s="185"/>
      <c r="BL122" s="185"/>
    </row>
    <row r="123" ht="15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233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</row>
    <row r="124" ht="15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233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  <c r="BH124" s="185"/>
      <c r="BI124" s="185"/>
      <c r="BJ124" s="185"/>
      <c r="BK124" s="185"/>
      <c r="BL124" s="185"/>
    </row>
    <row r="125" ht="15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233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</row>
    <row r="126" ht="15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233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</row>
    <row r="127" ht="15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233"/>
      <c r="AF127" s="185"/>
      <c r="AG127" s="185"/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5"/>
    </row>
    <row r="128" ht="15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233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  <c r="BD128" s="185"/>
      <c r="BE128" s="185"/>
      <c r="BF128" s="185"/>
      <c r="BG128" s="185"/>
      <c r="BH128" s="185"/>
      <c r="BI128" s="185"/>
      <c r="BJ128" s="185"/>
      <c r="BK128" s="185"/>
      <c r="BL128" s="185"/>
    </row>
    <row r="129" ht="15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233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5"/>
      <c r="BF129" s="185"/>
      <c r="BG129" s="185"/>
      <c r="BH129" s="185"/>
      <c r="BI129" s="185"/>
      <c r="BJ129" s="185"/>
      <c r="BK129" s="185"/>
      <c r="BL129" s="185"/>
    </row>
    <row r="130" ht="15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233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233"/>
      <c r="AF131" s="185"/>
      <c r="AG131" s="185"/>
      <c r="AH131" s="185"/>
      <c r="AI131" s="185"/>
      <c r="AJ131" s="185"/>
      <c r="AK131" s="185"/>
      <c r="AL131" s="185"/>
      <c r="AM131" s="185"/>
      <c r="AN131" s="185"/>
      <c r="AO131" s="185"/>
      <c r="AP131" s="185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  <c r="BA131" s="185"/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233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  <c r="AP132" s="185"/>
      <c r="AQ132" s="185"/>
      <c r="AR132" s="185"/>
      <c r="AS132" s="185"/>
      <c r="AT132" s="185"/>
      <c r="AU132" s="185"/>
      <c r="AV132" s="185"/>
      <c r="AW132" s="185"/>
      <c r="AX132" s="185"/>
      <c r="AY132" s="185"/>
      <c r="AZ132" s="185"/>
      <c r="BA132" s="185"/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233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233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233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233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5"/>
      <c r="AP136" s="185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233"/>
      <c r="AF137" s="185"/>
      <c r="AG137" s="185"/>
      <c r="AH137" s="185"/>
      <c r="AI137" s="185"/>
      <c r="AJ137" s="185"/>
      <c r="AK137" s="185"/>
      <c r="AL137" s="185"/>
      <c r="AM137" s="185"/>
      <c r="AN137" s="185"/>
      <c r="AO137" s="185"/>
      <c r="AP137" s="185"/>
      <c r="AQ137" s="185"/>
      <c r="AR137" s="185"/>
      <c r="AS137" s="185"/>
      <c r="AT137" s="185"/>
      <c r="AU137" s="185"/>
      <c r="AV137" s="185"/>
      <c r="AW137" s="185"/>
      <c r="AX137" s="185"/>
      <c r="AY137" s="185"/>
      <c r="AZ137" s="185"/>
      <c r="BA137" s="185"/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233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/>
      <c r="AT138" s="185"/>
      <c r="AU138" s="185"/>
      <c r="AV138" s="185"/>
      <c r="AW138" s="185"/>
      <c r="AX138" s="185"/>
      <c r="AY138" s="185"/>
      <c r="AZ138" s="185"/>
      <c r="BA138" s="185"/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233"/>
      <c r="AF139" s="185"/>
      <c r="AG139" s="185"/>
      <c r="AH139" s="185"/>
      <c r="AI139" s="185"/>
      <c r="AJ139" s="185"/>
      <c r="AK139" s="185"/>
      <c r="AL139" s="185"/>
      <c r="AM139" s="185"/>
      <c r="AN139" s="185"/>
      <c r="AO139" s="185"/>
      <c r="AP139" s="185"/>
      <c r="AQ139" s="185"/>
      <c r="AR139" s="185"/>
      <c r="AS139" s="185"/>
      <c r="AT139" s="185"/>
      <c r="AU139" s="185"/>
      <c r="AV139" s="185"/>
      <c r="AW139" s="185"/>
      <c r="AX139" s="185"/>
      <c r="AY139" s="185"/>
      <c r="AZ139" s="185"/>
      <c r="BA139" s="185"/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233"/>
      <c r="AF140" s="185"/>
      <c r="AG140" s="185"/>
      <c r="AH140" s="185"/>
      <c r="AI140" s="185"/>
      <c r="AJ140" s="185"/>
      <c r="AK140" s="185"/>
      <c r="AL140" s="185"/>
      <c r="AM140" s="185"/>
      <c r="AN140" s="185"/>
      <c r="AO140" s="185"/>
      <c r="AP140" s="185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233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233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233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  <c r="AP143" s="185"/>
      <c r="AQ143" s="185"/>
      <c r="AR143" s="185"/>
      <c r="AS143" s="185"/>
      <c r="AT143" s="185"/>
      <c r="AU143" s="185"/>
      <c r="AV143" s="185"/>
      <c r="AW143" s="185"/>
      <c r="AX143" s="185"/>
      <c r="AY143" s="185"/>
      <c r="AZ143" s="185"/>
      <c r="BA143" s="185"/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233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  <c r="AP144" s="185"/>
      <c r="AQ144" s="185"/>
      <c r="AR144" s="185"/>
      <c r="AS144" s="185"/>
      <c r="AT144" s="185"/>
      <c r="AU144" s="185"/>
      <c r="AV144" s="185"/>
      <c r="AW144" s="185"/>
      <c r="AX144" s="185"/>
      <c r="AY144" s="185"/>
      <c r="AZ144" s="185"/>
      <c r="BA144" s="185"/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233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/>
      <c r="AT145" s="185"/>
      <c r="AU145" s="185"/>
      <c r="AV145" s="185"/>
      <c r="AW145" s="185"/>
      <c r="AX145" s="185"/>
      <c r="AY145" s="185"/>
      <c r="AZ145" s="185"/>
      <c r="BA145" s="185"/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233"/>
      <c r="AF146" s="185"/>
      <c r="AG146" s="185"/>
      <c r="AH146" s="185"/>
      <c r="AI146" s="185"/>
      <c r="AJ146" s="185"/>
      <c r="AK146" s="185"/>
      <c r="AL146" s="185"/>
      <c r="AM146" s="185"/>
      <c r="AN146" s="185"/>
      <c r="AO146" s="185"/>
      <c r="AP146" s="185"/>
      <c r="AQ146" s="185"/>
      <c r="AR146" s="185"/>
      <c r="AS146" s="185"/>
      <c r="AT146" s="185"/>
      <c r="AU146" s="185"/>
      <c r="AV146" s="185"/>
      <c r="AW146" s="185"/>
      <c r="AX146" s="185"/>
      <c r="AY146" s="185"/>
      <c r="AZ146" s="185"/>
      <c r="BA146" s="185"/>
      <c r="BB146" s="185"/>
      <c r="BC146" s="185"/>
      <c r="BD146" s="185"/>
      <c r="BE146" s="185"/>
      <c r="BF146" s="185"/>
      <c r="BG146" s="185"/>
      <c r="BH146" s="185"/>
      <c r="BI146" s="185"/>
      <c r="BJ146" s="185"/>
      <c r="BK146" s="185"/>
      <c r="BL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233"/>
      <c r="AF147" s="185"/>
      <c r="AG147" s="185"/>
      <c r="AH147" s="185"/>
      <c r="AI147" s="185"/>
      <c r="AJ147" s="185"/>
      <c r="AK147" s="185"/>
      <c r="AL147" s="185"/>
      <c r="AM147" s="185"/>
      <c r="AN147" s="185"/>
      <c r="AO147" s="185"/>
      <c r="AP147" s="185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  <c r="BA147" s="185"/>
      <c r="BB147" s="185"/>
      <c r="BC147" s="185"/>
      <c r="BD147" s="185"/>
      <c r="BE147" s="185"/>
      <c r="BF147" s="185"/>
      <c r="BG147" s="185"/>
      <c r="BH147" s="185"/>
      <c r="BI147" s="185"/>
      <c r="BJ147" s="185"/>
      <c r="BK147" s="185"/>
      <c r="BL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233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  <c r="AP148" s="185"/>
      <c r="AQ148" s="185"/>
      <c r="AR148" s="185"/>
      <c r="AS148" s="185"/>
      <c r="AT148" s="185"/>
      <c r="AU148" s="185"/>
      <c r="AV148" s="185"/>
      <c r="AW148" s="185"/>
      <c r="AX148" s="185"/>
      <c r="AY148" s="185"/>
      <c r="AZ148" s="185"/>
      <c r="BA148" s="185"/>
      <c r="BB148" s="185"/>
      <c r="BC148" s="185"/>
      <c r="BD148" s="185"/>
      <c r="BE148" s="185"/>
      <c r="BF148" s="185"/>
      <c r="BG148" s="185"/>
      <c r="BH148" s="185"/>
      <c r="BI148" s="185"/>
      <c r="BJ148" s="185"/>
      <c r="BK148" s="185"/>
      <c r="BL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233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185"/>
      <c r="BD149" s="185"/>
      <c r="BE149" s="185"/>
      <c r="BF149" s="185"/>
      <c r="BG149" s="185"/>
      <c r="BH149" s="185"/>
      <c r="BI149" s="185"/>
      <c r="BJ149" s="185"/>
      <c r="BK149" s="185"/>
      <c r="BL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233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185"/>
      <c r="BE150" s="185"/>
      <c r="BF150" s="185"/>
      <c r="BG150" s="185"/>
      <c r="BH150" s="185"/>
      <c r="BI150" s="185"/>
      <c r="BJ150" s="185"/>
      <c r="BK150" s="185"/>
      <c r="BL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233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5"/>
      <c r="BF151" s="185"/>
      <c r="BG151" s="185"/>
      <c r="BH151" s="185"/>
      <c r="BI151" s="185"/>
      <c r="BJ151" s="185"/>
      <c r="BK151" s="185"/>
      <c r="BL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233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185"/>
      <c r="BE152" s="185"/>
      <c r="BF152" s="185"/>
      <c r="BG152" s="185"/>
      <c r="BH152" s="185"/>
      <c r="BI152" s="185"/>
      <c r="BJ152" s="185"/>
      <c r="BK152" s="185"/>
      <c r="BL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233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185"/>
      <c r="BE153" s="185"/>
      <c r="BF153" s="185"/>
      <c r="BG153" s="185"/>
      <c r="BH153" s="185"/>
      <c r="BI153" s="185"/>
      <c r="BJ153" s="185"/>
      <c r="BK153" s="185"/>
      <c r="BL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233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185"/>
      <c r="BE154" s="185"/>
      <c r="BF154" s="185"/>
      <c r="BG154" s="185"/>
      <c r="BH154" s="185"/>
      <c r="BI154" s="185"/>
      <c r="BJ154" s="185"/>
      <c r="BK154" s="185"/>
      <c r="BL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233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185"/>
      <c r="BE155" s="185"/>
      <c r="BF155" s="185"/>
      <c r="BG155" s="185"/>
      <c r="BH155" s="185"/>
      <c r="BI155" s="185"/>
      <c r="BJ155" s="185"/>
      <c r="BK155" s="185"/>
      <c r="BL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233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233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185"/>
      <c r="BE157" s="185"/>
      <c r="BF157" s="185"/>
      <c r="BG157" s="185"/>
      <c r="BH157" s="185"/>
      <c r="BI157" s="185"/>
      <c r="BJ157" s="185"/>
      <c r="BK157" s="185"/>
      <c r="BL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233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185"/>
      <c r="BE158" s="185"/>
      <c r="BF158" s="185"/>
      <c r="BG158" s="185"/>
      <c r="BH158" s="185"/>
      <c r="BI158" s="185"/>
      <c r="BJ158" s="185"/>
      <c r="BK158" s="185"/>
      <c r="BL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233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185"/>
      <c r="BE159" s="185"/>
      <c r="BF159" s="185"/>
      <c r="BG159" s="185"/>
      <c r="BH159" s="185"/>
      <c r="BI159" s="185"/>
      <c r="BJ159" s="185"/>
      <c r="BK159" s="185"/>
      <c r="BL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233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185"/>
      <c r="BE160" s="185"/>
      <c r="BF160" s="185"/>
      <c r="BG160" s="185"/>
      <c r="BH160" s="185"/>
      <c r="BI160" s="185"/>
      <c r="BJ160" s="185"/>
      <c r="BK160" s="185"/>
      <c r="BL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233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5"/>
      <c r="BF161" s="185"/>
      <c r="BG161" s="185"/>
      <c r="BH161" s="185"/>
      <c r="BI161" s="185"/>
      <c r="BJ161" s="185"/>
      <c r="BK161" s="185"/>
      <c r="BL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233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233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233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233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233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233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233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233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233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233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233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233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233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233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233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233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233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185"/>
      <c r="BE178" s="185"/>
      <c r="BF178" s="185"/>
      <c r="BG178" s="185"/>
      <c r="BH178" s="185"/>
      <c r="BI178" s="185"/>
      <c r="BJ178" s="185"/>
      <c r="BK178" s="185"/>
      <c r="BL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233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185"/>
      <c r="BI179" s="185"/>
      <c r="BJ179" s="185"/>
      <c r="BK179" s="185"/>
      <c r="BL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233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185"/>
      <c r="BI180" s="185"/>
      <c r="BJ180" s="185"/>
      <c r="BK180" s="185"/>
      <c r="BL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233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5"/>
      <c r="BF181" s="185"/>
      <c r="BG181" s="185"/>
      <c r="BH181" s="185"/>
      <c r="BI181" s="185"/>
      <c r="BJ181" s="185"/>
      <c r="BK181" s="185"/>
      <c r="BL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233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185"/>
      <c r="BI182" s="185"/>
      <c r="BJ182" s="185"/>
      <c r="BK182" s="185"/>
      <c r="BL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233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185"/>
      <c r="BI183" s="185"/>
      <c r="BJ183" s="185"/>
      <c r="BK183" s="185"/>
      <c r="BL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233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185"/>
      <c r="BI184" s="185"/>
      <c r="BJ184" s="185"/>
      <c r="BK184" s="185"/>
      <c r="BL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233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233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233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185"/>
      <c r="BE187" s="185"/>
      <c r="BF187" s="185"/>
      <c r="BG187" s="185"/>
      <c r="BH187" s="185"/>
      <c r="BI187" s="185"/>
      <c r="BJ187" s="185"/>
      <c r="BK187" s="185"/>
      <c r="BL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233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185"/>
      <c r="BE188" s="185"/>
      <c r="BF188" s="185"/>
      <c r="BG188" s="185"/>
      <c r="BH188" s="185"/>
      <c r="BI188" s="185"/>
      <c r="BJ188" s="185"/>
      <c r="BK188" s="185"/>
      <c r="BL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233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185"/>
      <c r="BE189" s="185"/>
      <c r="BF189" s="185"/>
      <c r="BG189" s="185"/>
      <c r="BH189" s="185"/>
      <c r="BI189" s="185"/>
      <c r="BJ189" s="185"/>
      <c r="BK189" s="185"/>
      <c r="BL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233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185"/>
      <c r="BE190" s="185"/>
      <c r="BF190" s="185"/>
      <c r="BG190" s="185"/>
      <c r="BH190" s="185"/>
      <c r="BI190" s="185"/>
      <c r="BJ190" s="185"/>
      <c r="BK190" s="185"/>
      <c r="BL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233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5"/>
      <c r="BF191" s="185"/>
      <c r="BG191" s="185"/>
      <c r="BH191" s="185"/>
      <c r="BI191" s="185"/>
      <c r="BJ191" s="185"/>
      <c r="BK191" s="185"/>
      <c r="BL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233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185"/>
      <c r="BE192" s="185"/>
      <c r="BF192" s="185"/>
      <c r="BG192" s="185"/>
      <c r="BH192" s="185"/>
      <c r="BI192" s="185"/>
      <c r="BJ192" s="185"/>
      <c r="BK192" s="185"/>
      <c r="BL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233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185"/>
      <c r="BE193" s="185"/>
      <c r="BF193" s="185"/>
      <c r="BG193" s="185"/>
      <c r="BH193" s="185"/>
      <c r="BI193" s="185"/>
      <c r="BJ193" s="185"/>
      <c r="BK193" s="185"/>
      <c r="BL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233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233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233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233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233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233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233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</row>
    <row r="201" ht="15.75" customHeight="1">
      <c r="A201" s="246"/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  <c r="AF201" s="246"/>
      <c r="AG201" s="246"/>
      <c r="AH201" s="246"/>
      <c r="AI201" s="246"/>
      <c r="AJ201" s="246"/>
      <c r="AK201" s="246"/>
      <c r="AL201" s="246"/>
      <c r="AM201" s="246"/>
      <c r="AN201" s="246"/>
      <c r="AO201" s="246"/>
      <c r="AP201" s="246"/>
      <c r="AQ201" s="246"/>
      <c r="AR201" s="246"/>
      <c r="AS201" s="246"/>
      <c r="AT201" s="246"/>
      <c r="AU201" s="246"/>
      <c r="AV201" s="246"/>
      <c r="AW201" s="246"/>
      <c r="AX201" s="246"/>
      <c r="AY201" s="246"/>
      <c r="AZ201" s="246"/>
      <c r="BA201" s="246"/>
      <c r="BB201" s="246"/>
      <c r="BC201" s="246"/>
      <c r="BD201" s="246"/>
      <c r="BE201" s="246"/>
      <c r="BF201" s="246"/>
      <c r="BG201" s="246"/>
      <c r="BH201" s="246"/>
      <c r="BI201" s="246"/>
      <c r="BJ201" s="246"/>
      <c r="BK201" s="246"/>
      <c r="BL201" s="246"/>
    </row>
    <row r="202" ht="15.75" customHeight="1">
      <c r="A202" s="246"/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  <c r="AD202" s="246"/>
      <c r="AE202" s="246"/>
      <c r="AF202" s="246"/>
      <c r="AG202" s="246"/>
      <c r="AH202" s="246"/>
      <c r="AI202" s="246"/>
      <c r="AJ202" s="246"/>
      <c r="AK202" s="246"/>
      <c r="AL202" s="246"/>
      <c r="AM202" s="246"/>
      <c r="AN202" s="246"/>
      <c r="AO202" s="246"/>
      <c r="AP202" s="246"/>
      <c r="AQ202" s="246"/>
      <c r="AR202" s="246"/>
      <c r="AS202" s="246"/>
      <c r="AT202" s="246"/>
      <c r="AU202" s="246"/>
      <c r="AV202" s="246"/>
      <c r="AW202" s="246"/>
      <c r="AX202" s="246"/>
      <c r="AY202" s="246"/>
      <c r="AZ202" s="246"/>
      <c r="BA202" s="246"/>
      <c r="BB202" s="246"/>
      <c r="BC202" s="246"/>
      <c r="BD202" s="246"/>
      <c r="BE202" s="246"/>
      <c r="BF202" s="246"/>
      <c r="BG202" s="246"/>
      <c r="BH202" s="246"/>
      <c r="BI202" s="246"/>
      <c r="BJ202" s="246"/>
      <c r="BK202" s="246"/>
      <c r="BL202" s="246"/>
    </row>
    <row r="203" ht="15.75" customHeight="1">
      <c r="A203" s="246"/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  <c r="AF203" s="246"/>
      <c r="AG203" s="246"/>
      <c r="AH203" s="246"/>
      <c r="AI203" s="246"/>
      <c r="AJ203" s="246"/>
      <c r="AK203" s="246"/>
      <c r="AL203" s="246"/>
      <c r="AM203" s="246"/>
      <c r="AN203" s="246"/>
      <c r="AO203" s="246"/>
      <c r="AP203" s="246"/>
      <c r="AQ203" s="246"/>
      <c r="AR203" s="246"/>
      <c r="AS203" s="246"/>
      <c r="AT203" s="246"/>
      <c r="AU203" s="246"/>
      <c r="AV203" s="246"/>
      <c r="AW203" s="246"/>
      <c r="AX203" s="246"/>
      <c r="AY203" s="246"/>
      <c r="AZ203" s="246"/>
      <c r="BA203" s="246"/>
      <c r="BB203" s="246"/>
      <c r="BC203" s="246"/>
      <c r="BD203" s="246"/>
      <c r="BE203" s="246"/>
      <c r="BF203" s="246"/>
      <c r="BG203" s="246"/>
      <c r="BH203" s="246"/>
      <c r="BI203" s="246"/>
      <c r="BJ203" s="246"/>
      <c r="BK203" s="246"/>
      <c r="BL203" s="246"/>
    </row>
    <row r="204" ht="15.75" customHeight="1">
      <c r="A204" s="246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  <c r="AD204" s="246"/>
      <c r="AE204" s="246"/>
      <c r="AF204" s="246"/>
      <c r="AG204" s="246"/>
      <c r="AH204" s="246"/>
      <c r="AI204" s="246"/>
      <c r="AJ204" s="246"/>
      <c r="AK204" s="246"/>
      <c r="AL204" s="246"/>
      <c r="AM204" s="246"/>
      <c r="AN204" s="246"/>
      <c r="AO204" s="246"/>
      <c r="AP204" s="246"/>
      <c r="AQ204" s="246"/>
      <c r="AR204" s="246"/>
      <c r="AS204" s="246"/>
      <c r="AT204" s="246"/>
      <c r="AU204" s="246"/>
      <c r="AV204" s="246"/>
      <c r="AW204" s="246"/>
      <c r="AX204" s="246"/>
      <c r="AY204" s="246"/>
      <c r="AZ204" s="246"/>
      <c r="BA204" s="246"/>
      <c r="BB204" s="246"/>
      <c r="BC204" s="246"/>
      <c r="BD204" s="246"/>
      <c r="BE204" s="246"/>
      <c r="BF204" s="246"/>
      <c r="BG204" s="246"/>
      <c r="BH204" s="246"/>
      <c r="BI204" s="246"/>
      <c r="BJ204" s="246"/>
      <c r="BK204" s="246"/>
      <c r="BL204" s="246"/>
    </row>
    <row r="205" ht="15.75" customHeight="1">
      <c r="A205" s="246"/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  <c r="AF205" s="246"/>
      <c r="AG205" s="246"/>
      <c r="AH205" s="246"/>
      <c r="AI205" s="246"/>
      <c r="AJ205" s="246"/>
      <c r="AK205" s="246"/>
      <c r="AL205" s="246"/>
      <c r="AM205" s="246"/>
      <c r="AN205" s="246"/>
      <c r="AO205" s="246"/>
      <c r="AP205" s="246"/>
      <c r="AQ205" s="246"/>
      <c r="AR205" s="246"/>
      <c r="AS205" s="246"/>
      <c r="AT205" s="246"/>
      <c r="AU205" s="246"/>
      <c r="AV205" s="246"/>
      <c r="AW205" s="246"/>
      <c r="AX205" s="246"/>
      <c r="AY205" s="246"/>
      <c r="AZ205" s="246"/>
      <c r="BA205" s="246"/>
      <c r="BB205" s="246"/>
      <c r="BC205" s="246"/>
      <c r="BD205" s="246"/>
      <c r="BE205" s="246"/>
      <c r="BF205" s="246"/>
      <c r="BG205" s="246"/>
      <c r="BH205" s="246"/>
      <c r="BI205" s="246"/>
      <c r="BJ205" s="246"/>
      <c r="BK205" s="246"/>
      <c r="BL205" s="246"/>
    </row>
    <row r="206" ht="15.75" customHeight="1">
      <c r="A206" s="246"/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  <c r="AD206" s="246"/>
      <c r="AE206" s="246"/>
      <c r="AF206" s="246"/>
      <c r="AG206" s="246"/>
      <c r="AH206" s="246"/>
      <c r="AI206" s="246"/>
      <c r="AJ206" s="246"/>
      <c r="AK206" s="246"/>
      <c r="AL206" s="246"/>
      <c r="AM206" s="246"/>
      <c r="AN206" s="246"/>
      <c r="AO206" s="246"/>
      <c r="AP206" s="246"/>
      <c r="AQ206" s="246"/>
      <c r="AR206" s="246"/>
      <c r="AS206" s="246"/>
      <c r="AT206" s="246"/>
      <c r="AU206" s="246"/>
      <c r="AV206" s="246"/>
      <c r="AW206" s="246"/>
      <c r="AX206" s="246"/>
      <c r="AY206" s="246"/>
      <c r="AZ206" s="246"/>
      <c r="BA206" s="246"/>
      <c r="BB206" s="246"/>
      <c r="BC206" s="246"/>
      <c r="BD206" s="246"/>
      <c r="BE206" s="246"/>
      <c r="BF206" s="246"/>
      <c r="BG206" s="246"/>
      <c r="BH206" s="246"/>
      <c r="BI206" s="246"/>
      <c r="BJ206" s="246"/>
      <c r="BK206" s="246"/>
      <c r="BL206" s="246"/>
    </row>
    <row r="207" ht="15.75" customHeight="1">
      <c r="A207" s="246"/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  <c r="AF207" s="246"/>
      <c r="AG207" s="246"/>
      <c r="AH207" s="246"/>
      <c r="AI207" s="246"/>
      <c r="AJ207" s="246"/>
      <c r="AK207" s="246"/>
      <c r="AL207" s="246"/>
      <c r="AM207" s="246"/>
      <c r="AN207" s="246"/>
      <c r="AO207" s="246"/>
      <c r="AP207" s="246"/>
      <c r="AQ207" s="246"/>
      <c r="AR207" s="246"/>
      <c r="AS207" s="246"/>
      <c r="AT207" s="246"/>
      <c r="AU207" s="246"/>
      <c r="AV207" s="246"/>
      <c r="AW207" s="246"/>
      <c r="AX207" s="246"/>
      <c r="AY207" s="246"/>
      <c r="AZ207" s="246"/>
      <c r="BA207" s="246"/>
      <c r="BB207" s="246"/>
      <c r="BC207" s="246"/>
      <c r="BD207" s="246"/>
      <c r="BE207" s="246"/>
      <c r="BF207" s="246"/>
      <c r="BG207" s="246"/>
      <c r="BH207" s="246"/>
      <c r="BI207" s="246"/>
      <c r="BJ207" s="246"/>
      <c r="BK207" s="246"/>
      <c r="BL207" s="246"/>
    </row>
    <row r="208" ht="15.75" customHeight="1">
      <c r="A208" s="246"/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  <c r="AD208" s="246"/>
      <c r="AE208" s="246"/>
      <c r="AF208" s="246"/>
      <c r="AG208" s="246"/>
      <c r="AH208" s="246"/>
      <c r="AI208" s="246"/>
      <c r="AJ208" s="246"/>
      <c r="AK208" s="246"/>
      <c r="AL208" s="246"/>
      <c r="AM208" s="246"/>
      <c r="AN208" s="246"/>
      <c r="AO208" s="246"/>
      <c r="AP208" s="246"/>
      <c r="AQ208" s="246"/>
      <c r="AR208" s="246"/>
      <c r="AS208" s="246"/>
      <c r="AT208" s="246"/>
      <c r="AU208" s="246"/>
      <c r="AV208" s="246"/>
      <c r="AW208" s="246"/>
      <c r="AX208" s="246"/>
      <c r="AY208" s="246"/>
      <c r="AZ208" s="246"/>
      <c r="BA208" s="246"/>
      <c r="BB208" s="246"/>
      <c r="BC208" s="246"/>
      <c r="BD208" s="246"/>
      <c r="BE208" s="246"/>
      <c r="BF208" s="246"/>
      <c r="BG208" s="246"/>
      <c r="BH208" s="246"/>
      <c r="BI208" s="246"/>
      <c r="BJ208" s="246"/>
      <c r="BK208" s="246"/>
      <c r="BL208" s="246"/>
    </row>
    <row r="209" ht="15.75" customHeight="1">
      <c r="A209" s="246"/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6"/>
      <c r="AG209" s="246"/>
      <c r="AH209" s="246"/>
      <c r="AI209" s="246"/>
      <c r="AJ209" s="246"/>
      <c r="AK209" s="246"/>
      <c r="AL209" s="246"/>
      <c r="AM209" s="246"/>
      <c r="AN209" s="246"/>
      <c r="AO209" s="246"/>
      <c r="AP209" s="246"/>
      <c r="AQ209" s="246"/>
      <c r="AR209" s="246"/>
      <c r="AS209" s="246"/>
      <c r="AT209" s="246"/>
      <c r="AU209" s="246"/>
      <c r="AV209" s="246"/>
      <c r="AW209" s="246"/>
      <c r="AX209" s="246"/>
      <c r="AY209" s="246"/>
      <c r="AZ209" s="246"/>
      <c r="BA209" s="246"/>
      <c r="BB209" s="246"/>
      <c r="BC209" s="246"/>
      <c r="BD209" s="246"/>
      <c r="BE209" s="246"/>
      <c r="BF209" s="246"/>
      <c r="BG209" s="246"/>
      <c r="BH209" s="246"/>
      <c r="BI209" s="246"/>
      <c r="BJ209" s="246"/>
      <c r="BK209" s="246"/>
      <c r="BL209" s="246"/>
    </row>
    <row r="210" ht="15.75" customHeight="1">
      <c r="A210" s="246"/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6"/>
      <c r="AG210" s="246"/>
      <c r="AH210" s="246"/>
      <c r="AI210" s="246"/>
      <c r="AJ210" s="246"/>
      <c r="AK210" s="246"/>
      <c r="AL210" s="246"/>
      <c r="AM210" s="246"/>
      <c r="AN210" s="246"/>
      <c r="AO210" s="246"/>
      <c r="AP210" s="246"/>
      <c r="AQ210" s="246"/>
      <c r="AR210" s="246"/>
      <c r="AS210" s="246"/>
      <c r="AT210" s="246"/>
      <c r="AU210" s="246"/>
      <c r="AV210" s="246"/>
      <c r="AW210" s="246"/>
      <c r="AX210" s="246"/>
      <c r="AY210" s="246"/>
      <c r="AZ210" s="246"/>
      <c r="BA210" s="246"/>
      <c r="BB210" s="246"/>
      <c r="BC210" s="246"/>
      <c r="BD210" s="246"/>
      <c r="BE210" s="246"/>
      <c r="BF210" s="246"/>
      <c r="BG210" s="246"/>
      <c r="BH210" s="246"/>
      <c r="BI210" s="246"/>
      <c r="BJ210" s="246"/>
      <c r="BK210" s="246"/>
      <c r="BL210" s="246"/>
    </row>
    <row r="211" ht="15.75" customHeight="1">
      <c r="A211" s="246"/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6"/>
      <c r="AG211" s="246"/>
      <c r="AH211" s="246"/>
      <c r="AI211" s="246"/>
      <c r="AJ211" s="246"/>
      <c r="AK211" s="246"/>
      <c r="AL211" s="246"/>
      <c r="AM211" s="246"/>
      <c r="AN211" s="246"/>
      <c r="AO211" s="246"/>
      <c r="AP211" s="246"/>
      <c r="AQ211" s="246"/>
      <c r="AR211" s="246"/>
      <c r="AS211" s="246"/>
      <c r="AT211" s="246"/>
      <c r="AU211" s="246"/>
      <c r="AV211" s="246"/>
      <c r="AW211" s="246"/>
      <c r="AX211" s="246"/>
      <c r="AY211" s="246"/>
      <c r="AZ211" s="246"/>
      <c r="BA211" s="246"/>
      <c r="BB211" s="246"/>
      <c r="BC211" s="246"/>
      <c r="BD211" s="246"/>
      <c r="BE211" s="246"/>
      <c r="BF211" s="246"/>
      <c r="BG211" s="246"/>
      <c r="BH211" s="246"/>
      <c r="BI211" s="246"/>
      <c r="BJ211" s="246"/>
      <c r="BK211" s="246"/>
      <c r="BL211" s="246"/>
    </row>
    <row r="212" ht="15.75" customHeight="1">
      <c r="A212" s="246"/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  <c r="AF212" s="246"/>
      <c r="AG212" s="246"/>
      <c r="AH212" s="246"/>
      <c r="AI212" s="246"/>
      <c r="AJ212" s="246"/>
      <c r="AK212" s="246"/>
      <c r="AL212" s="246"/>
      <c r="AM212" s="246"/>
      <c r="AN212" s="246"/>
      <c r="AO212" s="246"/>
      <c r="AP212" s="246"/>
      <c r="AQ212" s="246"/>
      <c r="AR212" s="246"/>
      <c r="AS212" s="246"/>
      <c r="AT212" s="246"/>
      <c r="AU212" s="246"/>
      <c r="AV212" s="246"/>
      <c r="AW212" s="246"/>
      <c r="AX212" s="246"/>
      <c r="AY212" s="246"/>
      <c r="AZ212" s="246"/>
      <c r="BA212" s="246"/>
      <c r="BB212" s="246"/>
      <c r="BC212" s="246"/>
      <c r="BD212" s="246"/>
      <c r="BE212" s="246"/>
      <c r="BF212" s="246"/>
      <c r="BG212" s="246"/>
      <c r="BH212" s="246"/>
      <c r="BI212" s="246"/>
      <c r="BJ212" s="246"/>
      <c r="BK212" s="246"/>
      <c r="BL212" s="246"/>
    </row>
    <row r="213" ht="15.75" customHeight="1">
      <c r="A213" s="246"/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  <c r="AF213" s="246"/>
      <c r="AG213" s="246"/>
      <c r="AH213" s="246"/>
      <c r="AI213" s="246"/>
      <c r="AJ213" s="246"/>
      <c r="AK213" s="246"/>
      <c r="AL213" s="246"/>
      <c r="AM213" s="246"/>
      <c r="AN213" s="246"/>
      <c r="AO213" s="246"/>
      <c r="AP213" s="246"/>
      <c r="AQ213" s="246"/>
      <c r="AR213" s="246"/>
      <c r="AS213" s="246"/>
      <c r="AT213" s="246"/>
      <c r="AU213" s="246"/>
      <c r="AV213" s="246"/>
      <c r="AW213" s="246"/>
      <c r="AX213" s="246"/>
      <c r="AY213" s="246"/>
      <c r="AZ213" s="246"/>
      <c r="BA213" s="246"/>
      <c r="BB213" s="246"/>
      <c r="BC213" s="246"/>
      <c r="BD213" s="246"/>
      <c r="BE213" s="246"/>
      <c r="BF213" s="246"/>
      <c r="BG213" s="246"/>
      <c r="BH213" s="246"/>
      <c r="BI213" s="246"/>
      <c r="BJ213" s="246"/>
      <c r="BK213" s="246"/>
      <c r="BL213" s="246"/>
    </row>
    <row r="214" ht="15.75" customHeight="1">
      <c r="A214" s="246"/>
      <c r="B214" s="246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  <c r="AD214" s="246"/>
      <c r="AE214" s="246"/>
      <c r="AF214" s="246"/>
      <c r="AG214" s="246"/>
      <c r="AH214" s="246"/>
      <c r="AI214" s="246"/>
      <c r="AJ214" s="246"/>
      <c r="AK214" s="246"/>
      <c r="AL214" s="246"/>
      <c r="AM214" s="246"/>
      <c r="AN214" s="246"/>
      <c r="AO214" s="246"/>
      <c r="AP214" s="246"/>
      <c r="AQ214" s="246"/>
      <c r="AR214" s="246"/>
      <c r="AS214" s="246"/>
      <c r="AT214" s="246"/>
      <c r="AU214" s="246"/>
      <c r="AV214" s="246"/>
      <c r="AW214" s="246"/>
      <c r="AX214" s="246"/>
      <c r="AY214" s="246"/>
      <c r="AZ214" s="246"/>
      <c r="BA214" s="246"/>
      <c r="BB214" s="246"/>
      <c r="BC214" s="246"/>
      <c r="BD214" s="246"/>
      <c r="BE214" s="246"/>
      <c r="BF214" s="246"/>
      <c r="BG214" s="246"/>
      <c r="BH214" s="246"/>
      <c r="BI214" s="246"/>
      <c r="BJ214" s="246"/>
      <c r="BK214" s="246"/>
      <c r="BL214" s="246"/>
    </row>
    <row r="215" ht="15.75" customHeight="1">
      <c r="A215" s="246"/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  <c r="AF215" s="246"/>
      <c r="AG215" s="246"/>
      <c r="AH215" s="246"/>
      <c r="AI215" s="246"/>
      <c r="AJ215" s="246"/>
      <c r="AK215" s="246"/>
      <c r="AL215" s="246"/>
      <c r="AM215" s="246"/>
      <c r="AN215" s="246"/>
      <c r="AO215" s="246"/>
      <c r="AP215" s="246"/>
      <c r="AQ215" s="246"/>
      <c r="AR215" s="246"/>
      <c r="AS215" s="246"/>
      <c r="AT215" s="246"/>
      <c r="AU215" s="246"/>
      <c r="AV215" s="246"/>
      <c r="AW215" s="246"/>
      <c r="AX215" s="246"/>
      <c r="AY215" s="246"/>
      <c r="AZ215" s="246"/>
      <c r="BA215" s="246"/>
      <c r="BB215" s="246"/>
      <c r="BC215" s="246"/>
      <c r="BD215" s="246"/>
      <c r="BE215" s="246"/>
      <c r="BF215" s="246"/>
      <c r="BG215" s="246"/>
      <c r="BH215" s="246"/>
      <c r="BI215" s="246"/>
      <c r="BJ215" s="246"/>
      <c r="BK215" s="246"/>
      <c r="BL215" s="246"/>
    </row>
    <row r="216" ht="15.75" customHeight="1">
      <c r="A216" s="246"/>
      <c r="B216" s="246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  <c r="AD216" s="246"/>
      <c r="AE216" s="246"/>
      <c r="AF216" s="246"/>
      <c r="AG216" s="246"/>
      <c r="AH216" s="246"/>
      <c r="AI216" s="246"/>
      <c r="AJ216" s="246"/>
      <c r="AK216" s="246"/>
      <c r="AL216" s="246"/>
      <c r="AM216" s="246"/>
      <c r="AN216" s="246"/>
      <c r="AO216" s="246"/>
      <c r="AP216" s="246"/>
      <c r="AQ216" s="246"/>
      <c r="AR216" s="246"/>
      <c r="AS216" s="246"/>
      <c r="AT216" s="246"/>
      <c r="AU216" s="246"/>
      <c r="AV216" s="246"/>
      <c r="AW216" s="246"/>
      <c r="AX216" s="246"/>
      <c r="AY216" s="246"/>
      <c r="AZ216" s="246"/>
      <c r="BA216" s="246"/>
      <c r="BB216" s="246"/>
      <c r="BC216" s="246"/>
      <c r="BD216" s="246"/>
      <c r="BE216" s="246"/>
      <c r="BF216" s="246"/>
      <c r="BG216" s="246"/>
      <c r="BH216" s="246"/>
      <c r="BI216" s="246"/>
      <c r="BJ216" s="246"/>
      <c r="BK216" s="246"/>
      <c r="BL216" s="246"/>
    </row>
    <row r="217" ht="15.75" customHeight="1">
      <c r="A217" s="246"/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  <c r="AF217" s="246"/>
      <c r="AG217" s="246"/>
      <c r="AH217" s="246"/>
      <c r="AI217" s="246"/>
      <c r="AJ217" s="246"/>
      <c r="AK217" s="246"/>
      <c r="AL217" s="246"/>
      <c r="AM217" s="246"/>
      <c r="AN217" s="246"/>
      <c r="AO217" s="246"/>
      <c r="AP217" s="246"/>
      <c r="AQ217" s="246"/>
      <c r="AR217" s="246"/>
      <c r="AS217" s="246"/>
      <c r="AT217" s="246"/>
      <c r="AU217" s="246"/>
      <c r="AV217" s="246"/>
      <c r="AW217" s="246"/>
      <c r="AX217" s="246"/>
      <c r="AY217" s="246"/>
      <c r="AZ217" s="246"/>
      <c r="BA217" s="246"/>
      <c r="BB217" s="246"/>
      <c r="BC217" s="246"/>
      <c r="BD217" s="246"/>
      <c r="BE217" s="246"/>
      <c r="BF217" s="246"/>
      <c r="BG217" s="246"/>
      <c r="BH217" s="246"/>
      <c r="BI217" s="246"/>
      <c r="BJ217" s="246"/>
      <c r="BK217" s="246"/>
      <c r="BL217" s="246"/>
    </row>
    <row r="218" ht="15.75" customHeight="1">
      <c r="A218" s="246"/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  <c r="AD218" s="246"/>
      <c r="AE218" s="246"/>
      <c r="AF218" s="246"/>
      <c r="AG218" s="246"/>
      <c r="AH218" s="246"/>
      <c r="AI218" s="246"/>
      <c r="AJ218" s="246"/>
      <c r="AK218" s="246"/>
      <c r="AL218" s="246"/>
      <c r="AM218" s="246"/>
      <c r="AN218" s="246"/>
      <c r="AO218" s="246"/>
      <c r="AP218" s="246"/>
      <c r="AQ218" s="246"/>
      <c r="AR218" s="246"/>
      <c r="AS218" s="246"/>
      <c r="AT218" s="246"/>
      <c r="AU218" s="246"/>
      <c r="AV218" s="246"/>
      <c r="AW218" s="246"/>
      <c r="AX218" s="246"/>
      <c r="AY218" s="246"/>
      <c r="AZ218" s="246"/>
      <c r="BA218" s="246"/>
      <c r="BB218" s="246"/>
      <c r="BC218" s="246"/>
      <c r="BD218" s="246"/>
      <c r="BE218" s="246"/>
      <c r="BF218" s="246"/>
      <c r="BG218" s="246"/>
      <c r="BH218" s="246"/>
      <c r="BI218" s="246"/>
      <c r="BJ218" s="246"/>
      <c r="BK218" s="246"/>
      <c r="BL218" s="246"/>
    </row>
    <row r="219" ht="15.75" customHeight="1">
      <c r="A219" s="246"/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  <c r="AF219" s="246"/>
      <c r="AG219" s="246"/>
      <c r="AH219" s="246"/>
      <c r="AI219" s="246"/>
      <c r="AJ219" s="246"/>
      <c r="AK219" s="246"/>
      <c r="AL219" s="246"/>
      <c r="AM219" s="246"/>
      <c r="AN219" s="246"/>
      <c r="AO219" s="246"/>
      <c r="AP219" s="246"/>
      <c r="AQ219" s="246"/>
      <c r="AR219" s="246"/>
      <c r="AS219" s="246"/>
      <c r="AT219" s="246"/>
      <c r="AU219" s="246"/>
      <c r="AV219" s="246"/>
      <c r="AW219" s="246"/>
      <c r="AX219" s="246"/>
      <c r="AY219" s="246"/>
      <c r="AZ219" s="246"/>
      <c r="BA219" s="246"/>
      <c r="BB219" s="246"/>
      <c r="BC219" s="246"/>
      <c r="BD219" s="246"/>
      <c r="BE219" s="246"/>
      <c r="BF219" s="246"/>
      <c r="BG219" s="246"/>
      <c r="BH219" s="246"/>
      <c r="BI219" s="246"/>
      <c r="BJ219" s="246"/>
      <c r="BK219" s="246"/>
      <c r="BL219" s="246"/>
    </row>
    <row r="220" ht="15.75" customHeight="1">
      <c r="A220" s="246"/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  <c r="AF220" s="246"/>
      <c r="AG220" s="246"/>
      <c r="AH220" s="246"/>
      <c r="AI220" s="246"/>
      <c r="AJ220" s="246"/>
      <c r="AK220" s="246"/>
      <c r="AL220" s="246"/>
      <c r="AM220" s="246"/>
      <c r="AN220" s="246"/>
      <c r="AO220" s="246"/>
      <c r="AP220" s="246"/>
      <c r="AQ220" s="246"/>
      <c r="AR220" s="246"/>
      <c r="AS220" s="246"/>
      <c r="AT220" s="246"/>
      <c r="AU220" s="246"/>
      <c r="AV220" s="246"/>
      <c r="AW220" s="246"/>
      <c r="AX220" s="246"/>
      <c r="AY220" s="246"/>
      <c r="AZ220" s="246"/>
      <c r="BA220" s="246"/>
      <c r="BB220" s="246"/>
      <c r="BC220" s="246"/>
      <c r="BD220" s="246"/>
      <c r="BE220" s="246"/>
      <c r="BF220" s="246"/>
      <c r="BG220" s="246"/>
      <c r="BH220" s="246"/>
      <c r="BI220" s="246"/>
      <c r="BJ220" s="246"/>
      <c r="BK220" s="246"/>
      <c r="BL220" s="246"/>
    </row>
    <row r="221" ht="15.75" customHeight="1">
      <c r="A221" s="246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  <c r="AF221" s="246"/>
      <c r="AG221" s="246"/>
      <c r="AH221" s="246"/>
      <c r="AI221" s="246"/>
      <c r="AJ221" s="246"/>
      <c r="AK221" s="246"/>
      <c r="AL221" s="246"/>
      <c r="AM221" s="246"/>
      <c r="AN221" s="246"/>
      <c r="AO221" s="246"/>
      <c r="AP221" s="246"/>
      <c r="AQ221" s="246"/>
      <c r="AR221" s="246"/>
      <c r="AS221" s="246"/>
      <c r="AT221" s="246"/>
      <c r="AU221" s="246"/>
      <c r="AV221" s="246"/>
      <c r="AW221" s="246"/>
      <c r="AX221" s="246"/>
      <c r="AY221" s="246"/>
      <c r="AZ221" s="246"/>
      <c r="BA221" s="246"/>
      <c r="BB221" s="246"/>
      <c r="BC221" s="246"/>
      <c r="BD221" s="246"/>
      <c r="BE221" s="246"/>
      <c r="BF221" s="246"/>
      <c r="BG221" s="246"/>
      <c r="BH221" s="246"/>
      <c r="BI221" s="246"/>
      <c r="BJ221" s="246"/>
      <c r="BK221" s="246"/>
      <c r="BL221" s="246"/>
    </row>
    <row r="222" ht="15.75" customHeight="1">
      <c r="A222" s="246"/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  <c r="AF222" s="246"/>
      <c r="AG222" s="246"/>
      <c r="AH222" s="246"/>
      <c r="AI222" s="246"/>
      <c r="AJ222" s="246"/>
      <c r="AK222" s="246"/>
      <c r="AL222" s="246"/>
      <c r="AM222" s="246"/>
      <c r="AN222" s="246"/>
      <c r="AO222" s="246"/>
      <c r="AP222" s="246"/>
      <c r="AQ222" s="246"/>
      <c r="AR222" s="246"/>
      <c r="AS222" s="246"/>
      <c r="AT222" s="246"/>
      <c r="AU222" s="246"/>
      <c r="AV222" s="246"/>
      <c r="AW222" s="246"/>
      <c r="AX222" s="246"/>
      <c r="AY222" s="246"/>
      <c r="AZ222" s="246"/>
      <c r="BA222" s="246"/>
      <c r="BB222" s="246"/>
      <c r="BC222" s="246"/>
      <c r="BD222" s="246"/>
      <c r="BE222" s="246"/>
      <c r="BF222" s="246"/>
      <c r="BG222" s="246"/>
      <c r="BH222" s="246"/>
      <c r="BI222" s="246"/>
      <c r="BJ222" s="246"/>
      <c r="BK222" s="246"/>
      <c r="BL222" s="246"/>
    </row>
    <row r="223" ht="15.75" customHeight="1">
      <c r="A223" s="246"/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  <c r="AF223" s="246"/>
      <c r="AG223" s="246"/>
      <c r="AH223" s="246"/>
      <c r="AI223" s="246"/>
      <c r="AJ223" s="246"/>
      <c r="AK223" s="246"/>
      <c r="AL223" s="246"/>
      <c r="AM223" s="246"/>
      <c r="AN223" s="246"/>
      <c r="AO223" s="246"/>
      <c r="AP223" s="246"/>
      <c r="AQ223" s="246"/>
      <c r="AR223" s="246"/>
      <c r="AS223" s="246"/>
      <c r="AT223" s="246"/>
      <c r="AU223" s="246"/>
      <c r="AV223" s="246"/>
      <c r="AW223" s="246"/>
      <c r="AX223" s="246"/>
      <c r="AY223" s="246"/>
      <c r="AZ223" s="246"/>
      <c r="BA223" s="246"/>
      <c r="BB223" s="246"/>
      <c r="BC223" s="246"/>
      <c r="BD223" s="246"/>
      <c r="BE223" s="246"/>
      <c r="BF223" s="246"/>
      <c r="BG223" s="246"/>
      <c r="BH223" s="246"/>
      <c r="BI223" s="246"/>
      <c r="BJ223" s="246"/>
      <c r="BK223" s="246"/>
      <c r="BL223" s="246"/>
    </row>
    <row r="224" ht="15.75" customHeight="1">
      <c r="A224" s="246"/>
      <c r="B224" s="246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  <c r="AF224" s="246"/>
      <c r="AG224" s="246"/>
      <c r="AH224" s="246"/>
      <c r="AI224" s="246"/>
      <c r="AJ224" s="246"/>
      <c r="AK224" s="246"/>
      <c r="AL224" s="246"/>
      <c r="AM224" s="246"/>
      <c r="AN224" s="246"/>
      <c r="AO224" s="246"/>
      <c r="AP224" s="246"/>
      <c r="AQ224" s="246"/>
      <c r="AR224" s="246"/>
      <c r="AS224" s="246"/>
      <c r="AT224" s="246"/>
      <c r="AU224" s="246"/>
      <c r="AV224" s="246"/>
      <c r="AW224" s="246"/>
      <c r="AX224" s="246"/>
      <c r="AY224" s="246"/>
      <c r="AZ224" s="246"/>
      <c r="BA224" s="246"/>
      <c r="BB224" s="246"/>
      <c r="BC224" s="246"/>
      <c r="BD224" s="246"/>
      <c r="BE224" s="246"/>
      <c r="BF224" s="246"/>
      <c r="BG224" s="246"/>
      <c r="BH224" s="246"/>
      <c r="BI224" s="246"/>
      <c r="BJ224" s="246"/>
      <c r="BK224" s="246"/>
      <c r="BL224" s="246"/>
    </row>
    <row r="225" ht="15.75" customHeight="1">
      <c r="A225" s="246"/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  <c r="AF225" s="246"/>
      <c r="AG225" s="246"/>
      <c r="AH225" s="246"/>
      <c r="AI225" s="246"/>
      <c r="AJ225" s="246"/>
      <c r="AK225" s="246"/>
      <c r="AL225" s="246"/>
      <c r="AM225" s="246"/>
      <c r="AN225" s="246"/>
      <c r="AO225" s="246"/>
      <c r="AP225" s="246"/>
      <c r="AQ225" s="246"/>
      <c r="AR225" s="246"/>
      <c r="AS225" s="246"/>
      <c r="AT225" s="246"/>
      <c r="AU225" s="246"/>
      <c r="AV225" s="246"/>
      <c r="AW225" s="246"/>
      <c r="AX225" s="246"/>
      <c r="AY225" s="246"/>
      <c r="AZ225" s="246"/>
      <c r="BA225" s="246"/>
      <c r="BB225" s="246"/>
      <c r="BC225" s="246"/>
      <c r="BD225" s="246"/>
      <c r="BE225" s="246"/>
      <c r="BF225" s="246"/>
      <c r="BG225" s="246"/>
      <c r="BH225" s="246"/>
      <c r="BI225" s="246"/>
      <c r="BJ225" s="246"/>
      <c r="BK225" s="246"/>
      <c r="BL225" s="246"/>
    </row>
    <row r="226" ht="15.75" customHeight="1">
      <c r="A226" s="246"/>
      <c r="B226" s="246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  <c r="AB226" s="246"/>
      <c r="AC226" s="246"/>
      <c r="AD226" s="246"/>
      <c r="AE226" s="246"/>
      <c r="AF226" s="246"/>
      <c r="AG226" s="246"/>
      <c r="AH226" s="246"/>
      <c r="AI226" s="246"/>
      <c r="AJ226" s="246"/>
      <c r="AK226" s="246"/>
      <c r="AL226" s="246"/>
      <c r="AM226" s="246"/>
      <c r="AN226" s="246"/>
      <c r="AO226" s="246"/>
      <c r="AP226" s="246"/>
      <c r="AQ226" s="246"/>
      <c r="AR226" s="246"/>
      <c r="AS226" s="246"/>
      <c r="AT226" s="246"/>
      <c r="AU226" s="246"/>
      <c r="AV226" s="246"/>
      <c r="AW226" s="246"/>
      <c r="AX226" s="246"/>
      <c r="AY226" s="246"/>
      <c r="AZ226" s="246"/>
      <c r="BA226" s="246"/>
      <c r="BB226" s="246"/>
      <c r="BC226" s="246"/>
      <c r="BD226" s="246"/>
      <c r="BE226" s="246"/>
      <c r="BF226" s="246"/>
      <c r="BG226" s="246"/>
      <c r="BH226" s="246"/>
      <c r="BI226" s="246"/>
      <c r="BJ226" s="246"/>
      <c r="BK226" s="246"/>
      <c r="BL226" s="246"/>
    </row>
    <row r="227" ht="15.75" customHeight="1">
      <c r="A227" s="246"/>
      <c r="B227" s="246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  <c r="AD227" s="246"/>
      <c r="AE227" s="246"/>
      <c r="AF227" s="246"/>
      <c r="AG227" s="246"/>
      <c r="AH227" s="246"/>
      <c r="AI227" s="246"/>
      <c r="AJ227" s="246"/>
      <c r="AK227" s="246"/>
      <c r="AL227" s="246"/>
      <c r="AM227" s="246"/>
      <c r="AN227" s="246"/>
      <c r="AO227" s="246"/>
      <c r="AP227" s="246"/>
      <c r="AQ227" s="246"/>
      <c r="AR227" s="246"/>
      <c r="AS227" s="246"/>
      <c r="AT227" s="246"/>
      <c r="AU227" s="246"/>
      <c r="AV227" s="246"/>
      <c r="AW227" s="246"/>
      <c r="AX227" s="246"/>
      <c r="AY227" s="246"/>
      <c r="AZ227" s="246"/>
      <c r="BA227" s="246"/>
      <c r="BB227" s="246"/>
      <c r="BC227" s="246"/>
      <c r="BD227" s="246"/>
      <c r="BE227" s="246"/>
      <c r="BF227" s="246"/>
      <c r="BG227" s="246"/>
      <c r="BH227" s="246"/>
      <c r="BI227" s="246"/>
      <c r="BJ227" s="246"/>
      <c r="BK227" s="246"/>
      <c r="BL227" s="246"/>
    </row>
    <row r="228" ht="15.75" customHeight="1">
      <c r="A228" s="246"/>
      <c r="B228" s="246"/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  <c r="AF228" s="246"/>
      <c r="AG228" s="246"/>
      <c r="AH228" s="246"/>
      <c r="AI228" s="246"/>
      <c r="AJ228" s="246"/>
      <c r="AK228" s="246"/>
      <c r="AL228" s="246"/>
      <c r="AM228" s="246"/>
      <c r="AN228" s="246"/>
      <c r="AO228" s="246"/>
      <c r="AP228" s="246"/>
      <c r="AQ228" s="246"/>
      <c r="AR228" s="246"/>
      <c r="AS228" s="246"/>
      <c r="AT228" s="246"/>
      <c r="AU228" s="246"/>
      <c r="AV228" s="246"/>
      <c r="AW228" s="246"/>
      <c r="AX228" s="246"/>
      <c r="AY228" s="246"/>
      <c r="AZ228" s="246"/>
      <c r="BA228" s="246"/>
      <c r="BB228" s="246"/>
      <c r="BC228" s="246"/>
      <c r="BD228" s="246"/>
      <c r="BE228" s="246"/>
      <c r="BF228" s="246"/>
      <c r="BG228" s="246"/>
      <c r="BH228" s="246"/>
      <c r="BI228" s="246"/>
      <c r="BJ228" s="246"/>
      <c r="BK228" s="246"/>
      <c r="BL228" s="246"/>
    </row>
    <row r="229" ht="15.75" customHeight="1">
      <c r="A229" s="246"/>
      <c r="B229" s="246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  <c r="AF229" s="246"/>
      <c r="AG229" s="246"/>
      <c r="AH229" s="246"/>
      <c r="AI229" s="246"/>
      <c r="AJ229" s="246"/>
      <c r="AK229" s="246"/>
      <c r="AL229" s="246"/>
      <c r="AM229" s="246"/>
      <c r="AN229" s="246"/>
      <c r="AO229" s="246"/>
      <c r="AP229" s="246"/>
      <c r="AQ229" s="246"/>
      <c r="AR229" s="246"/>
      <c r="AS229" s="246"/>
      <c r="AT229" s="246"/>
      <c r="AU229" s="246"/>
      <c r="AV229" s="246"/>
      <c r="AW229" s="246"/>
      <c r="AX229" s="246"/>
      <c r="AY229" s="246"/>
      <c r="AZ229" s="246"/>
      <c r="BA229" s="246"/>
      <c r="BB229" s="246"/>
      <c r="BC229" s="246"/>
      <c r="BD229" s="246"/>
      <c r="BE229" s="246"/>
      <c r="BF229" s="246"/>
      <c r="BG229" s="246"/>
      <c r="BH229" s="246"/>
      <c r="BI229" s="246"/>
      <c r="BJ229" s="246"/>
      <c r="BK229" s="246"/>
      <c r="BL229" s="246"/>
    </row>
    <row r="230" ht="15.75" customHeight="1">
      <c r="A230" s="246"/>
      <c r="B230" s="246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  <c r="AB230" s="246"/>
      <c r="AC230" s="246"/>
      <c r="AD230" s="246"/>
      <c r="AE230" s="246"/>
      <c r="AF230" s="246"/>
      <c r="AG230" s="246"/>
      <c r="AH230" s="246"/>
      <c r="AI230" s="246"/>
      <c r="AJ230" s="246"/>
      <c r="AK230" s="246"/>
      <c r="AL230" s="246"/>
      <c r="AM230" s="246"/>
      <c r="AN230" s="246"/>
      <c r="AO230" s="246"/>
      <c r="AP230" s="246"/>
      <c r="AQ230" s="246"/>
      <c r="AR230" s="246"/>
      <c r="AS230" s="246"/>
      <c r="AT230" s="246"/>
      <c r="AU230" s="246"/>
      <c r="AV230" s="246"/>
      <c r="AW230" s="246"/>
      <c r="AX230" s="246"/>
      <c r="AY230" s="246"/>
      <c r="AZ230" s="246"/>
      <c r="BA230" s="246"/>
      <c r="BB230" s="246"/>
      <c r="BC230" s="246"/>
      <c r="BD230" s="246"/>
      <c r="BE230" s="246"/>
      <c r="BF230" s="246"/>
      <c r="BG230" s="246"/>
      <c r="BH230" s="246"/>
      <c r="BI230" s="246"/>
      <c r="BJ230" s="246"/>
      <c r="BK230" s="246"/>
      <c r="BL230" s="246"/>
    </row>
    <row r="231" ht="15.75" customHeight="1">
      <c r="A231" s="246"/>
      <c r="B231" s="246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  <c r="AD231" s="246"/>
      <c r="AE231" s="246"/>
      <c r="AF231" s="246"/>
      <c r="AG231" s="246"/>
      <c r="AH231" s="246"/>
      <c r="AI231" s="246"/>
      <c r="AJ231" s="246"/>
      <c r="AK231" s="246"/>
      <c r="AL231" s="246"/>
      <c r="AM231" s="246"/>
      <c r="AN231" s="246"/>
      <c r="AO231" s="246"/>
      <c r="AP231" s="246"/>
      <c r="AQ231" s="246"/>
      <c r="AR231" s="246"/>
      <c r="AS231" s="246"/>
      <c r="AT231" s="246"/>
      <c r="AU231" s="246"/>
      <c r="AV231" s="246"/>
      <c r="AW231" s="246"/>
      <c r="AX231" s="246"/>
      <c r="AY231" s="246"/>
      <c r="AZ231" s="246"/>
      <c r="BA231" s="246"/>
      <c r="BB231" s="246"/>
      <c r="BC231" s="246"/>
      <c r="BD231" s="246"/>
      <c r="BE231" s="246"/>
      <c r="BF231" s="246"/>
      <c r="BG231" s="246"/>
      <c r="BH231" s="246"/>
      <c r="BI231" s="246"/>
      <c r="BJ231" s="246"/>
      <c r="BK231" s="246"/>
      <c r="BL231" s="246"/>
    </row>
    <row r="232" ht="15.75" customHeight="1">
      <c r="A232" s="246"/>
      <c r="B232" s="246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  <c r="AF232" s="246"/>
      <c r="AG232" s="246"/>
      <c r="AH232" s="246"/>
      <c r="AI232" s="246"/>
      <c r="AJ232" s="246"/>
      <c r="AK232" s="246"/>
      <c r="AL232" s="246"/>
      <c r="AM232" s="246"/>
      <c r="AN232" s="246"/>
      <c r="AO232" s="246"/>
      <c r="AP232" s="246"/>
      <c r="AQ232" s="246"/>
      <c r="AR232" s="246"/>
      <c r="AS232" s="246"/>
      <c r="AT232" s="246"/>
      <c r="AU232" s="246"/>
      <c r="AV232" s="246"/>
      <c r="AW232" s="246"/>
      <c r="AX232" s="246"/>
      <c r="AY232" s="246"/>
      <c r="AZ232" s="246"/>
      <c r="BA232" s="246"/>
      <c r="BB232" s="246"/>
      <c r="BC232" s="246"/>
      <c r="BD232" s="246"/>
      <c r="BE232" s="246"/>
      <c r="BF232" s="246"/>
      <c r="BG232" s="246"/>
      <c r="BH232" s="246"/>
      <c r="BI232" s="246"/>
      <c r="BJ232" s="246"/>
      <c r="BK232" s="246"/>
      <c r="BL232" s="246"/>
    </row>
    <row r="233" ht="15.75" customHeight="1">
      <c r="A233" s="246"/>
      <c r="B233" s="246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  <c r="AD233" s="246"/>
      <c r="AE233" s="246"/>
      <c r="AF233" s="246"/>
      <c r="AG233" s="246"/>
      <c r="AH233" s="246"/>
      <c r="AI233" s="246"/>
      <c r="AJ233" s="246"/>
      <c r="AK233" s="246"/>
      <c r="AL233" s="246"/>
      <c r="AM233" s="246"/>
      <c r="AN233" s="246"/>
      <c r="AO233" s="246"/>
      <c r="AP233" s="246"/>
      <c r="AQ233" s="246"/>
      <c r="AR233" s="246"/>
      <c r="AS233" s="246"/>
      <c r="AT233" s="246"/>
      <c r="AU233" s="246"/>
      <c r="AV233" s="246"/>
      <c r="AW233" s="246"/>
      <c r="AX233" s="246"/>
      <c r="AY233" s="246"/>
      <c r="AZ233" s="246"/>
      <c r="BA233" s="246"/>
      <c r="BB233" s="246"/>
      <c r="BC233" s="246"/>
      <c r="BD233" s="246"/>
      <c r="BE233" s="246"/>
      <c r="BF233" s="246"/>
      <c r="BG233" s="246"/>
      <c r="BH233" s="246"/>
      <c r="BI233" s="246"/>
      <c r="BJ233" s="246"/>
      <c r="BK233" s="246"/>
      <c r="BL233" s="246"/>
    </row>
    <row r="234" ht="15.75" customHeight="1">
      <c r="A234" s="246"/>
      <c r="B234" s="246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  <c r="AB234" s="246"/>
      <c r="AC234" s="246"/>
      <c r="AD234" s="246"/>
      <c r="AE234" s="246"/>
      <c r="AF234" s="246"/>
      <c r="AG234" s="246"/>
      <c r="AH234" s="246"/>
      <c r="AI234" s="246"/>
      <c r="AJ234" s="246"/>
      <c r="AK234" s="246"/>
      <c r="AL234" s="246"/>
      <c r="AM234" s="246"/>
      <c r="AN234" s="246"/>
      <c r="AO234" s="246"/>
      <c r="AP234" s="246"/>
      <c r="AQ234" s="246"/>
      <c r="AR234" s="246"/>
      <c r="AS234" s="246"/>
      <c r="AT234" s="246"/>
      <c r="AU234" s="246"/>
      <c r="AV234" s="246"/>
      <c r="AW234" s="246"/>
      <c r="AX234" s="246"/>
      <c r="AY234" s="246"/>
      <c r="AZ234" s="246"/>
      <c r="BA234" s="246"/>
      <c r="BB234" s="246"/>
      <c r="BC234" s="246"/>
      <c r="BD234" s="246"/>
      <c r="BE234" s="246"/>
      <c r="BF234" s="246"/>
      <c r="BG234" s="246"/>
      <c r="BH234" s="246"/>
      <c r="BI234" s="246"/>
      <c r="BJ234" s="246"/>
      <c r="BK234" s="246"/>
      <c r="BL234" s="246"/>
    </row>
    <row r="235" ht="15.75" customHeight="1">
      <c r="A235" s="246"/>
      <c r="B235" s="246"/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  <c r="AB235" s="246"/>
      <c r="AC235" s="246"/>
      <c r="AD235" s="246"/>
      <c r="AE235" s="246"/>
      <c r="AF235" s="246"/>
      <c r="AG235" s="246"/>
      <c r="AH235" s="246"/>
      <c r="AI235" s="246"/>
      <c r="AJ235" s="246"/>
      <c r="AK235" s="246"/>
      <c r="AL235" s="246"/>
      <c r="AM235" s="246"/>
      <c r="AN235" s="246"/>
      <c r="AO235" s="246"/>
      <c r="AP235" s="246"/>
      <c r="AQ235" s="246"/>
      <c r="AR235" s="246"/>
      <c r="AS235" s="246"/>
      <c r="AT235" s="246"/>
      <c r="AU235" s="246"/>
      <c r="AV235" s="246"/>
      <c r="AW235" s="246"/>
      <c r="AX235" s="246"/>
      <c r="AY235" s="246"/>
      <c r="AZ235" s="246"/>
      <c r="BA235" s="246"/>
      <c r="BB235" s="246"/>
      <c r="BC235" s="246"/>
      <c r="BD235" s="246"/>
      <c r="BE235" s="246"/>
      <c r="BF235" s="246"/>
      <c r="BG235" s="246"/>
      <c r="BH235" s="246"/>
      <c r="BI235" s="246"/>
      <c r="BJ235" s="246"/>
      <c r="BK235" s="246"/>
      <c r="BL235" s="246"/>
    </row>
    <row r="236" ht="15.75" customHeight="1">
      <c r="A236" s="246"/>
      <c r="B236" s="246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  <c r="AB236" s="246"/>
      <c r="AC236" s="246"/>
      <c r="AD236" s="246"/>
      <c r="AE236" s="246"/>
      <c r="AF236" s="246"/>
      <c r="AG236" s="246"/>
      <c r="AH236" s="246"/>
      <c r="AI236" s="246"/>
      <c r="AJ236" s="246"/>
      <c r="AK236" s="246"/>
      <c r="AL236" s="246"/>
      <c r="AM236" s="246"/>
      <c r="AN236" s="246"/>
      <c r="AO236" s="246"/>
      <c r="AP236" s="246"/>
      <c r="AQ236" s="246"/>
      <c r="AR236" s="246"/>
      <c r="AS236" s="246"/>
      <c r="AT236" s="246"/>
      <c r="AU236" s="246"/>
      <c r="AV236" s="246"/>
      <c r="AW236" s="246"/>
      <c r="AX236" s="246"/>
      <c r="AY236" s="246"/>
      <c r="AZ236" s="246"/>
      <c r="BA236" s="246"/>
      <c r="BB236" s="246"/>
      <c r="BC236" s="246"/>
      <c r="BD236" s="246"/>
      <c r="BE236" s="246"/>
      <c r="BF236" s="246"/>
      <c r="BG236" s="246"/>
      <c r="BH236" s="246"/>
      <c r="BI236" s="246"/>
      <c r="BJ236" s="246"/>
      <c r="BK236" s="246"/>
      <c r="BL236" s="246"/>
    </row>
    <row r="237" ht="15.75" customHeight="1">
      <c r="A237" s="246"/>
      <c r="B237" s="246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  <c r="AB237" s="246"/>
      <c r="AC237" s="246"/>
      <c r="AD237" s="246"/>
      <c r="AE237" s="246"/>
      <c r="AF237" s="246"/>
      <c r="AG237" s="246"/>
      <c r="AH237" s="246"/>
      <c r="AI237" s="246"/>
      <c r="AJ237" s="246"/>
      <c r="AK237" s="246"/>
      <c r="AL237" s="246"/>
      <c r="AM237" s="246"/>
      <c r="AN237" s="246"/>
      <c r="AO237" s="246"/>
      <c r="AP237" s="246"/>
      <c r="AQ237" s="246"/>
      <c r="AR237" s="246"/>
      <c r="AS237" s="246"/>
      <c r="AT237" s="246"/>
      <c r="AU237" s="246"/>
      <c r="AV237" s="246"/>
      <c r="AW237" s="246"/>
      <c r="AX237" s="246"/>
      <c r="AY237" s="246"/>
      <c r="AZ237" s="246"/>
      <c r="BA237" s="246"/>
      <c r="BB237" s="246"/>
      <c r="BC237" s="246"/>
      <c r="BD237" s="246"/>
      <c r="BE237" s="246"/>
      <c r="BF237" s="246"/>
      <c r="BG237" s="246"/>
      <c r="BH237" s="246"/>
      <c r="BI237" s="246"/>
      <c r="BJ237" s="246"/>
      <c r="BK237" s="246"/>
      <c r="BL237" s="246"/>
    </row>
    <row r="238" ht="15.75" customHeight="1">
      <c r="A238" s="246"/>
      <c r="B238" s="246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  <c r="AB238" s="246"/>
      <c r="AC238" s="246"/>
      <c r="AD238" s="246"/>
      <c r="AE238" s="246"/>
      <c r="AF238" s="246"/>
      <c r="AG238" s="246"/>
      <c r="AH238" s="246"/>
      <c r="AI238" s="246"/>
      <c r="AJ238" s="246"/>
      <c r="AK238" s="246"/>
      <c r="AL238" s="246"/>
      <c r="AM238" s="246"/>
      <c r="AN238" s="246"/>
      <c r="AO238" s="246"/>
      <c r="AP238" s="246"/>
      <c r="AQ238" s="246"/>
      <c r="AR238" s="246"/>
      <c r="AS238" s="246"/>
      <c r="AT238" s="246"/>
      <c r="AU238" s="246"/>
      <c r="AV238" s="246"/>
      <c r="AW238" s="246"/>
      <c r="AX238" s="246"/>
      <c r="AY238" s="246"/>
      <c r="AZ238" s="246"/>
      <c r="BA238" s="246"/>
      <c r="BB238" s="246"/>
      <c r="BC238" s="246"/>
      <c r="BD238" s="246"/>
      <c r="BE238" s="246"/>
      <c r="BF238" s="246"/>
      <c r="BG238" s="246"/>
      <c r="BH238" s="246"/>
      <c r="BI238" s="246"/>
      <c r="BJ238" s="246"/>
      <c r="BK238" s="246"/>
      <c r="BL238" s="246"/>
    </row>
    <row r="239" ht="15.75" customHeight="1">
      <c r="A239" s="246"/>
      <c r="B239" s="246"/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  <c r="AB239" s="246"/>
      <c r="AC239" s="246"/>
      <c r="AD239" s="246"/>
      <c r="AE239" s="246"/>
      <c r="AF239" s="246"/>
      <c r="AG239" s="246"/>
      <c r="AH239" s="246"/>
      <c r="AI239" s="246"/>
      <c r="AJ239" s="246"/>
      <c r="AK239" s="246"/>
      <c r="AL239" s="246"/>
      <c r="AM239" s="246"/>
      <c r="AN239" s="246"/>
      <c r="AO239" s="246"/>
      <c r="AP239" s="246"/>
      <c r="AQ239" s="246"/>
      <c r="AR239" s="246"/>
      <c r="AS239" s="246"/>
      <c r="AT239" s="246"/>
      <c r="AU239" s="246"/>
      <c r="AV239" s="246"/>
      <c r="AW239" s="246"/>
      <c r="AX239" s="246"/>
      <c r="AY239" s="246"/>
      <c r="AZ239" s="246"/>
      <c r="BA239" s="246"/>
      <c r="BB239" s="246"/>
      <c r="BC239" s="246"/>
      <c r="BD239" s="246"/>
      <c r="BE239" s="246"/>
      <c r="BF239" s="246"/>
      <c r="BG239" s="246"/>
      <c r="BH239" s="246"/>
      <c r="BI239" s="246"/>
      <c r="BJ239" s="246"/>
      <c r="BK239" s="246"/>
      <c r="BL239" s="246"/>
    </row>
    <row r="240" ht="15.75" customHeight="1">
      <c r="A240" s="246"/>
      <c r="B240" s="246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  <c r="AB240" s="246"/>
      <c r="AC240" s="246"/>
      <c r="AD240" s="246"/>
      <c r="AE240" s="246"/>
      <c r="AF240" s="246"/>
      <c r="AG240" s="246"/>
      <c r="AH240" s="246"/>
      <c r="AI240" s="246"/>
      <c r="AJ240" s="246"/>
      <c r="AK240" s="246"/>
      <c r="AL240" s="246"/>
      <c r="AM240" s="246"/>
      <c r="AN240" s="246"/>
      <c r="AO240" s="246"/>
      <c r="AP240" s="246"/>
      <c r="AQ240" s="246"/>
      <c r="AR240" s="246"/>
      <c r="AS240" s="246"/>
      <c r="AT240" s="246"/>
      <c r="AU240" s="246"/>
      <c r="AV240" s="246"/>
      <c r="AW240" s="246"/>
      <c r="AX240" s="246"/>
      <c r="AY240" s="246"/>
      <c r="AZ240" s="246"/>
      <c r="BA240" s="246"/>
      <c r="BB240" s="246"/>
      <c r="BC240" s="246"/>
      <c r="BD240" s="246"/>
      <c r="BE240" s="246"/>
      <c r="BF240" s="246"/>
      <c r="BG240" s="246"/>
      <c r="BH240" s="246"/>
      <c r="BI240" s="246"/>
      <c r="BJ240" s="246"/>
      <c r="BK240" s="246"/>
      <c r="BL240" s="246"/>
    </row>
    <row r="241" ht="15.75" customHeight="1">
      <c r="A241" s="246"/>
      <c r="B241" s="246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  <c r="AB241" s="246"/>
      <c r="AC241" s="246"/>
      <c r="AD241" s="246"/>
      <c r="AE241" s="246"/>
      <c r="AF241" s="246"/>
      <c r="AG241" s="246"/>
      <c r="AH241" s="246"/>
      <c r="AI241" s="246"/>
      <c r="AJ241" s="246"/>
      <c r="AK241" s="246"/>
      <c r="AL241" s="246"/>
      <c r="AM241" s="246"/>
      <c r="AN241" s="246"/>
      <c r="AO241" s="246"/>
      <c r="AP241" s="246"/>
      <c r="AQ241" s="246"/>
      <c r="AR241" s="246"/>
      <c r="AS241" s="246"/>
      <c r="AT241" s="246"/>
      <c r="AU241" s="246"/>
      <c r="AV241" s="246"/>
      <c r="AW241" s="246"/>
      <c r="AX241" s="246"/>
      <c r="AY241" s="246"/>
      <c r="AZ241" s="246"/>
      <c r="BA241" s="246"/>
      <c r="BB241" s="246"/>
      <c r="BC241" s="246"/>
      <c r="BD241" s="246"/>
      <c r="BE241" s="246"/>
      <c r="BF241" s="246"/>
      <c r="BG241" s="246"/>
      <c r="BH241" s="246"/>
      <c r="BI241" s="246"/>
      <c r="BJ241" s="246"/>
      <c r="BK241" s="246"/>
      <c r="BL241" s="246"/>
    </row>
    <row r="242" ht="15.75" customHeight="1">
      <c r="A242" s="246"/>
      <c r="B242" s="246"/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  <c r="AB242" s="246"/>
      <c r="AC242" s="246"/>
      <c r="AD242" s="246"/>
      <c r="AE242" s="246"/>
      <c r="AF242" s="246"/>
      <c r="AG242" s="246"/>
      <c r="AH242" s="246"/>
      <c r="AI242" s="246"/>
      <c r="AJ242" s="246"/>
      <c r="AK242" s="246"/>
      <c r="AL242" s="246"/>
      <c r="AM242" s="246"/>
      <c r="AN242" s="246"/>
      <c r="AO242" s="246"/>
      <c r="AP242" s="246"/>
      <c r="AQ242" s="246"/>
      <c r="AR242" s="246"/>
      <c r="AS242" s="246"/>
      <c r="AT242" s="246"/>
      <c r="AU242" s="246"/>
      <c r="AV242" s="246"/>
      <c r="AW242" s="246"/>
      <c r="AX242" s="246"/>
      <c r="AY242" s="246"/>
      <c r="AZ242" s="246"/>
      <c r="BA242" s="246"/>
      <c r="BB242" s="246"/>
      <c r="BC242" s="246"/>
      <c r="BD242" s="246"/>
      <c r="BE242" s="246"/>
      <c r="BF242" s="246"/>
      <c r="BG242" s="246"/>
      <c r="BH242" s="246"/>
      <c r="BI242" s="246"/>
      <c r="BJ242" s="246"/>
      <c r="BK242" s="246"/>
      <c r="BL242" s="246"/>
    </row>
    <row r="243" ht="15.75" customHeight="1">
      <c r="A243" s="246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  <c r="AB243" s="246"/>
      <c r="AC243" s="246"/>
      <c r="AD243" s="246"/>
      <c r="AE243" s="246"/>
      <c r="AF243" s="246"/>
      <c r="AG243" s="246"/>
      <c r="AH243" s="246"/>
      <c r="AI243" s="246"/>
      <c r="AJ243" s="246"/>
      <c r="AK243" s="246"/>
      <c r="AL243" s="246"/>
      <c r="AM243" s="246"/>
      <c r="AN243" s="246"/>
      <c r="AO243" s="246"/>
      <c r="AP243" s="246"/>
      <c r="AQ243" s="246"/>
      <c r="AR243" s="246"/>
      <c r="AS243" s="246"/>
      <c r="AT243" s="246"/>
      <c r="AU243" s="246"/>
      <c r="AV243" s="246"/>
      <c r="AW243" s="246"/>
      <c r="AX243" s="246"/>
      <c r="AY243" s="246"/>
      <c r="AZ243" s="246"/>
      <c r="BA243" s="246"/>
      <c r="BB243" s="246"/>
      <c r="BC243" s="246"/>
      <c r="BD243" s="246"/>
      <c r="BE243" s="246"/>
      <c r="BF243" s="246"/>
      <c r="BG243" s="246"/>
      <c r="BH243" s="246"/>
      <c r="BI243" s="246"/>
      <c r="BJ243" s="246"/>
      <c r="BK243" s="246"/>
      <c r="BL243" s="246"/>
    </row>
    <row r="244" ht="15.75" customHeight="1">
      <c r="A244" s="246"/>
      <c r="B244" s="246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  <c r="AA244" s="246"/>
      <c r="AB244" s="246"/>
      <c r="AC244" s="246"/>
      <c r="AD244" s="246"/>
      <c r="AE244" s="246"/>
      <c r="AF244" s="246"/>
      <c r="AG244" s="246"/>
      <c r="AH244" s="246"/>
      <c r="AI244" s="246"/>
      <c r="AJ244" s="246"/>
      <c r="AK244" s="246"/>
      <c r="AL244" s="246"/>
      <c r="AM244" s="246"/>
      <c r="AN244" s="246"/>
      <c r="AO244" s="246"/>
      <c r="AP244" s="246"/>
      <c r="AQ244" s="246"/>
      <c r="AR244" s="246"/>
      <c r="AS244" s="246"/>
      <c r="AT244" s="246"/>
      <c r="AU244" s="246"/>
      <c r="AV244" s="246"/>
      <c r="AW244" s="246"/>
      <c r="AX244" s="246"/>
      <c r="AY244" s="246"/>
      <c r="AZ244" s="246"/>
      <c r="BA244" s="246"/>
      <c r="BB244" s="246"/>
      <c r="BC244" s="246"/>
      <c r="BD244" s="246"/>
      <c r="BE244" s="246"/>
      <c r="BF244" s="246"/>
      <c r="BG244" s="246"/>
      <c r="BH244" s="246"/>
      <c r="BI244" s="246"/>
      <c r="BJ244" s="246"/>
      <c r="BK244" s="246"/>
      <c r="BL244" s="246"/>
    </row>
    <row r="245" ht="15.75" customHeight="1">
      <c r="A245" s="246"/>
      <c r="B245" s="246"/>
      <c r="C245" s="246"/>
      <c r="D245" s="246"/>
      <c r="E245" s="246"/>
      <c r="F245" s="246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246"/>
      <c r="S245" s="246"/>
      <c r="T245" s="246"/>
      <c r="U245" s="246"/>
      <c r="V245" s="246"/>
      <c r="W245" s="246"/>
      <c r="X245" s="246"/>
      <c r="Y245" s="246"/>
      <c r="Z245" s="246"/>
      <c r="AA245" s="246"/>
      <c r="AB245" s="246"/>
      <c r="AC245" s="246"/>
      <c r="AD245" s="246"/>
      <c r="AE245" s="246"/>
      <c r="AF245" s="246"/>
      <c r="AG245" s="246"/>
      <c r="AH245" s="246"/>
      <c r="AI245" s="246"/>
      <c r="AJ245" s="246"/>
      <c r="AK245" s="246"/>
      <c r="AL245" s="246"/>
      <c r="AM245" s="246"/>
      <c r="AN245" s="246"/>
      <c r="AO245" s="246"/>
      <c r="AP245" s="246"/>
      <c r="AQ245" s="246"/>
      <c r="AR245" s="246"/>
      <c r="AS245" s="246"/>
      <c r="AT245" s="246"/>
      <c r="AU245" s="246"/>
      <c r="AV245" s="246"/>
      <c r="AW245" s="246"/>
      <c r="AX245" s="246"/>
      <c r="AY245" s="246"/>
      <c r="AZ245" s="246"/>
      <c r="BA245" s="246"/>
      <c r="BB245" s="246"/>
      <c r="BC245" s="246"/>
      <c r="BD245" s="246"/>
      <c r="BE245" s="246"/>
      <c r="BF245" s="246"/>
      <c r="BG245" s="246"/>
      <c r="BH245" s="246"/>
      <c r="BI245" s="246"/>
      <c r="BJ245" s="246"/>
      <c r="BK245" s="246"/>
      <c r="BL245" s="246"/>
    </row>
    <row r="246" ht="15.75" customHeight="1">
      <c r="A246" s="246"/>
      <c r="B246" s="246"/>
      <c r="C246" s="246"/>
      <c r="D246" s="246"/>
      <c r="E246" s="246"/>
      <c r="F246" s="246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246"/>
      <c r="S246" s="246"/>
      <c r="T246" s="246"/>
      <c r="U246" s="246"/>
      <c r="V246" s="246"/>
      <c r="W246" s="246"/>
      <c r="X246" s="246"/>
      <c r="Y246" s="246"/>
      <c r="Z246" s="246"/>
      <c r="AA246" s="246"/>
      <c r="AB246" s="246"/>
      <c r="AC246" s="246"/>
      <c r="AD246" s="246"/>
      <c r="AE246" s="246"/>
      <c r="AF246" s="246"/>
      <c r="AG246" s="246"/>
      <c r="AH246" s="246"/>
      <c r="AI246" s="246"/>
      <c r="AJ246" s="246"/>
      <c r="AK246" s="246"/>
      <c r="AL246" s="246"/>
      <c r="AM246" s="246"/>
      <c r="AN246" s="246"/>
      <c r="AO246" s="246"/>
      <c r="AP246" s="246"/>
      <c r="AQ246" s="246"/>
      <c r="AR246" s="246"/>
      <c r="AS246" s="246"/>
      <c r="AT246" s="246"/>
      <c r="AU246" s="246"/>
      <c r="AV246" s="246"/>
      <c r="AW246" s="246"/>
      <c r="AX246" s="246"/>
      <c r="AY246" s="246"/>
      <c r="AZ246" s="246"/>
      <c r="BA246" s="246"/>
      <c r="BB246" s="246"/>
      <c r="BC246" s="246"/>
      <c r="BD246" s="246"/>
      <c r="BE246" s="246"/>
      <c r="BF246" s="246"/>
      <c r="BG246" s="246"/>
      <c r="BH246" s="246"/>
      <c r="BI246" s="246"/>
      <c r="BJ246" s="246"/>
      <c r="BK246" s="246"/>
      <c r="BL246" s="246"/>
    </row>
    <row r="247" ht="15.75" customHeight="1">
      <c r="A247" s="246"/>
      <c r="B247" s="246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246"/>
      <c r="S247" s="246"/>
      <c r="T247" s="246"/>
      <c r="U247" s="246"/>
      <c r="V247" s="246"/>
      <c r="W247" s="246"/>
      <c r="X247" s="246"/>
      <c r="Y247" s="246"/>
      <c r="Z247" s="246"/>
      <c r="AA247" s="246"/>
      <c r="AB247" s="246"/>
      <c r="AC247" s="246"/>
      <c r="AD247" s="246"/>
      <c r="AE247" s="246"/>
      <c r="AF247" s="246"/>
      <c r="AG247" s="246"/>
      <c r="AH247" s="246"/>
      <c r="AI247" s="246"/>
      <c r="AJ247" s="246"/>
      <c r="AK247" s="246"/>
      <c r="AL247" s="246"/>
      <c r="AM247" s="246"/>
      <c r="AN247" s="246"/>
      <c r="AO247" s="246"/>
      <c r="AP247" s="246"/>
      <c r="AQ247" s="246"/>
      <c r="AR247" s="246"/>
      <c r="AS247" s="246"/>
      <c r="AT247" s="246"/>
      <c r="AU247" s="246"/>
      <c r="AV247" s="246"/>
      <c r="AW247" s="246"/>
      <c r="AX247" s="246"/>
      <c r="AY247" s="246"/>
      <c r="AZ247" s="246"/>
      <c r="BA247" s="246"/>
      <c r="BB247" s="246"/>
      <c r="BC247" s="246"/>
      <c r="BD247" s="246"/>
      <c r="BE247" s="246"/>
      <c r="BF247" s="246"/>
      <c r="BG247" s="246"/>
      <c r="BH247" s="246"/>
      <c r="BI247" s="246"/>
      <c r="BJ247" s="246"/>
      <c r="BK247" s="246"/>
      <c r="BL247" s="246"/>
    </row>
    <row r="248" ht="15.75" customHeight="1">
      <c r="A248" s="246"/>
      <c r="B248" s="246"/>
      <c r="C248" s="246"/>
      <c r="D248" s="246"/>
      <c r="E248" s="246"/>
      <c r="F248" s="246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246"/>
      <c r="S248" s="246"/>
      <c r="T248" s="246"/>
      <c r="U248" s="246"/>
      <c r="V248" s="246"/>
      <c r="W248" s="246"/>
      <c r="X248" s="246"/>
      <c r="Y248" s="246"/>
      <c r="Z248" s="246"/>
      <c r="AA248" s="246"/>
      <c r="AB248" s="246"/>
      <c r="AC248" s="246"/>
      <c r="AD248" s="246"/>
      <c r="AE248" s="246"/>
      <c r="AF248" s="246"/>
      <c r="AG248" s="246"/>
      <c r="AH248" s="246"/>
      <c r="AI248" s="246"/>
      <c r="AJ248" s="246"/>
      <c r="AK248" s="246"/>
      <c r="AL248" s="246"/>
      <c r="AM248" s="246"/>
      <c r="AN248" s="246"/>
      <c r="AO248" s="246"/>
      <c r="AP248" s="246"/>
      <c r="AQ248" s="246"/>
      <c r="AR248" s="246"/>
      <c r="AS248" s="246"/>
      <c r="AT248" s="246"/>
      <c r="AU248" s="246"/>
      <c r="AV248" s="246"/>
      <c r="AW248" s="246"/>
      <c r="AX248" s="246"/>
      <c r="AY248" s="246"/>
      <c r="AZ248" s="246"/>
      <c r="BA248" s="246"/>
      <c r="BB248" s="246"/>
      <c r="BC248" s="246"/>
      <c r="BD248" s="246"/>
      <c r="BE248" s="246"/>
      <c r="BF248" s="246"/>
      <c r="BG248" s="246"/>
      <c r="BH248" s="246"/>
      <c r="BI248" s="246"/>
      <c r="BJ248" s="246"/>
      <c r="BK248" s="246"/>
      <c r="BL248" s="246"/>
    </row>
    <row r="249" ht="15.75" customHeight="1">
      <c r="A249" s="246"/>
      <c r="B249" s="246"/>
      <c r="C249" s="246"/>
      <c r="D249" s="246"/>
      <c r="E249" s="246"/>
      <c r="F249" s="246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246"/>
      <c r="S249" s="246"/>
      <c r="T249" s="246"/>
      <c r="U249" s="246"/>
      <c r="V249" s="246"/>
      <c r="W249" s="246"/>
      <c r="X249" s="246"/>
      <c r="Y249" s="246"/>
      <c r="Z249" s="246"/>
      <c r="AA249" s="246"/>
      <c r="AB249" s="246"/>
      <c r="AC249" s="246"/>
      <c r="AD249" s="246"/>
      <c r="AE249" s="246"/>
      <c r="AF249" s="246"/>
      <c r="AG249" s="246"/>
      <c r="AH249" s="246"/>
      <c r="AI249" s="246"/>
      <c r="AJ249" s="246"/>
      <c r="AK249" s="246"/>
      <c r="AL249" s="246"/>
      <c r="AM249" s="246"/>
      <c r="AN249" s="246"/>
      <c r="AO249" s="246"/>
      <c r="AP249" s="246"/>
      <c r="AQ249" s="246"/>
      <c r="AR249" s="246"/>
      <c r="AS249" s="246"/>
      <c r="AT249" s="246"/>
      <c r="AU249" s="246"/>
      <c r="AV249" s="246"/>
      <c r="AW249" s="246"/>
      <c r="AX249" s="246"/>
      <c r="AY249" s="246"/>
      <c r="AZ249" s="246"/>
      <c r="BA249" s="246"/>
      <c r="BB249" s="246"/>
      <c r="BC249" s="246"/>
      <c r="BD249" s="246"/>
      <c r="BE249" s="246"/>
      <c r="BF249" s="246"/>
      <c r="BG249" s="246"/>
      <c r="BH249" s="246"/>
      <c r="BI249" s="246"/>
      <c r="BJ249" s="246"/>
      <c r="BK249" s="246"/>
      <c r="BL249" s="246"/>
    </row>
    <row r="250" ht="15.75" customHeight="1">
      <c r="A250" s="246"/>
      <c r="B250" s="246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246"/>
      <c r="S250" s="246"/>
      <c r="T250" s="246"/>
      <c r="U250" s="246"/>
      <c r="V250" s="246"/>
      <c r="W250" s="246"/>
      <c r="X250" s="246"/>
      <c r="Y250" s="246"/>
      <c r="Z250" s="246"/>
      <c r="AA250" s="246"/>
      <c r="AB250" s="246"/>
      <c r="AC250" s="246"/>
      <c r="AD250" s="246"/>
      <c r="AE250" s="246"/>
      <c r="AF250" s="246"/>
      <c r="AG250" s="246"/>
      <c r="AH250" s="246"/>
      <c r="AI250" s="246"/>
      <c r="AJ250" s="246"/>
      <c r="AK250" s="246"/>
      <c r="AL250" s="246"/>
      <c r="AM250" s="246"/>
      <c r="AN250" s="246"/>
      <c r="AO250" s="246"/>
      <c r="AP250" s="246"/>
      <c r="AQ250" s="246"/>
      <c r="AR250" s="246"/>
      <c r="AS250" s="246"/>
      <c r="AT250" s="246"/>
      <c r="AU250" s="246"/>
      <c r="AV250" s="246"/>
      <c r="AW250" s="246"/>
      <c r="AX250" s="246"/>
      <c r="AY250" s="246"/>
      <c r="AZ250" s="246"/>
      <c r="BA250" s="246"/>
      <c r="BB250" s="246"/>
      <c r="BC250" s="246"/>
      <c r="BD250" s="246"/>
      <c r="BE250" s="246"/>
      <c r="BF250" s="246"/>
      <c r="BG250" s="246"/>
      <c r="BH250" s="246"/>
      <c r="BI250" s="246"/>
      <c r="BJ250" s="246"/>
      <c r="BK250" s="246"/>
      <c r="BL250" s="246"/>
    </row>
    <row r="251" ht="15.75" customHeight="1">
      <c r="A251" s="246"/>
      <c r="B251" s="246"/>
      <c r="C251" s="246"/>
      <c r="D251" s="246"/>
      <c r="E251" s="246"/>
      <c r="F251" s="246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246"/>
      <c r="S251" s="246"/>
      <c r="T251" s="246"/>
      <c r="U251" s="246"/>
      <c r="V251" s="246"/>
      <c r="W251" s="246"/>
      <c r="X251" s="246"/>
      <c r="Y251" s="246"/>
      <c r="Z251" s="246"/>
      <c r="AA251" s="246"/>
      <c r="AB251" s="246"/>
      <c r="AC251" s="246"/>
      <c r="AD251" s="246"/>
      <c r="AE251" s="246"/>
      <c r="AF251" s="246"/>
      <c r="AG251" s="246"/>
      <c r="AH251" s="246"/>
      <c r="AI251" s="246"/>
      <c r="AJ251" s="246"/>
      <c r="AK251" s="246"/>
      <c r="AL251" s="246"/>
      <c r="AM251" s="246"/>
      <c r="AN251" s="246"/>
      <c r="AO251" s="246"/>
      <c r="AP251" s="246"/>
      <c r="AQ251" s="246"/>
      <c r="AR251" s="246"/>
      <c r="AS251" s="246"/>
      <c r="AT251" s="246"/>
      <c r="AU251" s="246"/>
      <c r="AV251" s="246"/>
      <c r="AW251" s="246"/>
      <c r="AX251" s="246"/>
      <c r="AY251" s="246"/>
      <c r="AZ251" s="246"/>
      <c r="BA251" s="246"/>
      <c r="BB251" s="246"/>
      <c r="BC251" s="246"/>
      <c r="BD251" s="246"/>
      <c r="BE251" s="246"/>
      <c r="BF251" s="246"/>
      <c r="BG251" s="246"/>
      <c r="BH251" s="246"/>
      <c r="BI251" s="246"/>
      <c r="BJ251" s="246"/>
      <c r="BK251" s="246"/>
      <c r="BL251" s="246"/>
    </row>
    <row r="252" ht="15.75" customHeight="1">
      <c r="A252" s="246"/>
      <c r="B252" s="246"/>
      <c r="C252" s="246"/>
      <c r="D252" s="246"/>
      <c r="E252" s="246"/>
      <c r="F252" s="246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246"/>
      <c r="S252" s="246"/>
      <c r="T252" s="246"/>
      <c r="U252" s="246"/>
      <c r="V252" s="246"/>
      <c r="W252" s="246"/>
      <c r="X252" s="246"/>
      <c r="Y252" s="246"/>
      <c r="Z252" s="246"/>
      <c r="AA252" s="246"/>
      <c r="AB252" s="246"/>
      <c r="AC252" s="246"/>
      <c r="AD252" s="246"/>
      <c r="AE252" s="246"/>
      <c r="AF252" s="246"/>
      <c r="AG252" s="246"/>
      <c r="AH252" s="246"/>
      <c r="AI252" s="246"/>
      <c r="AJ252" s="246"/>
      <c r="AK252" s="246"/>
      <c r="AL252" s="246"/>
      <c r="AM252" s="246"/>
      <c r="AN252" s="246"/>
      <c r="AO252" s="246"/>
      <c r="AP252" s="246"/>
      <c r="AQ252" s="246"/>
      <c r="AR252" s="246"/>
      <c r="AS252" s="246"/>
      <c r="AT252" s="246"/>
      <c r="AU252" s="246"/>
      <c r="AV252" s="246"/>
      <c r="AW252" s="246"/>
      <c r="AX252" s="246"/>
      <c r="AY252" s="246"/>
      <c r="AZ252" s="246"/>
      <c r="BA252" s="246"/>
      <c r="BB252" s="246"/>
      <c r="BC252" s="246"/>
      <c r="BD252" s="246"/>
      <c r="BE252" s="246"/>
      <c r="BF252" s="246"/>
      <c r="BG252" s="246"/>
      <c r="BH252" s="246"/>
      <c r="BI252" s="246"/>
      <c r="BJ252" s="246"/>
      <c r="BK252" s="246"/>
      <c r="BL252" s="246"/>
    </row>
    <row r="253" ht="15.75" customHeight="1">
      <c r="A253" s="246"/>
      <c r="B253" s="246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6"/>
      <c r="Y253" s="246"/>
      <c r="Z253" s="246"/>
      <c r="AA253" s="246"/>
      <c r="AB253" s="246"/>
      <c r="AC253" s="246"/>
      <c r="AD253" s="246"/>
      <c r="AE253" s="246"/>
      <c r="AF253" s="246"/>
      <c r="AG253" s="246"/>
      <c r="AH253" s="246"/>
      <c r="AI253" s="246"/>
      <c r="AJ253" s="246"/>
      <c r="AK253" s="246"/>
      <c r="AL253" s="246"/>
      <c r="AM253" s="246"/>
      <c r="AN253" s="246"/>
      <c r="AO253" s="246"/>
      <c r="AP253" s="246"/>
      <c r="AQ253" s="246"/>
      <c r="AR253" s="246"/>
      <c r="AS253" s="246"/>
      <c r="AT253" s="246"/>
      <c r="AU253" s="246"/>
      <c r="AV253" s="246"/>
      <c r="AW253" s="246"/>
      <c r="AX253" s="246"/>
      <c r="AY253" s="246"/>
      <c r="AZ253" s="246"/>
      <c r="BA253" s="246"/>
      <c r="BB253" s="246"/>
      <c r="BC253" s="246"/>
      <c r="BD253" s="246"/>
      <c r="BE253" s="246"/>
      <c r="BF253" s="246"/>
      <c r="BG253" s="246"/>
      <c r="BH253" s="246"/>
      <c r="BI253" s="246"/>
      <c r="BJ253" s="246"/>
      <c r="BK253" s="246"/>
      <c r="BL253" s="246"/>
    </row>
    <row r="254" ht="15.75" customHeight="1">
      <c r="A254" s="246"/>
      <c r="B254" s="246"/>
      <c r="C254" s="246"/>
      <c r="D254" s="246"/>
      <c r="E254" s="246"/>
      <c r="F254" s="246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246"/>
      <c r="S254" s="246"/>
      <c r="T254" s="246"/>
      <c r="U254" s="246"/>
      <c r="V254" s="246"/>
      <c r="W254" s="246"/>
      <c r="X254" s="246"/>
      <c r="Y254" s="246"/>
      <c r="Z254" s="246"/>
      <c r="AA254" s="246"/>
      <c r="AB254" s="246"/>
      <c r="AC254" s="246"/>
      <c r="AD254" s="246"/>
      <c r="AE254" s="246"/>
      <c r="AF254" s="246"/>
      <c r="AG254" s="246"/>
      <c r="AH254" s="246"/>
      <c r="AI254" s="246"/>
      <c r="AJ254" s="246"/>
      <c r="AK254" s="246"/>
      <c r="AL254" s="246"/>
      <c r="AM254" s="246"/>
      <c r="AN254" s="246"/>
      <c r="AO254" s="246"/>
      <c r="AP254" s="246"/>
      <c r="AQ254" s="246"/>
      <c r="AR254" s="246"/>
      <c r="AS254" s="246"/>
      <c r="AT254" s="246"/>
      <c r="AU254" s="246"/>
      <c r="AV254" s="246"/>
      <c r="AW254" s="246"/>
      <c r="AX254" s="246"/>
      <c r="AY254" s="246"/>
      <c r="AZ254" s="246"/>
      <c r="BA254" s="246"/>
      <c r="BB254" s="246"/>
      <c r="BC254" s="246"/>
      <c r="BD254" s="246"/>
      <c r="BE254" s="246"/>
      <c r="BF254" s="246"/>
      <c r="BG254" s="246"/>
      <c r="BH254" s="246"/>
      <c r="BI254" s="246"/>
      <c r="BJ254" s="246"/>
      <c r="BK254" s="246"/>
      <c r="BL254" s="246"/>
    </row>
    <row r="255" ht="15.75" customHeight="1">
      <c r="A255" s="246"/>
      <c r="B255" s="246"/>
      <c r="C255" s="246"/>
      <c r="D255" s="246"/>
      <c r="E255" s="246"/>
      <c r="F255" s="246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246"/>
      <c r="S255" s="246"/>
      <c r="T255" s="246"/>
      <c r="U255" s="246"/>
      <c r="V255" s="246"/>
      <c r="W255" s="246"/>
      <c r="X255" s="246"/>
      <c r="Y255" s="246"/>
      <c r="Z255" s="246"/>
      <c r="AA255" s="246"/>
      <c r="AB255" s="246"/>
      <c r="AC255" s="246"/>
      <c r="AD255" s="246"/>
      <c r="AE255" s="246"/>
      <c r="AF255" s="246"/>
      <c r="AG255" s="246"/>
      <c r="AH255" s="246"/>
      <c r="AI255" s="246"/>
      <c r="AJ255" s="246"/>
      <c r="AK255" s="246"/>
      <c r="AL255" s="246"/>
      <c r="AM255" s="246"/>
      <c r="AN255" s="246"/>
      <c r="AO255" s="246"/>
      <c r="AP255" s="246"/>
      <c r="AQ255" s="246"/>
      <c r="AR255" s="246"/>
      <c r="AS255" s="246"/>
      <c r="AT255" s="246"/>
      <c r="AU255" s="246"/>
      <c r="AV255" s="246"/>
      <c r="AW255" s="246"/>
      <c r="AX255" s="246"/>
      <c r="AY255" s="246"/>
      <c r="AZ255" s="246"/>
      <c r="BA255" s="246"/>
      <c r="BB255" s="246"/>
      <c r="BC255" s="246"/>
      <c r="BD255" s="246"/>
      <c r="BE255" s="246"/>
      <c r="BF255" s="246"/>
      <c r="BG255" s="246"/>
      <c r="BH255" s="246"/>
      <c r="BI255" s="246"/>
      <c r="BJ255" s="246"/>
      <c r="BK255" s="246"/>
      <c r="BL255" s="246"/>
    </row>
    <row r="256" ht="15.75" customHeight="1">
      <c r="A256" s="246"/>
      <c r="B256" s="246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246"/>
      <c r="S256" s="246"/>
      <c r="T256" s="246"/>
      <c r="U256" s="246"/>
      <c r="V256" s="246"/>
      <c r="W256" s="246"/>
      <c r="X256" s="246"/>
      <c r="Y256" s="246"/>
      <c r="Z256" s="246"/>
      <c r="AA256" s="246"/>
      <c r="AB256" s="246"/>
      <c r="AC256" s="246"/>
      <c r="AD256" s="246"/>
      <c r="AE256" s="246"/>
      <c r="AF256" s="246"/>
      <c r="AG256" s="246"/>
      <c r="AH256" s="246"/>
      <c r="AI256" s="246"/>
      <c r="AJ256" s="246"/>
      <c r="AK256" s="246"/>
      <c r="AL256" s="246"/>
      <c r="AM256" s="246"/>
      <c r="AN256" s="246"/>
      <c r="AO256" s="246"/>
      <c r="AP256" s="246"/>
      <c r="AQ256" s="246"/>
      <c r="AR256" s="246"/>
      <c r="AS256" s="246"/>
      <c r="AT256" s="246"/>
      <c r="AU256" s="246"/>
      <c r="AV256" s="246"/>
      <c r="AW256" s="246"/>
      <c r="AX256" s="246"/>
      <c r="AY256" s="246"/>
      <c r="AZ256" s="246"/>
      <c r="BA256" s="246"/>
      <c r="BB256" s="246"/>
      <c r="BC256" s="246"/>
      <c r="BD256" s="246"/>
      <c r="BE256" s="246"/>
      <c r="BF256" s="246"/>
      <c r="BG256" s="246"/>
      <c r="BH256" s="246"/>
      <c r="BI256" s="246"/>
      <c r="BJ256" s="246"/>
      <c r="BK256" s="246"/>
      <c r="BL256" s="246"/>
    </row>
    <row r="257" ht="15.75" customHeight="1">
      <c r="A257" s="246"/>
      <c r="B257" s="246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246"/>
      <c r="S257" s="246"/>
      <c r="T257" s="246"/>
      <c r="U257" s="246"/>
      <c r="V257" s="246"/>
      <c r="W257" s="246"/>
      <c r="X257" s="246"/>
      <c r="Y257" s="246"/>
      <c r="Z257" s="246"/>
      <c r="AA257" s="246"/>
      <c r="AB257" s="246"/>
      <c r="AC257" s="246"/>
      <c r="AD257" s="246"/>
      <c r="AE257" s="246"/>
      <c r="AF257" s="246"/>
      <c r="AG257" s="246"/>
      <c r="AH257" s="246"/>
      <c r="AI257" s="246"/>
      <c r="AJ257" s="246"/>
      <c r="AK257" s="246"/>
      <c r="AL257" s="246"/>
      <c r="AM257" s="246"/>
      <c r="AN257" s="246"/>
      <c r="AO257" s="246"/>
      <c r="AP257" s="246"/>
      <c r="AQ257" s="246"/>
      <c r="AR257" s="246"/>
      <c r="AS257" s="246"/>
      <c r="AT257" s="246"/>
      <c r="AU257" s="246"/>
      <c r="AV257" s="246"/>
      <c r="AW257" s="246"/>
      <c r="AX257" s="246"/>
      <c r="AY257" s="246"/>
      <c r="AZ257" s="246"/>
      <c r="BA257" s="246"/>
      <c r="BB257" s="246"/>
      <c r="BC257" s="246"/>
      <c r="BD257" s="246"/>
      <c r="BE257" s="246"/>
      <c r="BF257" s="246"/>
      <c r="BG257" s="246"/>
      <c r="BH257" s="246"/>
      <c r="BI257" s="246"/>
      <c r="BJ257" s="246"/>
      <c r="BK257" s="246"/>
      <c r="BL257" s="246"/>
    </row>
    <row r="258" ht="15.75" customHeight="1">
      <c r="A258" s="246"/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6"/>
      <c r="S258" s="246"/>
      <c r="T258" s="246"/>
      <c r="U258" s="246"/>
      <c r="V258" s="246"/>
      <c r="W258" s="246"/>
      <c r="X258" s="246"/>
      <c r="Y258" s="246"/>
      <c r="Z258" s="246"/>
      <c r="AA258" s="246"/>
      <c r="AB258" s="246"/>
      <c r="AC258" s="246"/>
      <c r="AD258" s="246"/>
      <c r="AE258" s="246"/>
      <c r="AF258" s="246"/>
      <c r="AG258" s="246"/>
      <c r="AH258" s="246"/>
      <c r="AI258" s="246"/>
      <c r="AJ258" s="246"/>
      <c r="AK258" s="246"/>
      <c r="AL258" s="246"/>
      <c r="AM258" s="246"/>
      <c r="AN258" s="246"/>
      <c r="AO258" s="246"/>
      <c r="AP258" s="246"/>
      <c r="AQ258" s="246"/>
      <c r="AR258" s="246"/>
      <c r="AS258" s="246"/>
      <c r="AT258" s="246"/>
      <c r="AU258" s="246"/>
      <c r="AV258" s="246"/>
      <c r="AW258" s="246"/>
      <c r="AX258" s="246"/>
      <c r="AY258" s="246"/>
      <c r="AZ258" s="246"/>
      <c r="BA258" s="246"/>
      <c r="BB258" s="246"/>
      <c r="BC258" s="246"/>
      <c r="BD258" s="246"/>
      <c r="BE258" s="246"/>
      <c r="BF258" s="246"/>
      <c r="BG258" s="246"/>
      <c r="BH258" s="246"/>
      <c r="BI258" s="246"/>
      <c r="BJ258" s="246"/>
      <c r="BK258" s="246"/>
      <c r="BL258" s="246"/>
    </row>
    <row r="259" ht="15.75" customHeight="1">
      <c r="A259" s="246"/>
      <c r="B259" s="246"/>
      <c r="C259" s="246"/>
      <c r="D259" s="246"/>
      <c r="E259" s="246"/>
      <c r="F259" s="246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246"/>
      <c r="S259" s="246"/>
      <c r="T259" s="246"/>
      <c r="U259" s="246"/>
      <c r="V259" s="246"/>
      <c r="W259" s="246"/>
      <c r="X259" s="246"/>
      <c r="Y259" s="246"/>
      <c r="Z259" s="246"/>
      <c r="AA259" s="246"/>
      <c r="AB259" s="246"/>
      <c r="AC259" s="246"/>
      <c r="AD259" s="246"/>
      <c r="AE259" s="246"/>
      <c r="AF259" s="246"/>
      <c r="AG259" s="246"/>
      <c r="AH259" s="246"/>
      <c r="AI259" s="246"/>
      <c r="AJ259" s="246"/>
      <c r="AK259" s="246"/>
      <c r="AL259" s="246"/>
      <c r="AM259" s="246"/>
      <c r="AN259" s="246"/>
      <c r="AO259" s="246"/>
      <c r="AP259" s="246"/>
      <c r="AQ259" s="246"/>
      <c r="AR259" s="246"/>
      <c r="AS259" s="246"/>
      <c r="AT259" s="246"/>
      <c r="AU259" s="246"/>
      <c r="AV259" s="246"/>
      <c r="AW259" s="246"/>
      <c r="AX259" s="246"/>
      <c r="AY259" s="246"/>
      <c r="AZ259" s="246"/>
      <c r="BA259" s="246"/>
      <c r="BB259" s="246"/>
      <c r="BC259" s="246"/>
      <c r="BD259" s="246"/>
      <c r="BE259" s="246"/>
      <c r="BF259" s="246"/>
      <c r="BG259" s="246"/>
      <c r="BH259" s="246"/>
      <c r="BI259" s="246"/>
      <c r="BJ259" s="246"/>
      <c r="BK259" s="246"/>
      <c r="BL259" s="246"/>
    </row>
    <row r="260" ht="15.75" customHeight="1">
      <c r="A260" s="246"/>
      <c r="B260" s="246"/>
      <c r="C260" s="246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246"/>
      <c r="S260" s="246"/>
      <c r="T260" s="246"/>
      <c r="U260" s="246"/>
      <c r="V260" s="246"/>
      <c r="W260" s="246"/>
      <c r="X260" s="246"/>
      <c r="Y260" s="246"/>
      <c r="Z260" s="246"/>
      <c r="AA260" s="246"/>
      <c r="AB260" s="246"/>
      <c r="AC260" s="246"/>
      <c r="AD260" s="246"/>
      <c r="AE260" s="246"/>
      <c r="AF260" s="246"/>
      <c r="AG260" s="246"/>
      <c r="AH260" s="246"/>
      <c r="AI260" s="246"/>
      <c r="AJ260" s="246"/>
      <c r="AK260" s="246"/>
      <c r="AL260" s="246"/>
      <c r="AM260" s="246"/>
      <c r="AN260" s="246"/>
      <c r="AO260" s="246"/>
      <c r="AP260" s="246"/>
      <c r="AQ260" s="246"/>
      <c r="AR260" s="246"/>
      <c r="AS260" s="246"/>
      <c r="AT260" s="246"/>
      <c r="AU260" s="246"/>
      <c r="AV260" s="246"/>
      <c r="AW260" s="246"/>
      <c r="AX260" s="246"/>
      <c r="AY260" s="246"/>
      <c r="AZ260" s="246"/>
      <c r="BA260" s="246"/>
      <c r="BB260" s="246"/>
      <c r="BC260" s="246"/>
      <c r="BD260" s="246"/>
      <c r="BE260" s="246"/>
      <c r="BF260" s="246"/>
      <c r="BG260" s="246"/>
      <c r="BH260" s="246"/>
      <c r="BI260" s="246"/>
      <c r="BJ260" s="246"/>
      <c r="BK260" s="246"/>
      <c r="BL260" s="246"/>
    </row>
    <row r="261" ht="15.75" customHeight="1">
      <c r="A261" s="246"/>
      <c r="B261" s="246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46"/>
      <c r="S261" s="246"/>
      <c r="T261" s="246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6"/>
      <c r="AG261" s="246"/>
      <c r="AH261" s="246"/>
      <c r="AI261" s="246"/>
      <c r="AJ261" s="246"/>
      <c r="AK261" s="246"/>
      <c r="AL261" s="246"/>
      <c r="AM261" s="246"/>
      <c r="AN261" s="246"/>
      <c r="AO261" s="246"/>
      <c r="AP261" s="246"/>
      <c r="AQ261" s="246"/>
      <c r="AR261" s="246"/>
      <c r="AS261" s="246"/>
      <c r="AT261" s="246"/>
      <c r="AU261" s="246"/>
      <c r="AV261" s="246"/>
      <c r="AW261" s="246"/>
      <c r="AX261" s="246"/>
      <c r="AY261" s="246"/>
      <c r="AZ261" s="246"/>
      <c r="BA261" s="246"/>
      <c r="BB261" s="246"/>
      <c r="BC261" s="246"/>
      <c r="BD261" s="246"/>
      <c r="BE261" s="246"/>
      <c r="BF261" s="246"/>
      <c r="BG261" s="246"/>
      <c r="BH261" s="246"/>
      <c r="BI261" s="246"/>
      <c r="BJ261" s="246"/>
      <c r="BK261" s="246"/>
      <c r="BL261" s="246"/>
    </row>
    <row r="262" ht="15.75" customHeight="1">
      <c r="A262" s="246"/>
      <c r="B262" s="246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246"/>
      <c r="S262" s="246"/>
      <c r="T262" s="246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6"/>
      <c r="AG262" s="246"/>
      <c r="AH262" s="246"/>
      <c r="AI262" s="246"/>
      <c r="AJ262" s="246"/>
      <c r="AK262" s="246"/>
      <c r="AL262" s="246"/>
      <c r="AM262" s="246"/>
      <c r="AN262" s="246"/>
      <c r="AO262" s="246"/>
      <c r="AP262" s="246"/>
      <c r="AQ262" s="246"/>
      <c r="AR262" s="246"/>
      <c r="AS262" s="246"/>
      <c r="AT262" s="246"/>
      <c r="AU262" s="246"/>
      <c r="AV262" s="246"/>
      <c r="AW262" s="246"/>
      <c r="AX262" s="246"/>
      <c r="AY262" s="246"/>
      <c r="AZ262" s="246"/>
      <c r="BA262" s="246"/>
      <c r="BB262" s="246"/>
      <c r="BC262" s="246"/>
      <c r="BD262" s="246"/>
      <c r="BE262" s="246"/>
      <c r="BF262" s="246"/>
      <c r="BG262" s="246"/>
      <c r="BH262" s="246"/>
      <c r="BI262" s="246"/>
      <c r="BJ262" s="246"/>
      <c r="BK262" s="246"/>
      <c r="BL262" s="246"/>
    </row>
    <row r="263" ht="15.75" customHeight="1">
      <c r="A263" s="246"/>
      <c r="B263" s="246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246"/>
      <c r="S263" s="246"/>
      <c r="T263" s="246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6"/>
      <c r="AG263" s="246"/>
      <c r="AH263" s="246"/>
      <c r="AI263" s="246"/>
      <c r="AJ263" s="246"/>
      <c r="AK263" s="246"/>
      <c r="AL263" s="246"/>
      <c r="AM263" s="246"/>
      <c r="AN263" s="246"/>
      <c r="AO263" s="246"/>
      <c r="AP263" s="246"/>
      <c r="AQ263" s="246"/>
      <c r="AR263" s="246"/>
      <c r="AS263" s="246"/>
      <c r="AT263" s="246"/>
      <c r="AU263" s="246"/>
      <c r="AV263" s="246"/>
      <c r="AW263" s="246"/>
      <c r="AX263" s="246"/>
      <c r="AY263" s="246"/>
      <c r="AZ263" s="246"/>
      <c r="BA263" s="246"/>
      <c r="BB263" s="246"/>
      <c r="BC263" s="246"/>
      <c r="BD263" s="246"/>
      <c r="BE263" s="246"/>
      <c r="BF263" s="246"/>
      <c r="BG263" s="246"/>
      <c r="BH263" s="246"/>
      <c r="BI263" s="246"/>
      <c r="BJ263" s="246"/>
      <c r="BK263" s="246"/>
      <c r="BL263" s="246"/>
    </row>
    <row r="264" ht="15.75" customHeight="1">
      <c r="A264" s="246"/>
      <c r="B264" s="246"/>
      <c r="C264" s="246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246"/>
      <c r="S264" s="246"/>
      <c r="T264" s="246"/>
      <c r="U264" s="246"/>
      <c r="V264" s="246"/>
      <c r="W264" s="246"/>
      <c r="X264" s="246"/>
      <c r="Y264" s="246"/>
      <c r="Z264" s="246"/>
      <c r="AA264" s="246"/>
      <c r="AB264" s="246"/>
      <c r="AC264" s="246"/>
      <c r="AD264" s="246"/>
      <c r="AE264" s="246"/>
      <c r="AF264" s="246"/>
      <c r="AG264" s="246"/>
      <c r="AH264" s="246"/>
      <c r="AI264" s="246"/>
      <c r="AJ264" s="246"/>
      <c r="AK264" s="246"/>
      <c r="AL264" s="246"/>
      <c r="AM264" s="246"/>
      <c r="AN264" s="246"/>
      <c r="AO264" s="246"/>
      <c r="AP264" s="246"/>
      <c r="AQ264" s="246"/>
      <c r="AR264" s="246"/>
      <c r="AS264" s="246"/>
      <c r="AT264" s="246"/>
      <c r="AU264" s="246"/>
      <c r="AV264" s="246"/>
      <c r="AW264" s="246"/>
      <c r="AX264" s="246"/>
      <c r="AY264" s="246"/>
      <c r="AZ264" s="246"/>
      <c r="BA264" s="246"/>
      <c r="BB264" s="246"/>
      <c r="BC264" s="246"/>
      <c r="BD264" s="246"/>
      <c r="BE264" s="246"/>
      <c r="BF264" s="246"/>
      <c r="BG264" s="246"/>
      <c r="BH264" s="246"/>
      <c r="BI264" s="246"/>
      <c r="BJ264" s="246"/>
      <c r="BK264" s="246"/>
      <c r="BL264" s="246"/>
    </row>
    <row r="265" ht="15.75" customHeight="1">
      <c r="A265" s="246"/>
      <c r="B265" s="246"/>
      <c r="C265" s="246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246"/>
      <c r="S265" s="246"/>
      <c r="T265" s="246"/>
      <c r="U265" s="246"/>
      <c r="V265" s="246"/>
      <c r="W265" s="246"/>
      <c r="X265" s="246"/>
      <c r="Y265" s="246"/>
      <c r="Z265" s="246"/>
      <c r="AA265" s="246"/>
      <c r="AB265" s="246"/>
      <c r="AC265" s="246"/>
      <c r="AD265" s="246"/>
      <c r="AE265" s="246"/>
      <c r="AF265" s="246"/>
      <c r="AG265" s="246"/>
      <c r="AH265" s="246"/>
      <c r="AI265" s="246"/>
      <c r="AJ265" s="246"/>
      <c r="AK265" s="246"/>
      <c r="AL265" s="246"/>
      <c r="AM265" s="246"/>
      <c r="AN265" s="246"/>
      <c r="AO265" s="246"/>
      <c r="AP265" s="246"/>
      <c r="AQ265" s="246"/>
      <c r="AR265" s="246"/>
      <c r="AS265" s="246"/>
      <c r="AT265" s="246"/>
      <c r="AU265" s="246"/>
      <c r="AV265" s="246"/>
      <c r="AW265" s="246"/>
      <c r="AX265" s="246"/>
      <c r="AY265" s="246"/>
      <c r="AZ265" s="246"/>
      <c r="BA265" s="246"/>
      <c r="BB265" s="246"/>
      <c r="BC265" s="246"/>
      <c r="BD265" s="246"/>
      <c r="BE265" s="246"/>
      <c r="BF265" s="246"/>
      <c r="BG265" s="246"/>
      <c r="BH265" s="246"/>
      <c r="BI265" s="246"/>
      <c r="BJ265" s="246"/>
      <c r="BK265" s="246"/>
      <c r="BL265" s="246"/>
    </row>
    <row r="266" ht="15.75" customHeight="1">
      <c r="A266" s="246"/>
      <c r="B266" s="246"/>
      <c r="C266" s="246"/>
      <c r="D266" s="246"/>
      <c r="E266" s="246"/>
      <c r="F266" s="246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246"/>
      <c r="S266" s="246"/>
      <c r="T266" s="246"/>
      <c r="U266" s="246"/>
      <c r="V266" s="246"/>
      <c r="W266" s="246"/>
      <c r="X266" s="246"/>
      <c r="Y266" s="246"/>
      <c r="Z266" s="246"/>
      <c r="AA266" s="246"/>
      <c r="AB266" s="246"/>
      <c r="AC266" s="246"/>
      <c r="AD266" s="246"/>
      <c r="AE266" s="246"/>
      <c r="AF266" s="246"/>
      <c r="AG266" s="246"/>
      <c r="AH266" s="246"/>
      <c r="AI266" s="246"/>
      <c r="AJ266" s="246"/>
      <c r="AK266" s="246"/>
      <c r="AL266" s="246"/>
      <c r="AM266" s="246"/>
      <c r="AN266" s="246"/>
      <c r="AO266" s="246"/>
      <c r="AP266" s="246"/>
      <c r="AQ266" s="246"/>
      <c r="AR266" s="246"/>
      <c r="AS266" s="246"/>
      <c r="AT266" s="246"/>
      <c r="AU266" s="246"/>
      <c r="AV266" s="246"/>
      <c r="AW266" s="246"/>
      <c r="AX266" s="246"/>
      <c r="AY266" s="246"/>
      <c r="AZ266" s="246"/>
      <c r="BA266" s="246"/>
      <c r="BB266" s="246"/>
      <c r="BC266" s="246"/>
      <c r="BD266" s="246"/>
      <c r="BE266" s="246"/>
      <c r="BF266" s="246"/>
      <c r="BG266" s="246"/>
      <c r="BH266" s="246"/>
      <c r="BI266" s="246"/>
      <c r="BJ266" s="246"/>
      <c r="BK266" s="246"/>
      <c r="BL266" s="246"/>
    </row>
    <row r="267" ht="15.75" customHeight="1">
      <c r="A267" s="246"/>
      <c r="B267" s="246"/>
      <c r="C267" s="246"/>
      <c r="D267" s="246"/>
      <c r="E267" s="246"/>
      <c r="F267" s="246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246"/>
      <c r="S267" s="246"/>
      <c r="T267" s="246"/>
      <c r="U267" s="246"/>
      <c r="V267" s="246"/>
      <c r="W267" s="246"/>
      <c r="X267" s="246"/>
      <c r="Y267" s="246"/>
      <c r="Z267" s="246"/>
      <c r="AA267" s="246"/>
      <c r="AB267" s="246"/>
      <c r="AC267" s="246"/>
      <c r="AD267" s="246"/>
      <c r="AE267" s="246"/>
      <c r="AF267" s="246"/>
      <c r="AG267" s="246"/>
      <c r="AH267" s="246"/>
      <c r="AI267" s="246"/>
      <c r="AJ267" s="246"/>
      <c r="AK267" s="246"/>
      <c r="AL267" s="246"/>
      <c r="AM267" s="246"/>
      <c r="AN267" s="246"/>
      <c r="AO267" s="246"/>
      <c r="AP267" s="246"/>
      <c r="AQ267" s="246"/>
      <c r="AR267" s="246"/>
      <c r="AS267" s="246"/>
      <c r="AT267" s="246"/>
      <c r="AU267" s="246"/>
      <c r="AV267" s="246"/>
      <c r="AW267" s="246"/>
      <c r="AX267" s="246"/>
      <c r="AY267" s="246"/>
      <c r="AZ267" s="246"/>
      <c r="BA267" s="246"/>
      <c r="BB267" s="246"/>
      <c r="BC267" s="246"/>
      <c r="BD267" s="246"/>
      <c r="BE267" s="246"/>
      <c r="BF267" s="246"/>
      <c r="BG267" s="246"/>
      <c r="BH267" s="246"/>
      <c r="BI267" s="246"/>
      <c r="BJ267" s="246"/>
      <c r="BK267" s="246"/>
      <c r="BL267" s="246"/>
    </row>
    <row r="268" ht="15.75" customHeight="1">
      <c r="A268" s="246"/>
      <c r="B268" s="246"/>
      <c r="C268" s="246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246"/>
      <c r="S268" s="246"/>
      <c r="T268" s="246"/>
      <c r="U268" s="246"/>
      <c r="V268" s="246"/>
      <c r="W268" s="246"/>
      <c r="X268" s="246"/>
      <c r="Y268" s="246"/>
      <c r="Z268" s="246"/>
      <c r="AA268" s="246"/>
      <c r="AB268" s="246"/>
      <c r="AC268" s="246"/>
      <c r="AD268" s="246"/>
      <c r="AE268" s="246"/>
      <c r="AF268" s="246"/>
      <c r="AG268" s="246"/>
      <c r="AH268" s="246"/>
      <c r="AI268" s="246"/>
      <c r="AJ268" s="246"/>
      <c r="AK268" s="246"/>
      <c r="AL268" s="246"/>
      <c r="AM268" s="246"/>
      <c r="AN268" s="246"/>
      <c r="AO268" s="246"/>
      <c r="AP268" s="246"/>
      <c r="AQ268" s="246"/>
      <c r="AR268" s="246"/>
      <c r="AS268" s="246"/>
      <c r="AT268" s="246"/>
      <c r="AU268" s="246"/>
      <c r="AV268" s="246"/>
      <c r="AW268" s="246"/>
      <c r="AX268" s="246"/>
      <c r="AY268" s="246"/>
      <c r="AZ268" s="246"/>
      <c r="BA268" s="246"/>
      <c r="BB268" s="246"/>
      <c r="BC268" s="246"/>
      <c r="BD268" s="246"/>
      <c r="BE268" s="246"/>
      <c r="BF268" s="246"/>
      <c r="BG268" s="246"/>
      <c r="BH268" s="246"/>
      <c r="BI268" s="246"/>
      <c r="BJ268" s="246"/>
      <c r="BK268" s="246"/>
      <c r="BL268" s="246"/>
    </row>
    <row r="269" ht="15.75" customHeight="1">
      <c r="A269" s="246"/>
      <c r="B269" s="246"/>
      <c r="C269" s="246"/>
      <c r="D269" s="246"/>
      <c r="E269" s="246"/>
      <c r="F269" s="246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246"/>
      <c r="S269" s="246"/>
      <c r="T269" s="246"/>
      <c r="U269" s="246"/>
      <c r="V269" s="246"/>
      <c r="W269" s="246"/>
      <c r="X269" s="246"/>
      <c r="Y269" s="246"/>
      <c r="Z269" s="246"/>
      <c r="AA269" s="246"/>
      <c r="AB269" s="246"/>
      <c r="AC269" s="246"/>
      <c r="AD269" s="246"/>
      <c r="AE269" s="246"/>
      <c r="AF269" s="246"/>
      <c r="AG269" s="246"/>
      <c r="AH269" s="246"/>
      <c r="AI269" s="246"/>
      <c r="AJ269" s="246"/>
      <c r="AK269" s="246"/>
      <c r="AL269" s="246"/>
      <c r="AM269" s="246"/>
      <c r="AN269" s="246"/>
      <c r="AO269" s="246"/>
      <c r="AP269" s="246"/>
      <c r="AQ269" s="246"/>
      <c r="AR269" s="246"/>
      <c r="AS269" s="246"/>
      <c r="AT269" s="246"/>
      <c r="AU269" s="246"/>
      <c r="AV269" s="246"/>
      <c r="AW269" s="246"/>
      <c r="AX269" s="246"/>
      <c r="AY269" s="246"/>
      <c r="AZ269" s="246"/>
      <c r="BA269" s="246"/>
      <c r="BB269" s="246"/>
      <c r="BC269" s="246"/>
      <c r="BD269" s="246"/>
      <c r="BE269" s="246"/>
      <c r="BF269" s="246"/>
      <c r="BG269" s="246"/>
      <c r="BH269" s="246"/>
      <c r="BI269" s="246"/>
      <c r="BJ269" s="246"/>
      <c r="BK269" s="246"/>
      <c r="BL269" s="24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5.88"/>
    <col customWidth="1" min="3" max="7" width="14.38"/>
    <col customWidth="1" min="8" max="8" width="16.13"/>
    <col customWidth="1" min="9" max="10" width="14.13"/>
    <col customWidth="1" min="11" max="11" width="14.5"/>
    <col customWidth="1" min="12" max="13" width="13.63"/>
    <col customWidth="1" min="14" max="14" width="14.0"/>
    <col customWidth="1" min="16" max="16" width="13.38"/>
  </cols>
  <sheetData>
    <row r="1" ht="15.75" customHeight="1">
      <c r="A1" s="15" t="s">
        <v>173</v>
      </c>
      <c r="B1" s="15" t="s">
        <v>174</v>
      </c>
      <c r="C1" s="15" t="s">
        <v>54</v>
      </c>
      <c r="D1" s="15" t="s">
        <v>175</v>
      </c>
      <c r="E1" s="15" t="s">
        <v>176</v>
      </c>
      <c r="F1" s="15" t="s">
        <v>54</v>
      </c>
      <c r="G1" s="15" t="s">
        <v>175</v>
      </c>
      <c r="H1" s="15" t="s">
        <v>177</v>
      </c>
      <c r="I1" s="15" t="s">
        <v>54</v>
      </c>
      <c r="J1" s="15" t="s">
        <v>175</v>
      </c>
      <c r="K1" s="15" t="s">
        <v>178</v>
      </c>
      <c r="L1" s="15" t="s">
        <v>54</v>
      </c>
      <c r="M1" s="15" t="s">
        <v>175</v>
      </c>
      <c r="N1" s="15"/>
      <c r="O1" s="15"/>
      <c r="P1" s="15"/>
    </row>
    <row r="2" ht="15.75" customHeight="1">
      <c r="A2" s="35" t="s">
        <v>179</v>
      </c>
      <c r="B2" s="35"/>
      <c r="C2" s="35">
        <v>60.0</v>
      </c>
      <c r="D2" s="35"/>
      <c r="E2" s="35"/>
      <c r="F2" s="35">
        <v>60.0</v>
      </c>
      <c r="G2" s="35"/>
      <c r="H2" s="35"/>
      <c r="I2" s="35">
        <v>60.0</v>
      </c>
      <c r="J2" s="35"/>
      <c r="K2" s="35"/>
      <c r="L2" s="35">
        <v>60.0</v>
      </c>
      <c r="M2" s="35"/>
      <c r="N2" s="35"/>
      <c r="O2" s="35"/>
    </row>
    <row r="3" ht="15.75" customHeight="1">
      <c r="A3" s="35" t="s">
        <v>180</v>
      </c>
      <c r="B3" s="14" t="str">
        <f t="array" ref="B3">transpose('Headcount 2025'!M20:AC20)</f>
        <v>#REF!</v>
      </c>
      <c r="C3" s="14"/>
      <c r="D3" s="14"/>
      <c r="E3" s="14" t="str">
        <f t="array" ref="E3">transpose('Headcount 2025'!M23:AC23)</f>
        <v>#REF!</v>
      </c>
      <c r="F3" s="14"/>
      <c r="G3" s="14"/>
      <c r="H3" s="14" t="str">
        <f t="array" ref="H3">transpose('Headcount 2025'!M21:AC21)</f>
        <v>#REF!</v>
      </c>
      <c r="I3" s="14"/>
      <c r="J3" s="14"/>
      <c r="K3" s="14" t="str">
        <f t="array" ref="K3">transpose('Headcount 2025'!M22:AC22)</f>
        <v>#REF!</v>
      </c>
      <c r="L3" s="14"/>
      <c r="M3" s="14"/>
      <c r="N3" s="35"/>
    </row>
    <row r="4" ht="15.75" customHeight="1">
      <c r="A4" s="35" t="s">
        <v>181</v>
      </c>
      <c r="B4" s="14"/>
      <c r="C4" s="14" t="str">
        <f t="shared" ref="C4:C19" si="1">C$2*D4*B3</f>
        <v>#REF!</v>
      </c>
      <c r="D4" s="40">
        <v>0.7</v>
      </c>
      <c r="E4" s="14"/>
      <c r="F4" s="14" t="str">
        <f>F$2*G4*E3*2</f>
        <v>#REF!</v>
      </c>
      <c r="G4" s="40">
        <v>0.5</v>
      </c>
      <c r="H4" s="14"/>
      <c r="I4" s="14" t="str">
        <f t="shared" ref="I4:I6" si="2">I$2*J4*H3</f>
        <v>#REF!</v>
      </c>
      <c r="J4" s="40">
        <v>0.65</v>
      </c>
      <c r="K4" s="14"/>
      <c r="L4" s="14" t="str">
        <f t="shared" ref="L4:L5" si="3">L$2*M4*K3</f>
        <v>#REF!</v>
      </c>
      <c r="M4" s="40">
        <v>0.65</v>
      </c>
      <c r="N4" s="35"/>
      <c r="O4" s="35"/>
      <c r="P4" s="40"/>
    </row>
    <row r="5" ht="15.75" customHeight="1">
      <c r="A5" s="35" t="s">
        <v>182</v>
      </c>
      <c r="B5" s="14"/>
      <c r="C5" s="14">
        <f t="shared" si="1"/>
        <v>0</v>
      </c>
      <c r="D5" s="40">
        <v>0.7</v>
      </c>
      <c r="E5" s="14"/>
      <c r="F5" s="14">
        <f t="shared" ref="F5:F19" si="4">F$2*G5*E4</f>
        <v>0</v>
      </c>
      <c r="G5" s="40">
        <v>0.5</v>
      </c>
      <c r="H5" s="14"/>
      <c r="I5" s="14">
        <f t="shared" si="2"/>
        <v>0</v>
      </c>
      <c r="J5" s="40">
        <v>0.65</v>
      </c>
      <c r="K5" s="14"/>
      <c r="L5" s="14">
        <f t="shared" si="3"/>
        <v>0</v>
      </c>
      <c r="M5" s="40">
        <v>0.65</v>
      </c>
      <c r="N5" s="35"/>
      <c r="O5" s="35"/>
      <c r="P5" s="40"/>
    </row>
    <row r="6" ht="15.75" customHeight="1">
      <c r="A6" s="35" t="s">
        <v>183</v>
      </c>
      <c r="B6" s="14"/>
      <c r="C6" s="14">
        <f t="shared" si="1"/>
        <v>0</v>
      </c>
      <c r="D6" s="40">
        <v>0.7</v>
      </c>
      <c r="E6" s="14"/>
      <c r="F6" s="14">
        <f t="shared" si="4"/>
        <v>0</v>
      </c>
      <c r="G6" s="40">
        <v>0.5</v>
      </c>
      <c r="H6" s="14"/>
      <c r="I6" s="14">
        <f t="shared" si="2"/>
        <v>0</v>
      </c>
      <c r="J6" s="40">
        <v>0.7</v>
      </c>
      <c r="K6" s="14"/>
      <c r="L6" s="14">
        <f>L$2*M6*K6</f>
        <v>0</v>
      </c>
      <c r="M6" s="40">
        <v>0.65</v>
      </c>
      <c r="N6" s="35"/>
      <c r="O6" s="35"/>
      <c r="P6" s="40"/>
    </row>
    <row r="7" ht="15.75" customHeight="1">
      <c r="A7" s="35" t="s">
        <v>184</v>
      </c>
      <c r="B7" s="14"/>
      <c r="C7" s="14">
        <f t="shared" si="1"/>
        <v>0</v>
      </c>
      <c r="D7" s="40">
        <v>0.7</v>
      </c>
      <c r="E7" s="14"/>
      <c r="F7" s="14">
        <f t="shared" si="4"/>
        <v>0</v>
      </c>
      <c r="G7" s="40">
        <v>0.6</v>
      </c>
      <c r="H7" s="14"/>
      <c r="I7" s="14">
        <f>I$2*J7*H7</f>
        <v>0</v>
      </c>
      <c r="J7" s="40">
        <v>0.7</v>
      </c>
      <c r="K7" s="14"/>
      <c r="L7" s="14">
        <f t="shared" ref="L7:L19" si="5">L$2*M7*K6</f>
        <v>0</v>
      </c>
      <c r="M7" s="40">
        <v>0.7</v>
      </c>
      <c r="N7" s="35"/>
      <c r="O7" s="35"/>
      <c r="P7" s="40"/>
    </row>
    <row r="8" ht="15.75" customHeight="1">
      <c r="A8" s="35" t="s">
        <v>185</v>
      </c>
      <c r="B8" s="14"/>
      <c r="C8" s="14">
        <f t="shared" si="1"/>
        <v>0</v>
      </c>
      <c r="D8" s="40">
        <v>0.8</v>
      </c>
      <c r="E8" s="14"/>
      <c r="F8" s="14">
        <f t="shared" si="4"/>
        <v>0</v>
      </c>
      <c r="G8" s="40">
        <v>0.8</v>
      </c>
      <c r="H8" s="14"/>
      <c r="I8" s="14">
        <f t="shared" ref="I8:I19" si="6">I$2*J8*H7</f>
        <v>0</v>
      </c>
      <c r="J8" s="40">
        <v>0.8</v>
      </c>
      <c r="K8" s="14"/>
      <c r="L8" s="14">
        <f t="shared" si="5"/>
        <v>0</v>
      </c>
      <c r="M8" s="40">
        <v>0.8</v>
      </c>
      <c r="N8" s="35"/>
      <c r="O8" s="35"/>
      <c r="P8" s="40"/>
    </row>
    <row r="9" ht="15.75" customHeight="1">
      <c r="A9" s="35" t="s">
        <v>186</v>
      </c>
      <c r="B9" s="14"/>
      <c r="C9" s="14">
        <f t="shared" si="1"/>
        <v>0</v>
      </c>
      <c r="D9" s="40">
        <v>0.8</v>
      </c>
      <c r="E9" s="14"/>
      <c r="F9" s="14">
        <f t="shared" si="4"/>
        <v>0</v>
      </c>
      <c r="G9" s="40">
        <v>0.8</v>
      </c>
      <c r="H9" s="14"/>
      <c r="I9" s="14">
        <f t="shared" si="6"/>
        <v>0</v>
      </c>
      <c r="J9" s="40">
        <v>0.8</v>
      </c>
      <c r="K9" s="14"/>
      <c r="L9" s="14">
        <f t="shared" si="5"/>
        <v>0</v>
      </c>
      <c r="M9" s="40">
        <v>0.8</v>
      </c>
      <c r="N9" s="35"/>
      <c r="O9" s="35"/>
      <c r="P9" s="40"/>
    </row>
    <row r="10" ht="15.75" customHeight="1">
      <c r="A10" s="35" t="s">
        <v>187</v>
      </c>
      <c r="B10" s="14"/>
      <c r="C10" s="14">
        <f t="shared" si="1"/>
        <v>0</v>
      </c>
      <c r="D10" s="40">
        <v>0.8</v>
      </c>
      <c r="E10" s="14"/>
      <c r="F10" s="14">
        <f t="shared" si="4"/>
        <v>0</v>
      </c>
      <c r="G10" s="40">
        <v>0.8</v>
      </c>
      <c r="H10" s="14"/>
      <c r="I10" s="14">
        <f t="shared" si="6"/>
        <v>0</v>
      </c>
      <c r="J10" s="40">
        <v>0.8</v>
      </c>
      <c r="K10" s="14"/>
      <c r="L10" s="14">
        <f t="shared" si="5"/>
        <v>0</v>
      </c>
      <c r="M10" s="40">
        <v>0.8</v>
      </c>
      <c r="N10" s="35"/>
      <c r="O10" s="35"/>
      <c r="P10" s="40"/>
    </row>
    <row r="11" ht="15.75" customHeight="1">
      <c r="A11" s="35" t="s">
        <v>188</v>
      </c>
      <c r="B11" s="14"/>
      <c r="C11" s="14">
        <f t="shared" si="1"/>
        <v>0</v>
      </c>
      <c r="D11" s="40">
        <v>0.8</v>
      </c>
      <c r="E11" s="14"/>
      <c r="F11" s="14">
        <f t="shared" si="4"/>
        <v>0</v>
      </c>
      <c r="G11" s="40">
        <v>0.8</v>
      </c>
      <c r="H11" s="14"/>
      <c r="I11" s="14">
        <f t="shared" si="6"/>
        <v>0</v>
      </c>
      <c r="J11" s="40">
        <v>0.8</v>
      </c>
      <c r="K11" s="14"/>
      <c r="L11" s="14">
        <f t="shared" si="5"/>
        <v>0</v>
      </c>
      <c r="M11" s="40">
        <v>0.8</v>
      </c>
      <c r="N11" s="35"/>
      <c r="O11" s="35"/>
      <c r="P11" s="40"/>
    </row>
    <row r="12" ht="15.75" customHeight="1">
      <c r="A12" s="35" t="s">
        <v>189</v>
      </c>
      <c r="B12" s="14"/>
      <c r="C12" s="14">
        <f t="shared" si="1"/>
        <v>0</v>
      </c>
      <c r="D12" s="40">
        <v>0.8</v>
      </c>
      <c r="E12" s="14"/>
      <c r="F12" s="14">
        <f t="shared" si="4"/>
        <v>0</v>
      </c>
      <c r="G12" s="40">
        <v>0.8</v>
      </c>
      <c r="H12" s="14"/>
      <c r="I12" s="14">
        <f t="shared" si="6"/>
        <v>0</v>
      </c>
      <c r="J12" s="40">
        <v>0.8</v>
      </c>
      <c r="K12" s="14"/>
      <c r="L12" s="14">
        <f t="shared" si="5"/>
        <v>0</v>
      </c>
      <c r="M12" s="40">
        <v>0.8</v>
      </c>
      <c r="N12" s="35"/>
      <c r="O12" s="35"/>
      <c r="P12" s="40"/>
    </row>
    <row r="13" ht="15.75" customHeight="1">
      <c r="A13" s="35" t="s">
        <v>190</v>
      </c>
      <c r="B13" s="14"/>
      <c r="C13" s="14">
        <f t="shared" si="1"/>
        <v>0</v>
      </c>
      <c r="D13" s="40">
        <v>0.8</v>
      </c>
      <c r="E13" s="14"/>
      <c r="F13" s="14">
        <f t="shared" si="4"/>
        <v>0</v>
      </c>
      <c r="G13" s="40">
        <v>0.8</v>
      </c>
      <c r="H13" s="14"/>
      <c r="I13" s="14">
        <f t="shared" si="6"/>
        <v>0</v>
      </c>
      <c r="J13" s="40">
        <v>0.8</v>
      </c>
      <c r="K13" s="14"/>
      <c r="L13" s="14">
        <f t="shared" si="5"/>
        <v>0</v>
      </c>
      <c r="M13" s="40">
        <v>0.8</v>
      </c>
      <c r="N13" s="35"/>
      <c r="O13" s="35"/>
      <c r="P13" s="40"/>
    </row>
    <row r="14" ht="15.75" customHeight="1">
      <c r="A14" s="35" t="s">
        <v>191</v>
      </c>
      <c r="B14" s="14"/>
      <c r="C14" s="14">
        <f t="shared" si="1"/>
        <v>0</v>
      </c>
      <c r="D14" s="40">
        <v>0.8</v>
      </c>
      <c r="E14" s="14"/>
      <c r="F14" s="14">
        <f t="shared" si="4"/>
        <v>0</v>
      </c>
      <c r="G14" s="40">
        <v>0.8</v>
      </c>
      <c r="H14" s="14"/>
      <c r="I14" s="14">
        <f t="shared" si="6"/>
        <v>0</v>
      </c>
      <c r="J14" s="40">
        <v>0.8</v>
      </c>
      <c r="K14" s="14"/>
      <c r="L14" s="14">
        <f t="shared" si="5"/>
        <v>0</v>
      </c>
      <c r="M14" s="40">
        <v>0.8</v>
      </c>
      <c r="N14" s="35"/>
      <c r="O14" s="35"/>
      <c r="P14" s="40"/>
    </row>
    <row r="15" ht="15.75" customHeight="1">
      <c r="A15" s="35" t="s">
        <v>192</v>
      </c>
      <c r="B15" s="14"/>
      <c r="C15" s="14">
        <f t="shared" si="1"/>
        <v>0</v>
      </c>
      <c r="D15" s="40">
        <v>0.8</v>
      </c>
      <c r="E15" s="14"/>
      <c r="F15" s="14">
        <f t="shared" si="4"/>
        <v>0</v>
      </c>
      <c r="G15" s="40">
        <v>0.8</v>
      </c>
      <c r="H15" s="14"/>
      <c r="I15" s="14">
        <f t="shared" si="6"/>
        <v>0</v>
      </c>
      <c r="J15" s="40">
        <v>0.8</v>
      </c>
      <c r="K15" s="14"/>
      <c r="L15" s="14">
        <f t="shared" si="5"/>
        <v>0</v>
      </c>
      <c r="M15" s="40">
        <v>0.8</v>
      </c>
      <c r="N15" s="35"/>
      <c r="O15" s="35"/>
      <c r="P15" s="40"/>
    </row>
    <row r="16" ht="15.75" customHeight="1">
      <c r="A16" s="35" t="s">
        <v>193</v>
      </c>
      <c r="B16" s="14"/>
      <c r="C16" s="14">
        <f t="shared" si="1"/>
        <v>0</v>
      </c>
      <c r="D16" s="40">
        <v>0.8</v>
      </c>
      <c r="E16" s="14"/>
      <c r="F16" s="14">
        <f t="shared" si="4"/>
        <v>0</v>
      </c>
      <c r="G16" s="40">
        <v>0.8</v>
      </c>
      <c r="H16" s="14"/>
      <c r="I16" s="14">
        <f t="shared" si="6"/>
        <v>0</v>
      </c>
      <c r="J16" s="40">
        <v>0.8</v>
      </c>
      <c r="K16" s="14"/>
      <c r="L16" s="14">
        <f t="shared" si="5"/>
        <v>0</v>
      </c>
      <c r="M16" s="40">
        <v>0.8</v>
      </c>
      <c r="N16" s="35"/>
      <c r="O16" s="35"/>
      <c r="P16" s="40"/>
    </row>
    <row r="17" ht="15.75" customHeight="1">
      <c r="A17" s="35" t="s">
        <v>194</v>
      </c>
      <c r="B17" s="14"/>
      <c r="C17" s="14">
        <f t="shared" si="1"/>
        <v>0</v>
      </c>
      <c r="D17" s="40">
        <v>0.8</v>
      </c>
      <c r="E17" s="14"/>
      <c r="F17" s="14">
        <f t="shared" si="4"/>
        <v>0</v>
      </c>
      <c r="G17" s="40">
        <v>0.8</v>
      </c>
      <c r="H17" s="14"/>
      <c r="I17" s="14">
        <f t="shared" si="6"/>
        <v>0</v>
      </c>
      <c r="J17" s="40">
        <v>0.8</v>
      </c>
      <c r="K17" s="14"/>
      <c r="L17" s="14">
        <f t="shared" si="5"/>
        <v>0</v>
      </c>
      <c r="M17" s="40">
        <v>0.8</v>
      </c>
      <c r="N17" s="35"/>
      <c r="O17" s="35"/>
      <c r="P17" s="40"/>
    </row>
    <row r="18" ht="15.75" customHeight="1">
      <c r="A18" s="35" t="s">
        <v>195</v>
      </c>
      <c r="B18" s="14"/>
      <c r="C18" s="14">
        <f t="shared" si="1"/>
        <v>0</v>
      </c>
      <c r="D18" s="40">
        <v>0.8</v>
      </c>
      <c r="E18" s="14"/>
      <c r="F18" s="14">
        <f t="shared" si="4"/>
        <v>0</v>
      </c>
      <c r="G18" s="40">
        <v>0.8</v>
      </c>
      <c r="H18" s="14"/>
      <c r="I18" s="14">
        <f t="shared" si="6"/>
        <v>0</v>
      </c>
      <c r="J18" s="40">
        <v>0.8</v>
      </c>
      <c r="K18" s="14"/>
      <c r="L18" s="14">
        <f t="shared" si="5"/>
        <v>0</v>
      </c>
      <c r="M18" s="40">
        <v>0.8</v>
      </c>
      <c r="N18" s="35"/>
      <c r="O18" s="35"/>
      <c r="P18" s="40"/>
    </row>
    <row r="19" ht="15.75" customHeight="1">
      <c r="A19" s="35" t="s">
        <v>196</v>
      </c>
      <c r="B19" s="14"/>
      <c r="C19" s="14">
        <f t="shared" si="1"/>
        <v>0</v>
      </c>
      <c r="D19" s="40">
        <v>0.8</v>
      </c>
      <c r="E19" s="14"/>
      <c r="F19" s="14">
        <f t="shared" si="4"/>
        <v>0</v>
      </c>
      <c r="G19" s="40">
        <v>0.8</v>
      </c>
      <c r="H19" s="14"/>
      <c r="I19" s="14">
        <f t="shared" si="6"/>
        <v>0</v>
      </c>
      <c r="J19" s="40">
        <v>0.8</v>
      </c>
      <c r="K19" s="14"/>
      <c r="L19" s="14">
        <f t="shared" si="5"/>
        <v>0</v>
      </c>
      <c r="M19" s="40">
        <v>0.8</v>
      </c>
      <c r="N19" s="35"/>
      <c r="O19" s="35"/>
      <c r="P19" s="4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 ht="15.75" customHeight="1">
      <c r="A1" s="43" t="s">
        <v>0</v>
      </c>
      <c r="B1" s="203"/>
      <c r="C1" s="203"/>
      <c r="D1" s="43" t="s">
        <v>7</v>
      </c>
      <c r="E1" s="43" t="s">
        <v>8</v>
      </c>
      <c r="F1" s="43" t="s">
        <v>9</v>
      </c>
      <c r="G1" s="43" t="s">
        <v>10</v>
      </c>
      <c r="H1" s="43" t="s">
        <v>11</v>
      </c>
      <c r="I1" s="43" t="s">
        <v>12</v>
      </c>
      <c r="J1" s="43" t="s">
        <v>13</v>
      </c>
      <c r="K1" s="43" t="s">
        <v>63</v>
      </c>
      <c r="L1" s="43" t="s">
        <v>64</v>
      </c>
      <c r="M1" s="43" t="s">
        <v>65</v>
      </c>
      <c r="N1" s="43" t="s">
        <v>66</v>
      </c>
      <c r="O1" s="43" t="s">
        <v>67</v>
      </c>
      <c r="P1" s="43" t="s">
        <v>68</v>
      </c>
      <c r="Q1" s="43" t="s">
        <v>69</v>
      </c>
      <c r="R1" s="43" t="s">
        <v>70</v>
      </c>
      <c r="S1" s="43" t="str">
        <f t="array" ref="S1:AD1">transpose(A22:A33)</f>
        <v>Q1 26</v>
      </c>
      <c r="T1" s="43" t="s">
        <v>72</v>
      </c>
      <c r="U1" s="43" t="s">
        <v>73</v>
      </c>
      <c r="V1" s="43" t="s">
        <v>74</v>
      </c>
      <c r="W1" s="43" t="s">
        <v>75</v>
      </c>
      <c r="X1" s="43" t="s">
        <v>76</v>
      </c>
      <c r="Y1" s="43" t="s">
        <v>77</v>
      </c>
      <c r="Z1" s="43" t="s">
        <v>78</v>
      </c>
      <c r="AA1" s="43" t="s">
        <v>79</v>
      </c>
      <c r="AB1" s="43" t="s">
        <v>80</v>
      </c>
      <c r="AC1" s="43" t="s">
        <v>81</v>
      </c>
      <c r="AD1" s="43" t="s">
        <v>82</v>
      </c>
      <c r="AE1" s="204"/>
      <c r="AF1" s="43" t="s">
        <v>14</v>
      </c>
      <c r="AG1" s="43" t="s">
        <v>2</v>
      </c>
      <c r="AH1" s="43" t="s">
        <v>3</v>
      </c>
      <c r="AI1" s="43" t="s">
        <v>4</v>
      </c>
      <c r="AJ1" s="43" t="s">
        <v>5</v>
      </c>
      <c r="AK1" s="43" t="s">
        <v>6</v>
      </c>
      <c r="AL1" s="43" t="s">
        <v>7</v>
      </c>
      <c r="AM1" s="43" t="s">
        <v>8</v>
      </c>
      <c r="AN1" s="43" t="s">
        <v>9</v>
      </c>
      <c r="AO1" s="43" t="s">
        <v>10</v>
      </c>
      <c r="AP1" s="43" t="s">
        <v>11</v>
      </c>
      <c r="AQ1" s="43" t="s">
        <v>12</v>
      </c>
      <c r="AR1" s="43" t="s">
        <v>13</v>
      </c>
      <c r="AS1" s="43" t="s">
        <v>63</v>
      </c>
      <c r="AT1" s="43" t="s">
        <v>64</v>
      </c>
      <c r="AU1" s="43" t="s">
        <v>65</v>
      </c>
      <c r="AV1" s="43" t="s">
        <v>66</v>
      </c>
      <c r="AW1" s="43" t="s">
        <v>67</v>
      </c>
      <c r="AX1" s="43" t="s">
        <v>68</v>
      </c>
      <c r="AY1" s="43" t="s">
        <v>69</v>
      </c>
      <c r="AZ1" s="43" t="s">
        <v>70</v>
      </c>
      <c r="BA1" s="43" t="str">
        <f t="array" ref="BA1:BL1">transpose(A22:A33)</f>
        <v>Q1 26</v>
      </c>
      <c r="BB1" s="43" t="s">
        <v>72</v>
      </c>
      <c r="BC1" s="43" t="s">
        <v>73</v>
      </c>
      <c r="BD1" s="43" t="s">
        <v>74</v>
      </c>
      <c r="BE1" s="43" t="s">
        <v>75</v>
      </c>
      <c r="BF1" s="43" t="s">
        <v>76</v>
      </c>
      <c r="BG1" s="43" t="s">
        <v>77</v>
      </c>
      <c r="BH1" s="43" t="s">
        <v>78</v>
      </c>
      <c r="BI1" s="43" t="s">
        <v>79</v>
      </c>
      <c r="BJ1" s="43" t="s">
        <v>80</v>
      </c>
      <c r="BK1" s="43" t="s">
        <v>81</v>
      </c>
      <c r="BL1" s="43" t="s">
        <v>82</v>
      </c>
    </row>
    <row r="2" ht="15.75" customHeight="1">
      <c r="A2" s="43" t="s">
        <v>2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4"/>
      <c r="AF2" s="205"/>
      <c r="AG2" s="206">
        <v>0.14</v>
      </c>
      <c r="AH2" s="206">
        <v>0.33</v>
      </c>
      <c r="AI2" s="206">
        <v>0.25</v>
      </c>
      <c r="AJ2" s="206">
        <v>0.15</v>
      </c>
      <c r="AK2" s="206">
        <v>0.07</v>
      </c>
      <c r="AL2" s="206">
        <v>0.04</v>
      </c>
      <c r="AM2" s="206">
        <v>0.02</v>
      </c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</row>
    <row r="3" ht="15.75" customHeight="1">
      <c r="A3" s="43" t="s">
        <v>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4"/>
      <c r="AF3" s="205"/>
      <c r="AG3" s="205"/>
      <c r="AH3" s="206">
        <v>0.14</v>
      </c>
      <c r="AI3" s="206">
        <v>0.33</v>
      </c>
      <c r="AJ3" s="206">
        <v>0.25</v>
      </c>
      <c r="AK3" s="206">
        <v>0.15</v>
      </c>
      <c r="AL3" s="206">
        <v>0.07</v>
      </c>
      <c r="AM3" s="206">
        <v>0.04</v>
      </c>
      <c r="AN3" s="206">
        <v>0.02</v>
      </c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</row>
    <row r="4" ht="15.75" customHeight="1">
      <c r="A4" s="43" t="s">
        <v>4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4"/>
      <c r="AF4" s="205"/>
      <c r="AG4" s="205"/>
      <c r="AH4" s="205"/>
      <c r="AI4" s="206">
        <v>0.14</v>
      </c>
      <c r="AJ4" s="206">
        <v>0.33</v>
      </c>
      <c r="AK4" s="206">
        <v>0.25</v>
      </c>
      <c r="AL4" s="206">
        <v>0.15</v>
      </c>
      <c r="AM4" s="206">
        <v>0.07</v>
      </c>
      <c r="AN4" s="206">
        <v>0.04</v>
      </c>
      <c r="AO4" s="206">
        <v>0.02</v>
      </c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</row>
    <row r="5" ht="15.75" customHeight="1">
      <c r="A5" s="43" t="s">
        <v>5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4"/>
      <c r="AF5" s="205"/>
      <c r="AG5" s="205"/>
      <c r="AH5" s="205"/>
      <c r="AI5" s="205"/>
      <c r="AJ5" s="206">
        <v>0.14</v>
      </c>
      <c r="AK5" s="206">
        <v>0.33</v>
      </c>
      <c r="AL5" s="206">
        <v>0.25</v>
      </c>
      <c r="AM5" s="206">
        <v>0.15</v>
      </c>
      <c r="AN5" s="206">
        <v>0.07</v>
      </c>
      <c r="AO5" s="206">
        <v>0.04</v>
      </c>
      <c r="AP5" s="206">
        <v>0.02</v>
      </c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</row>
    <row r="6" ht="15.75" customHeight="1">
      <c r="A6" s="43" t="s">
        <v>6</v>
      </c>
      <c r="B6" s="205"/>
      <c r="C6" s="205"/>
      <c r="D6" s="206">
        <v>0.1</v>
      </c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8"/>
      <c r="AF6" s="207"/>
      <c r="AG6" s="207"/>
      <c r="AH6" s="207"/>
      <c r="AI6" s="207"/>
      <c r="AJ6" s="207"/>
      <c r="AK6" s="206">
        <v>0.14</v>
      </c>
      <c r="AL6" s="206">
        <v>0.33</v>
      </c>
      <c r="AM6" s="206">
        <v>0.25</v>
      </c>
      <c r="AN6" s="206">
        <v>0.15</v>
      </c>
      <c r="AO6" s="206">
        <v>0.07</v>
      </c>
      <c r="AP6" s="206">
        <v>0.04</v>
      </c>
      <c r="AQ6" s="206">
        <v>0.02</v>
      </c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</row>
    <row r="7" ht="15.75" customHeight="1">
      <c r="A7" s="43" t="s">
        <v>7</v>
      </c>
      <c r="B7" s="205"/>
      <c r="C7" s="205"/>
      <c r="D7" s="206">
        <f>227/255</f>
        <v>0.8901960784</v>
      </c>
      <c r="E7" s="206">
        <v>0.1</v>
      </c>
      <c r="F7" s="206">
        <v>0.01</v>
      </c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8"/>
      <c r="AF7" s="207"/>
      <c r="AG7" s="207"/>
      <c r="AH7" s="207"/>
      <c r="AI7" s="207"/>
      <c r="AJ7" s="207"/>
      <c r="AK7" s="207"/>
      <c r="AL7" s="206">
        <v>0.14</v>
      </c>
      <c r="AM7" s="206">
        <v>0.33</v>
      </c>
      <c r="AN7" s="206">
        <v>0.25</v>
      </c>
      <c r="AO7" s="206">
        <v>0.15</v>
      </c>
      <c r="AP7" s="206">
        <v>0.07</v>
      </c>
      <c r="AQ7" s="206">
        <v>0.04</v>
      </c>
      <c r="AR7" s="206">
        <v>0.02</v>
      </c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</row>
    <row r="8" ht="15.75" customHeight="1">
      <c r="A8" s="43" t="s">
        <v>8</v>
      </c>
      <c r="B8" s="205"/>
      <c r="C8" s="205"/>
      <c r="D8" s="207"/>
      <c r="E8" s="206">
        <f>227/255</f>
        <v>0.8901960784</v>
      </c>
      <c r="F8" s="206">
        <v>0.1</v>
      </c>
      <c r="G8" s="206">
        <v>0.01</v>
      </c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8"/>
      <c r="AF8" s="207"/>
      <c r="AG8" s="207"/>
      <c r="AH8" s="207"/>
      <c r="AI8" s="207"/>
      <c r="AJ8" s="207"/>
      <c r="AK8" s="207"/>
      <c r="AL8" s="207"/>
      <c r="AM8" s="206">
        <v>0.14</v>
      </c>
      <c r="AN8" s="206">
        <v>0.33</v>
      </c>
      <c r="AO8" s="206">
        <v>0.25</v>
      </c>
      <c r="AP8" s="206">
        <v>0.15</v>
      </c>
      <c r="AQ8" s="206">
        <v>0.07</v>
      </c>
      <c r="AR8" s="206">
        <v>0.04</v>
      </c>
      <c r="AS8" s="206">
        <v>0.02</v>
      </c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</row>
    <row r="9" ht="15.75" customHeight="1">
      <c r="A9" s="43" t="s">
        <v>9</v>
      </c>
      <c r="B9" s="205"/>
      <c r="C9" s="205"/>
      <c r="D9" s="207"/>
      <c r="E9" s="207"/>
      <c r="F9" s="206">
        <f>227/255</f>
        <v>0.8901960784</v>
      </c>
      <c r="G9" s="206">
        <v>0.1</v>
      </c>
      <c r="H9" s="206">
        <v>0.01</v>
      </c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8"/>
      <c r="AF9" s="207"/>
      <c r="AG9" s="207"/>
      <c r="AH9" s="207"/>
      <c r="AI9" s="207"/>
      <c r="AJ9" s="207"/>
      <c r="AK9" s="207"/>
      <c r="AL9" s="207"/>
      <c r="AM9" s="207"/>
      <c r="AN9" s="206">
        <v>0.14</v>
      </c>
      <c r="AO9" s="206">
        <v>0.33</v>
      </c>
      <c r="AP9" s="206">
        <v>0.25</v>
      </c>
      <c r="AQ9" s="206">
        <v>0.15</v>
      </c>
      <c r="AR9" s="206">
        <v>0.07</v>
      </c>
      <c r="AS9" s="206">
        <v>0.04</v>
      </c>
      <c r="AT9" s="206">
        <v>0.02</v>
      </c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</row>
    <row r="10" ht="15.75" customHeight="1">
      <c r="A10" s="43" t="s">
        <v>10</v>
      </c>
      <c r="B10" s="205"/>
      <c r="C10" s="205"/>
      <c r="D10" s="207"/>
      <c r="E10" s="207"/>
      <c r="F10" s="207"/>
      <c r="G10" s="206">
        <f>227/255</f>
        <v>0.8901960784</v>
      </c>
      <c r="H10" s="206">
        <v>0.1</v>
      </c>
      <c r="I10" s="206">
        <v>0.01</v>
      </c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8"/>
      <c r="AF10" s="207"/>
      <c r="AG10" s="207"/>
      <c r="AH10" s="207"/>
      <c r="AI10" s="207"/>
      <c r="AJ10" s="207"/>
      <c r="AK10" s="207"/>
      <c r="AL10" s="207"/>
      <c r="AM10" s="207"/>
      <c r="AN10" s="207"/>
      <c r="AO10" s="206">
        <v>0.14</v>
      </c>
      <c r="AP10" s="206">
        <v>0.33</v>
      </c>
      <c r="AQ10" s="206">
        <v>0.25</v>
      </c>
      <c r="AR10" s="206">
        <v>0.15</v>
      </c>
      <c r="AS10" s="206">
        <v>0.07</v>
      </c>
      <c r="AT10" s="206">
        <v>0.04</v>
      </c>
      <c r="AU10" s="206">
        <v>0.02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</row>
    <row r="11" ht="15.75" customHeight="1">
      <c r="A11" s="43" t="s">
        <v>11</v>
      </c>
      <c r="B11" s="205"/>
      <c r="C11" s="205"/>
      <c r="D11" s="207"/>
      <c r="E11" s="207"/>
      <c r="F11" s="207"/>
      <c r="G11" s="207"/>
      <c r="H11" s="206">
        <f>227/255</f>
        <v>0.8901960784</v>
      </c>
      <c r="I11" s="206">
        <v>0.1</v>
      </c>
      <c r="J11" s="206">
        <v>0.01</v>
      </c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8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6">
        <v>0.14</v>
      </c>
      <c r="AQ11" s="206">
        <v>0.33</v>
      </c>
      <c r="AR11" s="206">
        <v>0.25</v>
      </c>
      <c r="AS11" s="206">
        <v>0.15</v>
      </c>
      <c r="AT11" s="206">
        <v>0.07</v>
      </c>
      <c r="AU11" s="206">
        <v>0.04</v>
      </c>
      <c r="AV11" s="206">
        <v>0.02</v>
      </c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</row>
    <row r="12" ht="15.75" customHeight="1">
      <c r="A12" s="43" t="s">
        <v>12</v>
      </c>
      <c r="B12" s="205"/>
      <c r="C12" s="205"/>
      <c r="D12" s="207"/>
      <c r="E12" s="207"/>
      <c r="F12" s="207"/>
      <c r="G12" s="207"/>
      <c r="H12" s="207"/>
      <c r="I12" s="206">
        <f>227/255</f>
        <v>0.8901960784</v>
      </c>
      <c r="J12" s="206">
        <v>0.1</v>
      </c>
      <c r="K12" s="206">
        <v>0.01</v>
      </c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8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>
        <v>0.14</v>
      </c>
      <c r="AR12" s="206">
        <v>0.33</v>
      </c>
      <c r="AS12" s="206">
        <v>0.25</v>
      </c>
      <c r="AT12" s="206">
        <v>0.15</v>
      </c>
      <c r="AU12" s="206">
        <v>0.07</v>
      </c>
      <c r="AV12" s="206">
        <v>0.04</v>
      </c>
      <c r="AW12" s="206">
        <v>0.02</v>
      </c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</row>
    <row r="13" ht="15.75" customHeight="1">
      <c r="A13" s="43" t="s">
        <v>13</v>
      </c>
      <c r="B13" s="205"/>
      <c r="C13" s="205"/>
      <c r="D13" s="207"/>
      <c r="E13" s="207"/>
      <c r="F13" s="207"/>
      <c r="G13" s="207"/>
      <c r="H13" s="207"/>
      <c r="I13" s="207"/>
      <c r="J13" s="206">
        <f>227/255</f>
        <v>0.8901960784</v>
      </c>
      <c r="K13" s="206">
        <v>0.1</v>
      </c>
      <c r="L13" s="206">
        <v>0.01</v>
      </c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8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6">
        <v>0.14</v>
      </c>
      <c r="AS13" s="206">
        <v>0.33</v>
      </c>
      <c r="AT13" s="206">
        <v>0.25</v>
      </c>
      <c r="AU13" s="206">
        <v>0.15</v>
      </c>
      <c r="AV13" s="206">
        <v>0.07</v>
      </c>
      <c r="AW13" s="206">
        <v>0.04</v>
      </c>
      <c r="AX13" s="206">
        <v>0.02</v>
      </c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</row>
    <row r="14" ht="15.75" customHeight="1">
      <c r="A14" s="43" t="s">
        <v>63</v>
      </c>
      <c r="B14" s="205"/>
      <c r="C14" s="205"/>
      <c r="D14" s="207"/>
      <c r="E14" s="207"/>
      <c r="F14" s="207"/>
      <c r="G14" s="207"/>
      <c r="H14" s="207"/>
      <c r="I14" s="207"/>
      <c r="J14" s="207"/>
      <c r="K14" s="206">
        <f>227/255</f>
        <v>0.8901960784</v>
      </c>
      <c r="L14" s="206">
        <v>0.1</v>
      </c>
      <c r="M14" s="206">
        <v>0.01</v>
      </c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8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6">
        <v>0.14</v>
      </c>
      <c r="AT14" s="206">
        <v>0.33</v>
      </c>
      <c r="AU14" s="206">
        <v>0.25</v>
      </c>
      <c r="AV14" s="206">
        <v>0.15</v>
      </c>
      <c r="AW14" s="206">
        <v>0.07</v>
      </c>
      <c r="AX14" s="206">
        <v>0.04</v>
      </c>
      <c r="AY14" s="206">
        <v>0.02</v>
      </c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</row>
    <row r="15" ht="15.75" customHeight="1">
      <c r="A15" s="43" t="s">
        <v>64</v>
      </c>
      <c r="B15" s="205"/>
      <c r="C15" s="205"/>
      <c r="D15" s="207"/>
      <c r="E15" s="207"/>
      <c r="F15" s="207"/>
      <c r="G15" s="207"/>
      <c r="H15" s="207"/>
      <c r="I15" s="207"/>
      <c r="J15" s="207"/>
      <c r="K15" s="207"/>
      <c r="L15" s="206">
        <f>227/255</f>
        <v>0.8901960784</v>
      </c>
      <c r="M15" s="206">
        <v>0.1</v>
      </c>
      <c r="N15" s="206">
        <v>0.01</v>
      </c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8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6">
        <v>0.14</v>
      </c>
      <c r="AU15" s="206">
        <v>0.33</v>
      </c>
      <c r="AV15" s="206">
        <v>0.25</v>
      </c>
      <c r="AW15" s="206">
        <v>0.15</v>
      </c>
      <c r="AX15" s="206">
        <v>0.07</v>
      </c>
      <c r="AY15" s="206">
        <v>0.04</v>
      </c>
      <c r="AZ15" s="206">
        <v>0.02</v>
      </c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</row>
    <row r="16" ht="15.75" customHeight="1">
      <c r="A16" s="43" t="s">
        <v>65</v>
      </c>
      <c r="B16" s="205"/>
      <c r="C16" s="205"/>
      <c r="D16" s="207"/>
      <c r="E16" s="207"/>
      <c r="F16" s="207"/>
      <c r="G16" s="207"/>
      <c r="H16" s="207"/>
      <c r="I16" s="207"/>
      <c r="J16" s="207"/>
      <c r="K16" s="207"/>
      <c r="L16" s="207"/>
      <c r="M16" s="206">
        <f>227/255</f>
        <v>0.8901960784</v>
      </c>
      <c r="N16" s="206">
        <v>0.1</v>
      </c>
      <c r="O16" s="206">
        <v>0.01</v>
      </c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8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6">
        <v>0.14</v>
      </c>
      <c r="AV16" s="206">
        <v>0.33</v>
      </c>
      <c r="AW16" s="206">
        <v>0.25</v>
      </c>
      <c r="AX16" s="206">
        <v>0.15</v>
      </c>
      <c r="AY16" s="206">
        <v>0.07</v>
      </c>
      <c r="AZ16" s="206">
        <v>0.04</v>
      </c>
      <c r="BA16" s="206">
        <v>0.02</v>
      </c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</row>
    <row r="17" ht="15.75" customHeight="1">
      <c r="A17" s="43" t="s">
        <v>66</v>
      </c>
      <c r="B17" s="205"/>
      <c r="C17" s="205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6">
        <v>0.89</v>
      </c>
      <c r="O17" s="206">
        <v>0.1</v>
      </c>
      <c r="P17" s="206">
        <v>0.01</v>
      </c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8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6">
        <v>0.14</v>
      </c>
      <c r="AW17" s="206">
        <v>0.33</v>
      </c>
      <c r="AX17" s="206">
        <v>0.25</v>
      </c>
      <c r="AY17" s="206">
        <v>0.15</v>
      </c>
      <c r="AZ17" s="206">
        <v>0.07</v>
      </c>
      <c r="BA17" s="206">
        <v>0.04</v>
      </c>
      <c r="BB17" s="206">
        <v>0.02</v>
      </c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</row>
    <row r="18" ht="15.75" customHeight="1">
      <c r="A18" s="43" t="s">
        <v>67</v>
      </c>
      <c r="B18" s="205"/>
      <c r="C18" s="205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6">
        <v>0.89</v>
      </c>
      <c r="P18" s="206">
        <v>0.1</v>
      </c>
      <c r="Q18" s="206">
        <v>0.01</v>
      </c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8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6">
        <v>0.14</v>
      </c>
      <c r="AX18" s="206">
        <v>0.33</v>
      </c>
      <c r="AY18" s="206">
        <v>0.25</v>
      </c>
      <c r="AZ18" s="206">
        <v>0.15</v>
      </c>
      <c r="BA18" s="206">
        <v>0.07</v>
      </c>
      <c r="BB18" s="206">
        <v>0.04</v>
      </c>
      <c r="BC18" s="206">
        <v>0.02</v>
      </c>
      <c r="BD18" s="207"/>
      <c r="BE18" s="207"/>
      <c r="BF18" s="207"/>
      <c r="BG18" s="207"/>
      <c r="BH18" s="207"/>
      <c r="BI18" s="207"/>
      <c r="BJ18" s="207"/>
      <c r="BK18" s="207"/>
      <c r="BL18" s="207"/>
    </row>
    <row r="19" ht="15.75" customHeight="1">
      <c r="A19" s="43" t="s">
        <v>68</v>
      </c>
      <c r="B19" s="205"/>
      <c r="C19" s="205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6">
        <v>0.89</v>
      </c>
      <c r="Q19" s="206">
        <v>0.1</v>
      </c>
      <c r="R19" s="206">
        <v>0.01</v>
      </c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8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6">
        <v>0.14</v>
      </c>
      <c r="AY19" s="206">
        <v>0.33</v>
      </c>
      <c r="AZ19" s="206">
        <v>0.25</v>
      </c>
      <c r="BA19" s="206">
        <v>0.15</v>
      </c>
      <c r="BB19" s="206">
        <v>0.07</v>
      </c>
      <c r="BC19" s="206">
        <v>0.04</v>
      </c>
      <c r="BD19" s="206">
        <v>0.02</v>
      </c>
      <c r="BE19" s="207"/>
      <c r="BF19" s="207"/>
      <c r="BG19" s="207"/>
      <c r="BH19" s="207"/>
      <c r="BI19" s="207"/>
      <c r="BJ19" s="207"/>
      <c r="BK19" s="207"/>
      <c r="BL19" s="207"/>
    </row>
    <row r="20" ht="15.75" customHeight="1">
      <c r="A20" s="43" t="s">
        <v>69</v>
      </c>
      <c r="B20" s="205"/>
      <c r="C20" s="205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6">
        <v>0.89</v>
      </c>
      <c r="R20" s="206">
        <v>0.1</v>
      </c>
      <c r="S20" s="206">
        <v>0.01</v>
      </c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8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6">
        <v>0.14</v>
      </c>
      <c r="AZ20" s="206">
        <v>0.33</v>
      </c>
      <c r="BA20" s="206">
        <v>0.25</v>
      </c>
      <c r="BB20" s="206">
        <v>0.15</v>
      </c>
      <c r="BC20" s="206">
        <v>0.07</v>
      </c>
      <c r="BD20" s="206">
        <v>0.04</v>
      </c>
      <c r="BE20" s="206">
        <v>0.02</v>
      </c>
      <c r="BF20" s="207"/>
      <c r="BG20" s="207"/>
      <c r="BH20" s="207"/>
      <c r="BI20" s="207"/>
      <c r="BJ20" s="207"/>
      <c r="BK20" s="207"/>
      <c r="BL20" s="207"/>
    </row>
    <row r="21" ht="15.75" customHeight="1">
      <c r="A21" s="43" t="s">
        <v>70</v>
      </c>
      <c r="B21" s="205"/>
      <c r="C21" s="205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6">
        <v>0.89</v>
      </c>
      <c r="S21" s="206">
        <v>0.1</v>
      </c>
      <c r="T21" s="206">
        <v>0.01</v>
      </c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8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6">
        <v>0.14</v>
      </c>
      <c r="BA21" s="206">
        <v>0.33</v>
      </c>
      <c r="BB21" s="206">
        <v>0.25</v>
      </c>
      <c r="BC21" s="206">
        <v>0.15</v>
      </c>
      <c r="BD21" s="206">
        <v>0.07</v>
      </c>
      <c r="BE21" s="206">
        <v>0.04</v>
      </c>
      <c r="BF21" s="206">
        <v>0.02</v>
      </c>
      <c r="BG21" s="207"/>
      <c r="BH21" s="207"/>
      <c r="BI21" s="207"/>
      <c r="BJ21" s="207"/>
      <c r="BK21" s="207"/>
      <c r="BL21" s="207"/>
    </row>
    <row r="22" ht="15.75" customHeight="1">
      <c r="A22" s="43" t="s">
        <v>71</v>
      </c>
      <c r="B22" s="205"/>
      <c r="C22" s="205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6">
        <f>227/255</f>
        <v>0.8901960784</v>
      </c>
      <c r="T22" s="206">
        <v>0.1</v>
      </c>
      <c r="U22" s="206">
        <v>0.01</v>
      </c>
      <c r="V22" s="207"/>
      <c r="W22" s="207"/>
      <c r="X22" s="207"/>
      <c r="Y22" s="207"/>
      <c r="Z22" s="207"/>
      <c r="AA22" s="207"/>
      <c r="AB22" s="207"/>
      <c r="AC22" s="207"/>
      <c r="AD22" s="207"/>
      <c r="AE22" s="208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6">
        <v>0.14</v>
      </c>
      <c r="BB22" s="206">
        <v>0.33</v>
      </c>
      <c r="BC22" s="206">
        <v>0.25</v>
      </c>
      <c r="BD22" s="206">
        <v>0.15</v>
      </c>
      <c r="BE22" s="206">
        <v>0.07</v>
      </c>
      <c r="BF22" s="206">
        <v>0.04</v>
      </c>
      <c r="BG22" s="206">
        <v>0.02</v>
      </c>
      <c r="BH22" s="207"/>
      <c r="BI22" s="207"/>
      <c r="BJ22" s="207"/>
      <c r="BK22" s="207"/>
      <c r="BL22" s="207"/>
    </row>
    <row r="23" ht="15.75" customHeight="1">
      <c r="A23" s="43" t="s">
        <v>72</v>
      </c>
      <c r="B23" s="205"/>
      <c r="C23" s="205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6">
        <f>227/255</f>
        <v>0.8901960784</v>
      </c>
      <c r="U23" s="206">
        <v>0.1</v>
      </c>
      <c r="V23" s="206">
        <v>0.01</v>
      </c>
      <c r="W23" s="207"/>
      <c r="X23" s="207"/>
      <c r="Y23" s="207"/>
      <c r="Z23" s="207"/>
      <c r="AA23" s="207"/>
      <c r="AB23" s="207"/>
      <c r="AC23" s="207"/>
      <c r="AD23" s="207"/>
      <c r="AE23" s="208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6">
        <v>0.14</v>
      </c>
      <c r="BC23" s="206">
        <v>0.33</v>
      </c>
      <c r="BD23" s="206">
        <v>0.25</v>
      </c>
      <c r="BE23" s="206">
        <v>0.15</v>
      </c>
      <c r="BF23" s="206">
        <v>0.07</v>
      </c>
      <c r="BG23" s="206">
        <v>0.04</v>
      </c>
      <c r="BH23" s="206">
        <v>0.02</v>
      </c>
      <c r="BI23" s="207"/>
      <c r="BJ23" s="207"/>
      <c r="BK23" s="207"/>
      <c r="BL23" s="207"/>
    </row>
    <row r="24" ht="15.75" customHeight="1">
      <c r="A24" s="43" t="s">
        <v>73</v>
      </c>
      <c r="B24" s="205"/>
      <c r="C24" s="205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6">
        <f>227/255</f>
        <v>0.8901960784</v>
      </c>
      <c r="V24" s="206">
        <v>0.1</v>
      </c>
      <c r="W24" s="206">
        <v>0.01</v>
      </c>
      <c r="X24" s="207"/>
      <c r="Y24" s="207"/>
      <c r="Z24" s="207"/>
      <c r="AA24" s="207"/>
      <c r="AB24" s="207"/>
      <c r="AC24" s="207"/>
      <c r="AD24" s="207"/>
      <c r="AE24" s="208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6">
        <v>0.14</v>
      </c>
      <c r="BD24" s="206">
        <v>0.33</v>
      </c>
      <c r="BE24" s="206">
        <v>0.25</v>
      </c>
      <c r="BF24" s="206">
        <v>0.15</v>
      </c>
      <c r="BG24" s="206">
        <v>0.07</v>
      </c>
      <c r="BH24" s="206">
        <v>0.04</v>
      </c>
      <c r="BI24" s="206">
        <v>0.02</v>
      </c>
      <c r="BJ24" s="207"/>
      <c r="BK24" s="207"/>
      <c r="BL24" s="207"/>
    </row>
    <row r="25" ht="15.75" customHeight="1">
      <c r="A25" s="43" t="s">
        <v>74</v>
      </c>
      <c r="B25" s="205"/>
      <c r="C25" s="205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6">
        <f>227/255</f>
        <v>0.8901960784</v>
      </c>
      <c r="W25" s="206">
        <v>0.1</v>
      </c>
      <c r="X25" s="206">
        <v>0.01</v>
      </c>
      <c r="Y25" s="207"/>
      <c r="Z25" s="207"/>
      <c r="AA25" s="207"/>
      <c r="AB25" s="207"/>
      <c r="AC25" s="207"/>
      <c r="AD25" s="207"/>
      <c r="AE25" s="208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6">
        <v>0.14</v>
      </c>
      <c r="BE25" s="206">
        <v>0.33</v>
      </c>
      <c r="BF25" s="206">
        <v>0.25</v>
      </c>
      <c r="BG25" s="206">
        <v>0.15</v>
      </c>
      <c r="BH25" s="206">
        <v>0.07</v>
      </c>
      <c r="BI25" s="206">
        <v>0.04</v>
      </c>
      <c r="BJ25" s="206">
        <v>0.02</v>
      </c>
      <c r="BK25" s="207"/>
      <c r="BL25" s="207"/>
    </row>
    <row r="26" ht="15.75" customHeight="1">
      <c r="A26" s="43" t="s">
        <v>75</v>
      </c>
      <c r="B26" s="205"/>
      <c r="C26" s="205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6">
        <f>227/255</f>
        <v>0.8901960784</v>
      </c>
      <c r="X26" s="206">
        <v>0.1</v>
      </c>
      <c r="Y26" s="206">
        <v>0.01</v>
      </c>
      <c r="Z26" s="207"/>
      <c r="AA26" s="207"/>
      <c r="AB26" s="207"/>
      <c r="AC26" s="207"/>
      <c r="AD26" s="207"/>
      <c r="AE26" s="208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6">
        <v>0.14</v>
      </c>
      <c r="BF26" s="206">
        <v>0.33</v>
      </c>
      <c r="BG26" s="206">
        <v>0.25</v>
      </c>
      <c r="BH26" s="206">
        <v>0.15</v>
      </c>
      <c r="BI26" s="206">
        <v>0.07</v>
      </c>
      <c r="BJ26" s="206">
        <v>0.04</v>
      </c>
      <c r="BK26" s="206">
        <v>0.02</v>
      </c>
      <c r="BL26" s="207"/>
    </row>
    <row r="27" ht="15.75" customHeight="1">
      <c r="A27" s="43" t="s">
        <v>76</v>
      </c>
      <c r="B27" s="205"/>
      <c r="C27" s="205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6">
        <f>227/255</f>
        <v>0.8901960784</v>
      </c>
      <c r="Y27" s="206">
        <v>0.1</v>
      </c>
      <c r="Z27" s="206">
        <v>0.01</v>
      </c>
      <c r="AA27" s="207"/>
      <c r="AB27" s="207"/>
      <c r="AC27" s="207"/>
      <c r="AD27" s="207"/>
      <c r="AE27" s="208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6">
        <v>0.14</v>
      </c>
      <c r="BG27" s="206">
        <v>0.33</v>
      </c>
      <c r="BH27" s="206">
        <v>0.25</v>
      </c>
      <c r="BI27" s="206">
        <v>0.15</v>
      </c>
      <c r="BJ27" s="206">
        <v>0.07</v>
      </c>
      <c r="BK27" s="206">
        <v>0.04</v>
      </c>
      <c r="BL27" s="206">
        <v>0.02</v>
      </c>
    </row>
    <row r="28" ht="15.75" customHeight="1">
      <c r="A28" s="43" t="s">
        <v>77</v>
      </c>
      <c r="B28" s="205"/>
      <c r="C28" s="205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6">
        <f>227/255</f>
        <v>0.8901960784</v>
      </c>
      <c r="Z28" s="206">
        <v>0.1</v>
      </c>
      <c r="AA28" s="206">
        <v>0.01</v>
      </c>
      <c r="AB28" s="207"/>
      <c r="AC28" s="207"/>
      <c r="AD28" s="207"/>
      <c r="AE28" s="208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6">
        <v>0.14</v>
      </c>
      <c r="BH28" s="206">
        <v>0.33</v>
      </c>
      <c r="BI28" s="206">
        <v>0.25</v>
      </c>
      <c r="BJ28" s="206">
        <v>0.15</v>
      </c>
      <c r="BK28" s="206">
        <v>0.07</v>
      </c>
      <c r="BL28" s="206">
        <v>0.04</v>
      </c>
    </row>
    <row r="29" ht="15.75" customHeight="1">
      <c r="A29" s="43" t="s">
        <v>78</v>
      </c>
      <c r="B29" s="205"/>
      <c r="C29" s="205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6">
        <v>0.89</v>
      </c>
      <c r="AA29" s="206">
        <v>0.1</v>
      </c>
      <c r="AB29" s="206">
        <v>0.01</v>
      </c>
      <c r="AC29" s="207"/>
      <c r="AD29" s="207"/>
      <c r="AE29" s="208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6">
        <v>0.14</v>
      </c>
      <c r="BI29" s="206">
        <v>0.33</v>
      </c>
      <c r="BJ29" s="206">
        <v>0.25</v>
      </c>
      <c r="BK29" s="206">
        <v>0.15</v>
      </c>
      <c r="BL29" s="206">
        <v>0.07</v>
      </c>
    </row>
    <row r="30" ht="15.75" customHeight="1">
      <c r="A30" s="43" t="s">
        <v>79</v>
      </c>
      <c r="B30" s="205"/>
      <c r="C30" s="205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6">
        <v>0.89</v>
      </c>
      <c r="AB30" s="206">
        <v>0.1</v>
      </c>
      <c r="AC30" s="206">
        <v>0.01</v>
      </c>
      <c r="AD30" s="207"/>
      <c r="AE30" s="208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6">
        <v>0.14</v>
      </c>
      <c r="BJ30" s="206">
        <v>0.33</v>
      </c>
      <c r="BK30" s="206">
        <v>0.25</v>
      </c>
      <c r="BL30" s="206">
        <v>0.15</v>
      </c>
    </row>
    <row r="31" ht="15.75" customHeight="1">
      <c r="A31" s="43" t="s">
        <v>80</v>
      </c>
      <c r="B31" s="205"/>
      <c r="C31" s="205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6">
        <v>0.89</v>
      </c>
      <c r="AC31" s="206">
        <v>0.1</v>
      </c>
      <c r="AD31" s="206">
        <v>0.01</v>
      </c>
      <c r="AE31" s="208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6">
        <v>0.14</v>
      </c>
      <c r="BK31" s="206">
        <v>0.33</v>
      </c>
      <c r="BL31" s="206">
        <v>0.25</v>
      </c>
    </row>
    <row r="32" ht="15.75" customHeight="1">
      <c r="A32" s="43" t="s">
        <v>81</v>
      </c>
      <c r="B32" s="205"/>
      <c r="C32" s="205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6">
        <v>0.89</v>
      </c>
      <c r="AD32" s="206">
        <v>0.1</v>
      </c>
      <c r="AE32" s="208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6">
        <v>0.14</v>
      </c>
      <c r="BL32" s="206">
        <v>0.33</v>
      </c>
    </row>
    <row r="33" ht="15.75" customHeight="1">
      <c r="A33" s="43" t="s">
        <v>82</v>
      </c>
      <c r="B33" s="205"/>
      <c r="C33" s="205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6">
        <v>0.89</v>
      </c>
      <c r="AE33" s="208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6">
        <v>0.14</v>
      </c>
    </row>
    <row r="34" ht="15.75" customHeight="1">
      <c r="A34" s="205"/>
      <c r="B34" s="209" t="s">
        <v>54</v>
      </c>
      <c r="C34" s="209" t="s">
        <v>170</v>
      </c>
      <c r="D34" s="209" t="s">
        <v>7</v>
      </c>
      <c r="E34" s="209" t="s">
        <v>8</v>
      </c>
      <c r="F34" s="209" t="s">
        <v>9</v>
      </c>
      <c r="G34" s="209" t="s">
        <v>10</v>
      </c>
      <c r="H34" s="209" t="s">
        <v>11</v>
      </c>
      <c r="I34" s="209" t="s">
        <v>12</v>
      </c>
      <c r="J34" s="209" t="s">
        <v>13</v>
      </c>
      <c r="K34" s="209" t="s">
        <v>63</v>
      </c>
      <c r="L34" s="209" t="s">
        <v>64</v>
      </c>
      <c r="M34" s="209" t="s">
        <v>65</v>
      </c>
      <c r="N34" s="209" t="s">
        <v>66</v>
      </c>
      <c r="O34" s="209" t="s">
        <v>67</v>
      </c>
      <c r="P34" s="209" t="s">
        <v>68</v>
      </c>
      <c r="Q34" s="209" t="s">
        <v>69</v>
      </c>
      <c r="R34" s="209" t="s">
        <v>70</v>
      </c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04"/>
      <c r="AF34" s="209" t="s">
        <v>14</v>
      </c>
      <c r="AG34" s="209" t="s">
        <v>2</v>
      </c>
      <c r="AH34" s="209" t="s">
        <v>3</v>
      </c>
      <c r="AI34" s="209" t="s">
        <v>4</v>
      </c>
      <c r="AJ34" s="209" t="s">
        <v>5</v>
      </c>
      <c r="AK34" s="209" t="s">
        <v>6</v>
      </c>
      <c r="AL34" s="209" t="s">
        <v>7</v>
      </c>
      <c r="AM34" s="209" t="s">
        <v>8</v>
      </c>
      <c r="AN34" s="209" t="s">
        <v>9</v>
      </c>
      <c r="AO34" s="209" t="s">
        <v>10</v>
      </c>
      <c r="AP34" s="209" t="s">
        <v>11</v>
      </c>
      <c r="AQ34" s="209" t="s">
        <v>12</v>
      </c>
      <c r="AR34" s="209" t="s">
        <v>13</v>
      </c>
      <c r="AS34" s="209" t="s">
        <v>63</v>
      </c>
      <c r="AT34" s="209" t="s">
        <v>64</v>
      </c>
      <c r="AU34" s="209" t="s">
        <v>65</v>
      </c>
      <c r="AV34" s="209" t="s">
        <v>66</v>
      </c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</row>
    <row r="35" ht="15.75" customHeight="1">
      <c r="A35" s="209" t="s">
        <v>2</v>
      </c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04"/>
      <c r="AF35" s="212">
        <v>0.0</v>
      </c>
      <c r="AG35" s="53">
        <f t="shared" ref="AG35:AM35" si="1">$AF35*AG2</f>
        <v>0</v>
      </c>
      <c r="AH35" s="53">
        <f t="shared" si="1"/>
        <v>0</v>
      </c>
      <c r="AI35" s="53">
        <f t="shared" si="1"/>
        <v>0</v>
      </c>
      <c r="AJ35" s="53">
        <f t="shared" si="1"/>
        <v>0</v>
      </c>
      <c r="AK35" s="53">
        <f t="shared" si="1"/>
        <v>0</v>
      </c>
      <c r="AL35" s="53">
        <f t="shared" si="1"/>
        <v>0</v>
      </c>
      <c r="AM35" s="53">
        <f t="shared" si="1"/>
        <v>0</v>
      </c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</row>
    <row r="36" ht="15.75" customHeight="1">
      <c r="A36" s="209" t="s">
        <v>3</v>
      </c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04"/>
      <c r="AF36" s="212">
        <v>0.0</v>
      </c>
      <c r="AG36" s="211"/>
      <c r="AH36" s="53">
        <f t="shared" ref="AH36:AN36" si="2">$AF36*AH3</f>
        <v>0</v>
      </c>
      <c r="AI36" s="53">
        <f t="shared" si="2"/>
        <v>0</v>
      </c>
      <c r="AJ36" s="53">
        <f t="shared" si="2"/>
        <v>0</v>
      </c>
      <c r="AK36" s="53">
        <f t="shared" si="2"/>
        <v>0</v>
      </c>
      <c r="AL36" s="53">
        <f t="shared" si="2"/>
        <v>0</v>
      </c>
      <c r="AM36" s="53">
        <f t="shared" si="2"/>
        <v>0</v>
      </c>
      <c r="AN36" s="53">
        <f t="shared" si="2"/>
        <v>0</v>
      </c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</row>
    <row r="37" ht="15.75" customHeight="1">
      <c r="A37" s="209" t="s">
        <v>4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04"/>
      <c r="AF37" s="212">
        <v>0.0</v>
      </c>
      <c r="AG37" s="207"/>
      <c r="AH37" s="211"/>
      <c r="AI37" s="53">
        <f t="shared" ref="AI37:AO37" si="3">$AF37*AI4</f>
        <v>0</v>
      </c>
      <c r="AJ37" s="53">
        <f t="shared" si="3"/>
        <v>0</v>
      </c>
      <c r="AK37" s="53">
        <f t="shared" si="3"/>
        <v>0</v>
      </c>
      <c r="AL37" s="53">
        <f t="shared" si="3"/>
        <v>0</v>
      </c>
      <c r="AM37" s="53">
        <f t="shared" si="3"/>
        <v>0</v>
      </c>
      <c r="AN37" s="53">
        <f t="shared" si="3"/>
        <v>0</v>
      </c>
      <c r="AO37" s="53">
        <f t="shared" si="3"/>
        <v>0</v>
      </c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</row>
    <row r="38" ht="15.75" customHeight="1">
      <c r="A38" s="209" t="s">
        <v>5</v>
      </c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04"/>
      <c r="AF38" s="212">
        <v>0.0</v>
      </c>
      <c r="AG38" s="207"/>
      <c r="AH38" s="211"/>
      <c r="AI38" s="211"/>
      <c r="AJ38" s="53">
        <f t="shared" ref="AJ38:AP38" si="4">$AF38*AJ5</f>
        <v>0</v>
      </c>
      <c r="AK38" s="53">
        <f t="shared" si="4"/>
        <v>0</v>
      </c>
      <c r="AL38" s="53">
        <f t="shared" si="4"/>
        <v>0</v>
      </c>
      <c r="AM38" s="53">
        <f t="shared" si="4"/>
        <v>0</v>
      </c>
      <c r="AN38" s="53">
        <f t="shared" si="4"/>
        <v>0</v>
      </c>
      <c r="AO38" s="53">
        <f t="shared" si="4"/>
        <v>0</v>
      </c>
      <c r="AP38" s="53">
        <f t="shared" si="4"/>
        <v>0</v>
      </c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</row>
    <row r="39" ht="15.75" customHeight="1">
      <c r="A39" s="209" t="s">
        <v>6</v>
      </c>
      <c r="B39" s="159"/>
      <c r="C39" s="159"/>
      <c r="D39" s="53">
        <f>$B39*D6</f>
        <v>0</v>
      </c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04"/>
      <c r="AF39" s="212">
        <v>0.0</v>
      </c>
      <c r="AG39" s="207"/>
      <c r="AH39" s="211"/>
      <c r="AI39" s="211"/>
      <c r="AJ39" s="211"/>
      <c r="AK39" s="53">
        <f t="shared" ref="AK39:AQ39" si="5">$AF39*AK6</f>
        <v>0</v>
      </c>
      <c r="AL39" s="53">
        <f t="shared" si="5"/>
        <v>0</v>
      </c>
      <c r="AM39" s="53">
        <f t="shared" si="5"/>
        <v>0</v>
      </c>
      <c r="AN39" s="53">
        <f t="shared" si="5"/>
        <v>0</v>
      </c>
      <c r="AO39" s="53">
        <f t="shared" si="5"/>
        <v>0</v>
      </c>
      <c r="AP39" s="53">
        <f t="shared" si="5"/>
        <v>0</v>
      </c>
      <c r="AQ39" s="53">
        <f t="shared" si="5"/>
        <v>0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</row>
    <row r="40" ht="15.75" customHeight="1">
      <c r="A40" s="209" t="s">
        <v>7</v>
      </c>
      <c r="B40" s="205"/>
      <c r="C40" s="207"/>
      <c r="D40" s="53">
        <f t="shared" ref="D40:F40" si="6">$B40*D7*$C40</f>
        <v>0</v>
      </c>
      <c r="E40" s="53">
        <f t="shared" si="6"/>
        <v>0</v>
      </c>
      <c r="F40" s="53">
        <f t="shared" si="6"/>
        <v>0</v>
      </c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5"/>
      <c r="AF40" s="216">
        <f t="array" ref="AF40:AF66">transpose(D67:AD67)</f>
        <v>0</v>
      </c>
      <c r="AG40" s="207"/>
      <c r="AH40" s="211"/>
      <c r="AI40" s="211"/>
      <c r="AJ40" s="211"/>
      <c r="AK40" s="211"/>
      <c r="AL40" s="53">
        <f t="shared" ref="AL40:AR40" si="7">$AF40*AL7</f>
        <v>0</v>
      </c>
      <c r="AM40" s="53">
        <f t="shared" si="7"/>
        <v>0</v>
      </c>
      <c r="AN40" s="53">
        <f t="shared" si="7"/>
        <v>0</v>
      </c>
      <c r="AO40" s="53">
        <f t="shared" si="7"/>
        <v>0</v>
      </c>
      <c r="AP40" s="53">
        <f t="shared" si="7"/>
        <v>0</v>
      </c>
      <c r="AQ40" s="53">
        <f t="shared" si="7"/>
        <v>0</v>
      </c>
      <c r="AR40" s="53">
        <f t="shared" si="7"/>
        <v>0</v>
      </c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</row>
    <row r="41" ht="15.75" customHeight="1">
      <c r="A41" s="209" t="s">
        <v>8</v>
      </c>
      <c r="B41" s="205"/>
      <c r="C41" s="207"/>
      <c r="D41" s="211"/>
      <c r="E41" s="53">
        <f t="shared" ref="E41:G41" si="8">$B41*E8*$C41</f>
        <v>0</v>
      </c>
      <c r="F41" s="53">
        <f t="shared" si="8"/>
        <v>0</v>
      </c>
      <c r="G41" s="53">
        <f t="shared" si="8"/>
        <v>0</v>
      </c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7"/>
      <c r="AF41" s="53">
        <v>0.0</v>
      </c>
      <c r="AG41" s="207"/>
      <c r="AH41" s="211"/>
      <c r="AI41" s="211"/>
      <c r="AJ41" s="211"/>
      <c r="AK41" s="211"/>
      <c r="AL41" s="211"/>
      <c r="AM41" s="53">
        <f t="shared" ref="AM41:AS41" si="9">$AF41*AM8</f>
        <v>0</v>
      </c>
      <c r="AN41" s="53">
        <f t="shared" si="9"/>
        <v>0</v>
      </c>
      <c r="AO41" s="53">
        <f t="shared" si="9"/>
        <v>0</v>
      </c>
      <c r="AP41" s="53">
        <f t="shared" si="9"/>
        <v>0</v>
      </c>
      <c r="AQ41" s="53">
        <f t="shared" si="9"/>
        <v>0</v>
      </c>
      <c r="AR41" s="53">
        <f t="shared" si="9"/>
        <v>0</v>
      </c>
      <c r="AS41" s="53">
        <f t="shared" si="9"/>
        <v>0</v>
      </c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</row>
    <row r="42" ht="15.75" customHeight="1">
      <c r="A42" s="209" t="s">
        <v>9</v>
      </c>
      <c r="B42" s="205"/>
      <c r="C42" s="207"/>
      <c r="D42" s="205"/>
      <c r="E42" s="211"/>
      <c r="F42" s="53">
        <f t="shared" ref="F42:H42" si="10">$B42*F9*$C42</f>
        <v>0</v>
      </c>
      <c r="G42" s="53">
        <f t="shared" si="10"/>
        <v>0</v>
      </c>
      <c r="H42" s="53">
        <f t="shared" si="10"/>
        <v>0</v>
      </c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7"/>
      <c r="AF42" s="53">
        <v>0.0</v>
      </c>
      <c r="AG42" s="207"/>
      <c r="AH42" s="211"/>
      <c r="AI42" s="211"/>
      <c r="AJ42" s="211"/>
      <c r="AK42" s="211"/>
      <c r="AL42" s="211"/>
      <c r="AM42" s="211"/>
      <c r="AN42" s="53">
        <f t="shared" ref="AN42:AT42" si="11">$AF42*AN9</f>
        <v>0</v>
      </c>
      <c r="AO42" s="53">
        <f t="shared" si="11"/>
        <v>0</v>
      </c>
      <c r="AP42" s="53">
        <f t="shared" si="11"/>
        <v>0</v>
      </c>
      <c r="AQ42" s="53">
        <f t="shared" si="11"/>
        <v>0</v>
      </c>
      <c r="AR42" s="53">
        <f t="shared" si="11"/>
        <v>0</v>
      </c>
      <c r="AS42" s="53">
        <f t="shared" si="11"/>
        <v>0</v>
      </c>
      <c r="AT42" s="53">
        <f t="shared" si="11"/>
        <v>0</v>
      </c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</row>
    <row r="43" ht="15.75" customHeight="1">
      <c r="A43" s="209" t="s">
        <v>10</v>
      </c>
      <c r="B43" s="213">
        <v>5.0</v>
      </c>
      <c r="C43" s="214">
        <v>0.4</v>
      </c>
      <c r="D43" s="205"/>
      <c r="E43" s="205"/>
      <c r="F43" s="211"/>
      <c r="G43" s="53">
        <f t="shared" ref="G43:I43" si="12">$B43*G10*$C43</f>
        <v>1.780392157</v>
      </c>
      <c r="H43" s="53">
        <f t="shared" si="12"/>
        <v>0.2</v>
      </c>
      <c r="I43" s="53">
        <f t="shared" si="12"/>
        <v>0.02</v>
      </c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7"/>
      <c r="AF43" s="53">
        <v>1.7803921568627452</v>
      </c>
      <c r="AG43" s="207"/>
      <c r="AH43" s="211"/>
      <c r="AI43" s="211"/>
      <c r="AJ43" s="211"/>
      <c r="AK43" s="211"/>
      <c r="AL43" s="211"/>
      <c r="AM43" s="211"/>
      <c r="AN43" s="211"/>
      <c r="AO43" s="53">
        <f t="shared" ref="AO43:AU43" si="13">$AF43*AO10</f>
        <v>0.249254902</v>
      </c>
      <c r="AP43" s="53">
        <f t="shared" si="13"/>
        <v>0.5875294118</v>
      </c>
      <c r="AQ43" s="53">
        <f t="shared" si="13"/>
        <v>0.4450980392</v>
      </c>
      <c r="AR43" s="53">
        <f t="shared" si="13"/>
        <v>0.2670588235</v>
      </c>
      <c r="AS43" s="53">
        <f t="shared" si="13"/>
        <v>0.124627451</v>
      </c>
      <c r="AT43" s="53">
        <f t="shared" si="13"/>
        <v>0.07121568627</v>
      </c>
      <c r="AU43" s="53">
        <f t="shared" si="13"/>
        <v>0.03560784314</v>
      </c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</row>
    <row r="44" ht="15.75" customHeight="1">
      <c r="A44" s="209" t="s">
        <v>11</v>
      </c>
      <c r="B44" s="213">
        <v>5.0</v>
      </c>
      <c r="C44" s="214">
        <v>0.4</v>
      </c>
      <c r="D44" s="205"/>
      <c r="E44" s="205"/>
      <c r="F44" s="205"/>
      <c r="G44" s="205"/>
      <c r="H44" s="53">
        <f t="shared" ref="H44:J44" si="14">$B44*H11*$C44</f>
        <v>1.780392157</v>
      </c>
      <c r="I44" s="53">
        <f t="shared" si="14"/>
        <v>0.2</v>
      </c>
      <c r="J44" s="53">
        <f t="shared" si="14"/>
        <v>0.02</v>
      </c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7"/>
      <c r="AF44" s="53">
        <v>1.9803921568627452</v>
      </c>
      <c r="AG44" s="207"/>
      <c r="AH44" s="211"/>
      <c r="AI44" s="211"/>
      <c r="AJ44" s="211"/>
      <c r="AK44" s="211"/>
      <c r="AL44" s="211"/>
      <c r="AM44" s="211"/>
      <c r="AN44" s="211"/>
      <c r="AO44" s="211"/>
      <c r="AP44" s="53">
        <f t="shared" ref="AP44:AV44" si="15">$AF44*AP11</f>
        <v>0.277254902</v>
      </c>
      <c r="AQ44" s="53">
        <f t="shared" si="15"/>
        <v>0.6535294118</v>
      </c>
      <c r="AR44" s="53">
        <f t="shared" si="15"/>
        <v>0.4950980392</v>
      </c>
      <c r="AS44" s="53">
        <f t="shared" si="15"/>
        <v>0.2970588235</v>
      </c>
      <c r="AT44" s="53">
        <f t="shared" si="15"/>
        <v>0.138627451</v>
      </c>
      <c r="AU44" s="53">
        <f t="shared" si="15"/>
        <v>0.07921568627</v>
      </c>
      <c r="AV44" s="53">
        <f t="shared" si="15"/>
        <v>0.03960784314</v>
      </c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</row>
    <row r="45" ht="15.75" customHeight="1">
      <c r="A45" s="209" t="s">
        <v>12</v>
      </c>
      <c r="B45" s="213">
        <v>5.0</v>
      </c>
      <c r="C45" s="214">
        <v>0.4</v>
      </c>
      <c r="D45" s="205"/>
      <c r="E45" s="205"/>
      <c r="F45" s="205"/>
      <c r="G45" s="205"/>
      <c r="H45" s="205"/>
      <c r="I45" s="53">
        <f t="shared" ref="I45:K45" si="16">$B45*I12*$C45</f>
        <v>1.780392157</v>
      </c>
      <c r="J45" s="53">
        <f t="shared" si="16"/>
        <v>0.2</v>
      </c>
      <c r="K45" s="53">
        <f t="shared" si="16"/>
        <v>0.02</v>
      </c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7"/>
      <c r="AF45" s="53">
        <v>2.000392156862745</v>
      </c>
      <c r="AG45" s="207"/>
      <c r="AH45" s="211"/>
      <c r="AI45" s="211"/>
      <c r="AJ45" s="211"/>
      <c r="AK45" s="211"/>
      <c r="AL45" s="211"/>
      <c r="AM45" s="211"/>
      <c r="AN45" s="211"/>
      <c r="AO45" s="211"/>
      <c r="AP45" s="211"/>
      <c r="AQ45" s="53">
        <f t="shared" ref="AQ45:AW45" si="17">$AF45*AQ12</f>
        <v>0.280054902</v>
      </c>
      <c r="AR45" s="53">
        <f t="shared" si="17"/>
        <v>0.6601294118</v>
      </c>
      <c r="AS45" s="53">
        <f t="shared" si="17"/>
        <v>0.5000980392</v>
      </c>
      <c r="AT45" s="53">
        <f t="shared" si="17"/>
        <v>0.3000588235</v>
      </c>
      <c r="AU45" s="53">
        <f t="shared" si="17"/>
        <v>0.140027451</v>
      </c>
      <c r="AV45" s="53">
        <f t="shared" si="17"/>
        <v>0.08001568627</v>
      </c>
      <c r="AW45" s="53">
        <f t="shared" si="17"/>
        <v>0.04000784314</v>
      </c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</row>
    <row r="46" ht="15.75" customHeight="1">
      <c r="A46" s="209" t="s">
        <v>13</v>
      </c>
      <c r="B46" s="213">
        <v>5.0</v>
      </c>
      <c r="C46" s="214">
        <v>0.45</v>
      </c>
      <c r="D46" s="205"/>
      <c r="E46" s="205"/>
      <c r="F46" s="205"/>
      <c r="G46" s="205"/>
      <c r="H46" s="205"/>
      <c r="I46" s="205"/>
      <c r="J46" s="53">
        <f t="shared" ref="J46:L46" si="18">$B46*J13*$C46</f>
        <v>2.002941176</v>
      </c>
      <c r="K46" s="53">
        <f t="shared" si="18"/>
        <v>0.225</v>
      </c>
      <c r="L46" s="53">
        <f t="shared" si="18"/>
        <v>0.0225</v>
      </c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7"/>
      <c r="AF46" s="53">
        <v>2.2229411764705884</v>
      </c>
      <c r="AG46" s="207"/>
      <c r="AH46" s="211"/>
      <c r="AI46" s="211"/>
      <c r="AJ46" s="211"/>
      <c r="AK46" s="211"/>
      <c r="AL46" s="211"/>
      <c r="AM46" s="211"/>
      <c r="AN46" s="211"/>
      <c r="AO46" s="211"/>
      <c r="AP46" s="207"/>
      <c r="AQ46" s="211"/>
      <c r="AR46" s="53">
        <f t="shared" ref="AR46:AX46" si="19">$AF46*AR13</f>
        <v>0.3112117647</v>
      </c>
      <c r="AS46" s="53">
        <f t="shared" si="19"/>
        <v>0.7335705882</v>
      </c>
      <c r="AT46" s="53">
        <f t="shared" si="19"/>
        <v>0.5557352941</v>
      </c>
      <c r="AU46" s="53">
        <f t="shared" si="19"/>
        <v>0.3334411765</v>
      </c>
      <c r="AV46" s="53">
        <f t="shared" si="19"/>
        <v>0.1556058824</v>
      </c>
      <c r="AW46" s="53">
        <f t="shared" si="19"/>
        <v>0.08891764706</v>
      </c>
      <c r="AX46" s="53">
        <f t="shared" si="19"/>
        <v>0.04445882353</v>
      </c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</row>
    <row r="47" ht="15.75" customHeight="1">
      <c r="A47" s="209" t="s">
        <v>63</v>
      </c>
      <c r="B47" s="213">
        <v>10.0</v>
      </c>
      <c r="C47" s="214">
        <v>0.5</v>
      </c>
      <c r="D47" s="205"/>
      <c r="E47" s="205"/>
      <c r="F47" s="205"/>
      <c r="G47" s="205"/>
      <c r="H47" s="205"/>
      <c r="I47" s="205"/>
      <c r="J47" s="211"/>
      <c r="K47" s="53">
        <f t="shared" ref="K47:M47" si="20">$B47*K14*$C47</f>
        <v>4.450980392</v>
      </c>
      <c r="L47" s="53">
        <f t="shared" si="20"/>
        <v>0.5</v>
      </c>
      <c r="M47" s="53">
        <f t="shared" si="20"/>
        <v>0.05</v>
      </c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7"/>
      <c r="AF47" s="53">
        <v>4.695980392156863</v>
      </c>
      <c r="AG47" s="207"/>
      <c r="AH47" s="211"/>
      <c r="AI47" s="211"/>
      <c r="AJ47" s="211"/>
      <c r="AK47" s="211"/>
      <c r="AL47" s="211"/>
      <c r="AM47" s="211"/>
      <c r="AN47" s="211"/>
      <c r="AO47" s="211"/>
      <c r="AP47" s="207"/>
      <c r="AQ47" s="211"/>
      <c r="AR47" s="211"/>
      <c r="AS47" s="53">
        <f t="shared" ref="AS47:AY47" si="21">$AF47*AS14</f>
        <v>0.6574372549</v>
      </c>
      <c r="AT47" s="53">
        <f t="shared" si="21"/>
        <v>1.549673529</v>
      </c>
      <c r="AU47" s="53">
        <f t="shared" si="21"/>
        <v>1.173995098</v>
      </c>
      <c r="AV47" s="53">
        <f t="shared" si="21"/>
        <v>0.7043970588</v>
      </c>
      <c r="AW47" s="53">
        <f t="shared" si="21"/>
        <v>0.3287186275</v>
      </c>
      <c r="AX47" s="53">
        <f t="shared" si="21"/>
        <v>0.1878392157</v>
      </c>
      <c r="AY47" s="53">
        <f t="shared" si="21"/>
        <v>0.09391960784</v>
      </c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</row>
    <row r="48" ht="15.75" customHeight="1">
      <c r="A48" s="209" t="s">
        <v>64</v>
      </c>
      <c r="B48" s="213">
        <v>25.0</v>
      </c>
      <c r="C48" s="214">
        <v>0.5</v>
      </c>
      <c r="D48" s="205"/>
      <c r="E48" s="205"/>
      <c r="F48" s="205"/>
      <c r="G48" s="205"/>
      <c r="H48" s="205"/>
      <c r="I48" s="205"/>
      <c r="J48" s="211"/>
      <c r="K48" s="211"/>
      <c r="L48" s="53">
        <f t="shared" ref="L48:N48" si="22">$B48*L15*$C48</f>
        <v>11.12745098</v>
      </c>
      <c r="M48" s="53">
        <f t="shared" si="22"/>
        <v>1.25</v>
      </c>
      <c r="N48" s="53">
        <f t="shared" si="22"/>
        <v>0.125</v>
      </c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7"/>
      <c r="AF48" s="53">
        <v>11.649950980392155</v>
      </c>
      <c r="AG48" s="207"/>
      <c r="AH48" s="211"/>
      <c r="AI48" s="211"/>
      <c r="AJ48" s="211"/>
      <c r="AK48" s="211"/>
      <c r="AL48" s="211"/>
      <c r="AM48" s="211"/>
      <c r="AN48" s="211"/>
      <c r="AO48" s="211"/>
      <c r="AP48" s="207"/>
      <c r="AQ48" s="211"/>
      <c r="AR48" s="211"/>
      <c r="AS48" s="211"/>
      <c r="AT48" s="53">
        <f t="shared" ref="AT48:AZ48" si="23">$AF48*AT15</f>
        <v>1.630993137</v>
      </c>
      <c r="AU48" s="53">
        <f t="shared" si="23"/>
        <v>3.844483824</v>
      </c>
      <c r="AV48" s="53">
        <f t="shared" si="23"/>
        <v>2.912487745</v>
      </c>
      <c r="AW48" s="53">
        <f t="shared" si="23"/>
        <v>1.747492647</v>
      </c>
      <c r="AX48" s="53">
        <f t="shared" si="23"/>
        <v>0.8154965686</v>
      </c>
      <c r="AY48" s="53">
        <f t="shared" si="23"/>
        <v>0.4659980392</v>
      </c>
      <c r="AZ48" s="53">
        <f t="shared" si="23"/>
        <v>0.2329990196</v>
      </c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</row>
    <row r="49" ht="15.75" customHeight="1">
      <c r="A49" s="209" t="s">
        <v>65</v>
      </c>
      <c r="B49" s="213">
        <v>25.0</v>
      </c>
      <c r="C49" s="214">
        <v>0.45</v>
      </c>
      <c r="D49" s="205"/>
      <c r="E49" s="205"/>
      <c r="F49" s="205"/>
      <c r="G49" s="205"/>
      <c r="H49" s="205"/>
      <c r="I49" s="205"/>
      <c r="J49" s="211"/>
      <c r="K49" s="211"/>
      <c r="L49" s="211"/>
      <c r="M49" s="53">
        <f t="shared" ref="M49:O49" si="24">$B49*M16*$C49</f>
        <v>10.01470588</v>
      </c>
      <c r="N49" s="53">
        <f t="shared" si="24"/>
        <v>1.125</v>
      </c>
      <c r="O49" s="53">
        <f t="shared" si="24"/>
        <v>0.1125</v>
      </c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7"/>
      <c r="AF49" s="53">
        <v>11.314705882352941</v>
      </c>
      <c r="AG49" s="207"/>
      <c r="AH49" s="211"/>
      <c r="AI49" s="211"/>
      <c r="AJ49" s="211"/>
      <c r="AK49" s="211"/>
      <c r="AL49" s="211"/>
      <c r="AM49" s="211"/>
      <c r="AN49" s="211"/>
      <c r="AO49" s="211"/>
      <c r="AP49" s="207"/>
      <c r="AQ49" s="211"/>
      <c r="AR49" s="211"/>
      <c r="AS49" s="211"/>
      <c r="AT49" s="211"/>
      <c r="AU49" s="53">
        <f t="shared" ref="AU49:BA49" si="25">$AF49*AU16</f>
        <v>1.584058824</v>
      </c>
      <c r="AV49" s="53">
        <f t="shared" si="25"/>
        <v>3.733852941</v>
      </c>
      <c r="AW49" s="53">
        <f t="shared" si="25"/>
        <v>2.828676471</v>
      </c>
      <c r="AX49" s="53">
        <f t="shared" si="25"/>
        <v>1.697205882</v>
      </c>
      <c r="AY49" s="53">
        <f t="shared" si="25"/>
        <v>0.7920294118</v>
      </c>
      <c r="AZ49" s="53">
        <f t="shared" si="25"/>
        <v>0.4525882353</v>
      </c>
      <c r="BA49" s="53">
        <f t="shared" si="25"/>
        <v>0.2262941176</v>
      </c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</row>
    <row r="50" ht="15.75" customHeight="1">
      <c r="A50" s="209" t="s">
        <v>66</v>
      </c>
      <c r="B50" s="213">
        <v>25.0</v>
      </c>
      <c r="C50" s="214">
        <v>0.45</v>
      </c>
      <c r="D50" s="205"/>
      <c r="E50" s="205"/>
      <c r="F50" s="205"/>
      <c r="G50" s="205"/>
      <c r="H50" s="205"/>
      <c r="I50" s="205"/>
      <c r="J50" s="211"/>
      <c r="K50" s="211"/>
      <c r="L50" s="211"/>
      <c r="M50" s="211"/>
      <c r="N50" s="53">
        <f t="shared" ref="N50:P50" si="26">$B50*N17*$C50</f>
        <v>10.0125</v>
      </c>
      <c r="O50" s="53">
        <f t="shared" si="26"/>
        <v>1.125</v>
      </c>
      <c r="P50" s="53">
        <f t="shared" si="26"/>
        <v>0.1125</v>
      </c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7"/>
      <c r="AF50" s="53">
        <v>11.262500000000001</v>
      </c>
      <c r="AG50" s="207"/>
      <c r="AH50" s="211"/>
      <c r="AI50" s="211"/>
      <c r="AJ50" s="211"/>
      <c r="AK50" s="211"/>
      <c r="AL50" s="211"/>
      <c r="AM50" s="211"/>
      <c r="AN50" s="211"/>
      <c r="AO50" s="211"/>
      <c r="AP50" s="207"/>
      <c r="AQ50" s="211"/>
      <c r="AR50" s="211"/>
      <c r="AS50" s="211"/>
      <c r="AT50" s="211"/>
      <c r="AU50" s="211"/>
      <c r="AV50" s="53">
        <f t="shared" ref="AV50:BB50" si="27">$AF50*AV17</f>
        <v>1.57675</v>
      </c>
      <c r="AW50" s="53">
        <f t="shared" si="27"/>
        <v>3.716625</v>
      </c>
      <c r="AX50" s="53">
        <f t="shared" si="27"/>
        <v>2.815625</v>
      </c>
      <c r="AY50" s="53">
        <f t="shared" si="27"/>
        <v>1.689375</v>
      </c>
      <c r="AZ50" s="53">
        <f t="shared" si="27"/>
        <v>0.788375</v>
      </c>
      <c r="BA50" s="53">
        <f t="shared" si="27"/>
        <v>0.4505</v>
      </c>
      <c r="BB50" s="53">
        <f t="shared" si="27"/>
        <v>0.22525</v>
      </c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</row>
    <row r="51" ht="15.75" customHeight="1">
      <c r="A51" s="209" t="s">
        <v>67</v>
      </c>
      <c r="B51" s="213">
        <v>23.0</v>
      </c>
      <c r="C51" s="214">
        <v>0.45</v>
      </c>
      <c r="D51" s="205"/>
      <c r="E51" s="205"/>
      <c r="F51" s="205"/>
      <c r="G51" s="205"/>
      <c r="H51" s="205"/>
      <c r="I51" s="205"/>
      <c r="J51" s="211"/>
      <c r="K51" s="211"/>
      <c r="L51" s="211"/>
      <c r="M51" s="211"/>
      <c r="N51" s="211"/>
      <c r="O51" s="53">
        <f t="shared" ref="O51:Q51" si="28">$B51*O18*$C51</f>
        <v>9.2115</v>
      </c>
      <c r="P51" s="53">
        <f t="shared" si="28"/>
        <v>1.035</v>
      </c>
      <c r="Q51" s="53">
        <f t="shared" si="28"/>
        <v>0.1035</v>
      </c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7"/>
      <c r="AF51" s="53">
        <v>10.449</v>
      </c>
      <c r="AG51" s="207"/>
      <c r="AH51" s="211"/>
      <c r="AI51" s="211"/>
      <c r="AJ51" s="211"/>
      <c r="AK51" s="211"/>
      <c r="AL51" s="211"/>
      <c r="AM51" s="211"/>
      <c r="AN51" s="211"/>
      <c r="AO51" s="211"/>
      <c r="AP51" s="207"/>
      <c r="AQ51" s="211"/>
      <c r="AR51" s="211"/>
      <c r="AS51" s="211"/>
      <c r="AT51" s="211"/>
      <c r="AU51" s="211"/>
      <c r="AV51" s="211"/>
      <c r="AW51" s="53">
        <f t="shared" ref="AW51:BC51" si="29">$AF51*AW18</f>
        <v>1.46286</v>
      </c>
      <c r="AX51" s="53">
        <f t="shared" si="29"/>
        <v>3.44817</v>
      </c>
      <c r="AY51" s="53">
        <f t="shared" si="29"/>
        <v>2.61225</v>
      </c>
      <c r="AZ51" s="53">
        <f t="shared" si="29"/>
        <v>1.56735</v>
      </c>
      <c r="BA51" s="53">
        <f t="shared" si="29"/>
        <v>0.73143</v>
      </c>
      <c r="BB51" s="53">
        <f t="shared" si="29"/>
        <v>0.41796</v>
      </c>
      <c r="BC51" s="53">
        <f t="shared" si="29"/>
        <v>0.20898</v>
      </c>
      <c r="BD51" s="211"/>
      <c r="BE51" s="211"/>
      <c r="BF51" s="211"/>
      <c r="BG51" s="211"/>
      <c r="BH51" s="211"/>
      <c r="BI51" s="211"/>
      <c r="BJ51" s="211"/>
      <c r="BK51" s="211"/>
      <c r="BL51" s="211"/>
    </row>
    <row r="52" ht="15.75" customHeight="1">
      <c r="A52" s="209" t="s">
        <v>68</v>
      </c>
      <c r="B52" s="213">
        <v>40.0</v>
      </c>
      <c r="C52" s="214">
        <v>0.45</v>
      </c>
      <c r="D52" s="205"/>
      <c r="E52" s="205"/>
      <c r="F52" s="205"/>
      <c r="G52" s="205"/>
      <c r="H52" s="205"/>
      <c r="I52" s="205"/>
      <c r="J52" s="211"/>
      <c r="K52" s="211"/>
      <c r="L52" s="211"/>
      <c r="M52" s="211"/>
      <c r="N52" s="211"/>
      <c r="O52" s="211"/>
      <c r="P52" s="53">
        <f t="shared" ref="P52:R52" si="30">$B52*P19*$C52</f>
        <v>16.02</v>
      </c>
      <c r="Q52" s="53">
        <f t="shared" si="30"/>
        <v>1.8</v>
      </c>
      <c r="R52" s="53">
        <f t="shared" si="30"/>
        <v>0.18</v>
      </c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7"/>
      <c r="AF52" s="53">
        <v>17.1675</v>
      </c>
      <c r="AG52" s="211"/>
      <c r="AH52" s="211"/>
      <c r="AI52" s="211"/>
      <c r="AJ52" s="211"/>
      <c r="AK52" s="211"/>
      <c r="AL52" s="211"/>
      <c r="AM52" s="211"/>
      <c r="AN52" s="211"/>
      <c r="AO52" s="211"/>
      <c r="AP52" s="207"/>
      <c r="AQ52" s="211"/>
      <c r="AR52" s="211"/>
      <c r="AS52" s="211"/>
      <c r="AT52" s="211"/>
      <c r="AU52" s="211"/>
      <c r="AV52" s="211"/>
      <c r="AW52" s="211"/>
      <c r="AX52" s="53">
        <f t="shared" ref="AX52:BD52" si="31">$AF52*AX19</f>
        <v>2.40345</v>
      </c>
      <c r="AY52" s="53">
        <f t="shared" si="31"/>
        <v>5.665275</v>
      </c>
      <c r="AZ52" s="53">
        <f t="shared" si="31"/>
        <v>4.291875</v>
      </c>
      <c r="BA52" s="53">
        <f t="shared" si="31"/>
        <v>2.575125</v>
      </c>
      <c r="BB52" s="53">
        <f t="shared" si="31"/>
        <v>1.201725</v>
      </c>
      <c r="BC52" s="53">
        <f t="shared" si="31"/>
        <v>0.6867</v>
      </c>
      <c r="BD52" s="53">
        <f t="shared" si="31"/>
        <v>0.34335</v>
      </c>
      <c r="BE52" s="211"/>
      <c r="BF52" s="211"/>
      <c r="BG52" s="211"/>
      <c r="BH52" s="211"/>
      <c r="BI52" s="211"/>
      <c r="BJ52" s="211"/>
      <c r="BK52" s="211"/>
      <c r="BL52" s="211"/>
    </row>
    <row r="53" ht="15.75" customHeight="1">
      <c r="A53" s="209" t="s">
        <v>69</v>
      </c>
      <c r="B53" s="213">
        <f>average($B$51:$B$52)</f>
        <v>31.5</v>
      </c>
      <c r="C53" s="214">
        <v>0.45</v>
      </c>
      <c r="D53" s="205"/>
      <c r="E53" s="205"/>
      <c r="F53" s="205"/>
      <c r="G53" s="205"/>
      <c r="H53" s="205"/>
      <c r="I53" s="205"/>
      <c r="J53" s="211"/>
      <c r="K53" s="211"/>
      <c r="L53" s="211"/>
      <c r="M53" s="211"/>
      <c r="N53" s="211"/>
      <c r="O53" s="211"/>
      <c r="P53" s="211"/>
      <c r="Q53" s="53">
        <f t="shared" ref="Q53:S53" si="32">$B53*Q20*$C53</f>
        <v>12.61575</v>
      </c>
      <c r="R53" s="53">
        <f t="shared" si="32"/>
        <v>1.4175</v>
      </c>
      <c r="S53" s="53">
        <f t="shared" si="32"/>
        <v>0.14175</v>
      </c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7"/>
      <c r="AF53" s="53">
        <v>14.51925</v>
      </c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53">
        <f t="shared" ref="AY53:BE53" si="33">$AF53*AY20</f>
        <v>2.032695</v>
      </c>
      <c r="AZ53" s="53">
        <f t="shared" si="33"/>
        <v>4.7913525</v>
      </c>
      <c r="BA53" s="53">
        <f t="shared" si="33"/>
        <v>3.6298125</v>
      </c>
      <c r="BB53" s="53">
        <f t="shared" si="33"/>
        <v>2.1778875</v>
      </c>
      <c r="BC53" s="53">
        <f t="shared" si="33"/>
        <v>1.0163475</v>
      </c>
      <c r="BD53" s="53">
        <f t="shared" si="33"/>
        <v>0.58077</v>
      </c>
      <c r="BE53" s="53">
        <f t="shared" si="33"/>
        <v>0.290385</v>
      </c>
      <c r="BF53" s="211"/>
      <c r="BG53" s="211"/>
      <c r="BH53" s="211"/>
      <c r="BI53" s="211"/>
      <c r="BJ53" s="211"/>
      <c r="BK53" s="211"/>
      <c r="BL53" s="211"/>
    </row>
    <row r="54" ht="15.75" customHeight="1">
      <c r="A54" s="218" t="s">
        <v>70</v>
      </c>
      <c r="B54" s="213">
        <f t="shared" ref="B54:B55" si="36">average($B$51:$B$52)*1.3</f>
        <v>40.95</v>
      </c>
      <c r="C54" s="214">
        <v>0.45</v>
      </c>
      <c r="D54" s="205"/>
      <c r="E54" s="205"/>
      <c r="F54" s="205"/>
      <c r="G54" s="205"/>
      <c r="H54" s="205"/>
      <c r="I54" s="205"/>
      <c r="J54" s="211"/>
      <c r="K54" s="211"/>
      <c r="L54" s="211"/>
      <c r="M54" s="211"/>
      <c r="N54" s="211"/>
      <c r="O54" s="211"/>
      <c r="P54" s="211"/>
      <c r="Q54" s="211"/>
      <c r="R54" s="53">
        <f t="shared" ref="R54:T54" si="34">$B54*R21*$C54</f>
        <v>16.400475</v>
      </c>
      <c r="S54" s="53">
        <f t="shared" si="34"/>
        <v>1.84275</v>
      </c>
      <c r="T54" s="53">
        <f t="shared" si="34"/>
        <v>0.184275</v>
      </c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7"/>
      <c r="AF54" s="53">
        <v>17.997975</v>
      </c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53">
        <f t="shared" ref="AZ54:BF54" si="35">$AF54*AZ21</f>
        <v>2.5197165</v>
      </c>
      <c r="BA54" s="53">
        <f t="shared" si="35"/>
        <v>5.93933175</v>
      </c>
      <c r="BB54" s="53">
        <f t="shared" si="35"/>
        <v>4.49949375</v>
      </c>
      <c r="BC54" s="53">
        <f t="shared" si="35"/>
        <v>2.69969625</v>
      </c>
      <c r="BD54" s="53">
        <f t="shared" si="35"/>
        <v>1.25985825</v>
      </c>
      <c r="BE54" s="53">
        <f t="shared" si="35"/>
        <v>0.719919</v>
      </c>
      <c r="BF54" s="53">
        <f t="shared" si="35"/>
        <v>0.3599595</v>
      </c>
      <c r="BG54" s="211"/>
      <c r="BH54" s="211"/>
      <c r="BI54" s="211"/>
      <c r="BJ54" s="211"/>
      <c r="BK54" s="211"/>
      <c r="BL54" s="211"/>
    </row>
    <row r="55" ht="15.75" customHeight="1">
      <c r="A55" s="209" t="s">
        <v>71</v>
      </c>
      <c r="B55" s="213">
        <f t="shared" si="36"/>
        <v>40.95</v>
      </c>
      <c r="C55" s="214">
        <v>0.45</v>
      </c>
      <c r="D55" s="205"/>
      <c r="E55" s="205"/>
      <c r="F55" s="205"/>
      <c r="G55" s="205"/>
      <c r="H55" s="205"/>
      <c r="I55" s="205"/>
      <c r="J55" s="211"/>
      <c r="K55" s="211"/>
      <c r="L55" s="211"/>
      <c r="M55" s="211"/>
      <c r="N55" s="211"/>
      <c r="O55" s="211"/>
      <c r="P55" s="211"/>
      <c r="Q55" s="211"/>
      <c r="R55" s="211"/>
      <c r="S55" s="53">
        <f t="shared" ref="S55:U55" si="37">$B55*S22*$C55</f>
        <v>16.40408824</v>
      </c>
      <c r="T55" s="53">
        <f t="shared" si="37"/>
        <v>1.84275</v>
      </c>
      <c r="U55" s="53">
        <f t="shared" si="37"/>
        <v>0.184275</v>
      </c>
      <c r="V55" s="211"/>
      <c r="W55" s="211"/>
      <c r="X55" s="211"/>
      <c r="Y55" s="211"/>
      <c r="Z55" s="211"/>
      <c r="AA55" s="211"/>
      <c r="AB55" s="211"/>
      <c r="AC55" s="211"/>
      <c r="AD55" s="211"/>
      <c r="AE55" s="217"/>
      <c r="AF55" s="53">
        <v>18.38858823529412</v>
      </c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07"/>
      <c r="AZ55" s="211"/>
      <c r="BA55" s="53">
        <f t="shared" ref="BA55:BG55" si="38">$AF55*BA22</f>
        <v>2.574402353</v>
      </c>
      <c r="BB55" s="53">
        <f t="shared" si="38"/>
        <v>6.068234118</v>
      </c>
      <c r="BC55" s="53">
        <f t="shared" si="38"/>
        <v>4.597147059</v>
      </c>
      <c r="BD55" s="53">
        <f t="shared" si="38"/>
        <v>2.758288235</v>
      </c>
      <c r="BE55" s="53">
        <f t="shared" si="38"/>
        <v>1.287201176</v>
      </c>
      <c r="BF55" s="53">
        <f t="shared" si="38"/>
        <v>0.7355435294</v>
      </c>
      <c r="BG55" s="53">
        <f t="shared" si="38"/>
        <v>0.3677717647</v>
      </c>
      <c r="BH55" s="211"/>
      <c r="BI55" s="211"/>
      <c r="BJ55" s="211"/>
      <c r="BK55" s="211"/>
      <c r="BL55" s="211"/>
    </row>
    <row r="56" ht="15.75" customHeight="1">
      <c r="A56" s="209" t="s">
        <v>72</v>
      </c>
      <c r="B56" s="213">
        <f t="shared" ref="B56:B57" si="41">average($B$51:$B$52)*1.5</f>
        <v>47.25</v>
      </c>
      <c r="C56" s="214">
        <v>0.45</v>
      </c>
      <c r="D56" s="205"/>
      <c r="E56" s="205"/>
      <c r="F56" s="205"/>
      <c r="G56" s="205"/>
      <c r="H56" s="205"/>
      <c r="I56" s="205"/>
      <c r="J56" s="211"/>
      <c r="K56" s="211"/>
      <c r="L56" s="211"/>
      <c r="M56" s="211"/>
      <c r="N56" s="211"/>
      <c r="O56" s="211"/>
      <c r="P56" s="211"/>
      <c r="Q56" s="211"/>
      <c r="R56" s="211"/>
      <c r="S56" s="205"/>
      <c r="T56" s="53">
        <f t="shared" ref="T56:V56" si="39">$B56*T23*$C56</f>
        <v>18.92779412</v>
      </c>
      <c r="U56" s="53">
        <f t="shared" si="39"/>
        <v>2.12625</v>
      </c>
      <c r="V56" s="53">
        <f t="shared" si="39"/>
        <v>0.212625</v>
      </c>
      <c r="W56" s="211"/>
      <c r="X56" s="211"/>
      <c r="Y56" s="211"/>
      <c r="Z56" s="211"/>
      <c r="AA56" s="211"/>
      <c r="AB56" s="211"/>
      <c r="AC56" s="211"/>
      <c r="AD56" s="211"/>
      <c r="AE56" s="217"/>
      <c r="AF56" s="53">
        <v>20.954819117647062</v>
      </c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07"/>
      <c r="AZ56" s="211"/>
      <c r="BA56" s="211"/>
      <c r="BB56" s="53">
        <f t="shared" ref="BB56:BH56" si="40">$AF56*BB23</f>
        <v>2.933674676</v>
      </c>
      <c r="BC56" s="53">
        <f t="shared" si="40"/>
        <v>6.915090309</v>
      </c>
      <c r="BD56" s="53">
        <f t="shared" si="40"/>
        <v>5.238704779</v>
      </c>
      <c r="BE56" s="53">
        <f t="shared" si="40"/>
        <v>3.143222868</v>
      </c>
      <c r="BF56" s="53">
        <f t="shared" si="40"/>
        <v>1.466837338</v>
      </c>
      <c r="BG56" s="53">
        <f t="shared" si="40"/>
        <v>0.8381927647</v>
      </c>
      <c r="BH56" s="53">
        <f t="shared" si="40"/>
        <v>0.4190963824</v>
      </c>
      <c r="BI56" s="211"/>
      <c r="BJ56" s="211"/>
      <c r="BK56" s="211"/>
      <c r="BL56" s="211"/>
    </row>
    <row r="57" ht="15.75" customHeight="1">
      <c r="A57" s="209" t="s">
        <v>73</v>
      </c>
      <c r="B57" s="213">
        <f t="shared" si="41"/>
        <v>47.25</v>
      </c>
      <c r="C57" s="214">
        <v>0.45</v>
      </c>
      <c r="D57" s="205"/>
      <c r="E57" s="205"/>
      <c r="F57" s="205"/>
      <c r="G57" s="205"/>
      <c r="H57" s="205"/>
      <c r="I57" s="205"/>
      <c r="J57" s="211"/>
      <c r="K57" s="211"/>
      <c r="L57" s="211"/>
      <c r="M57" s="211"/>
      <c r="N57" s="211"/>
      <c r="O57" s="211"/>
      <c r="P57" s="211"/>
      <c r="Q57" s="211"/>
      <c r="R57" s="211"/>
      <c r="S57" s="205"/>
      <c r="T57" s="205"/>
      <c r="U57" s="53">
        <f t="shared" ref="U57:W57" si="42">$B57*U24*$C57</f>
        <v>18.92779412</v>
      </c>
      <c r="V57" s="53">
        <f t="shared" si="42"/>
        <v>2.12625</v>
      </c>
      <c r="W57" s="53">
        <f t="shared" si="42"/>
        <v>0.212625</v>
      </c>
      <c r="X57" s="211"/>
      <c r="Y57" s="211"/>
      <c r="Z57" s="211"/>
      <c r="AA57" s="211"/>
      <c r="AB57" s="211"/>
      <c r="AC57" s="211"/>
      <c r="AD57" s="211"/>
      <c r="AE57" s="217"/>
      <c r="AF57" s="53">
        <v>21.23831911764706</v>
      </c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07"/>
      <c r="AZ57" s="211"/>
      <c r="BA57" s="211"/>
      <c r="BB57" s="211"/>
      <c r="BC57" s="53">
        <f t="shared" ref="BC57:BI57" si="43">$AF57*BC24</f>
        <v>2.973364676</v>
      </c>
      <c r="BD57" s="53">
        <f t="shared" si="43"/>
        <v>7.008645309</v>
      </c>
      <c r="BE57" s="53">
        <f t="shared" si="43"/>
        <v>5.309579779</v>
      </c>
      <c r="BF57" s="53">
        <f t="shared" si="43"/>
        <v>3.185747868</v>
      </c>
      <c r="BG57" s="53">
        <f t="shared" si="43"/>
        <v>1.486682338</v>
      </c>
      <c r="BH57" s="53">
        <f t="shared" si="43"/>
        <v>0.8495327647</v>
      </c>
      <c r="BI57" s="53">
        <f t="shared" si="43"/>
        <v>0.4247663824</v>
      </c>
      <c r="BJ57" s="211"/>
      <c r="BK57" s="211"/>
      <c r="BL57" s="211"/>
    </row>
    <row r="58" ht="15.75" customHeight="1">
      <c r="A58" s="209" t="s">
        <v>74</v>
      </c>
      <c r="B58" s="213">
        <f t="shared" ref="B58:B66" si="46">average($B$51:$B$52)*1.7</f>
        <v>53.55</v>
      </c>
      <c r="C58" s="214">
        <v>0.45</v>
      </c>
      <c r="D58" s="205"/>
      <c r="E58" s="205"/>
      <c r="F58" s="205"/>
      <c r="G58" s="205"/>
      <c r="H58" s="205"/>
      <c r="I58" s="205"/>
      <c r="J58" s="211"/>
      <c r="K58" s="211"/>
      <c r="L58" s="211"/>
      <c r="M58" s="211"/>
      <c r="N58" s="211"/>
      <c r="O58" s="211"/>
      <c r="P58" s="211"/>
      <c r="Q58" s="211"/>
      <c r="R58" s="211"/>
      <c r="S58" s="205"/>
      <c r="T58" s="205"/>
      <c r="U58" s="205"/>
      <c r="V58" s="53">
        <f t="shared" ref="V58:X58" si="44">$B58*V25*$C58</f>
        <v>21.4515</v>
      </c>
      <c r="W58" s="53">
        <f t="shared" si="44"/>
        <v>2.40975</v>
      </c>
      <c r="X58" s="53">
        <f t="shared" si="44"/>
        <v>0.240975</v>
      </c>
      <c r="Y58" s="211"/>
      <c r="Z58" s="211"/>
      <c r="AA58" s="211"/>
      <c r="AB58" s="211"/>
      <c r="AC58" s="211"/>
      <c r="AD58" s="211"/>
      <c r="AE58" s="217"/>
      <c r="AF58" s="53">
        <v>23.790375</v>
      </c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07"/>
      <c r="AZ58" s="211"/>
      <c r="BA58" s="211"/>
      <c r="BB58" s="211"/>
      <c r="BC58" s="211"/>
      <c r="BD58" s="53">
        <f t="shared" ref="BD58:BJ58" si="45">$AF58*BD25</f>
        <v>3.3306525</v>
      </c>
      <c r="BE58" s="53">
        <f t="shared" si="45"/>
        <v>7.85082375</v>
      </c>
      <c r="BF58" s="53">
        <f t="shared" si="45"/>
        <v>5.94759375</v>
      </c>
      <c r="BG58" s="53">
        <f t="shared" si="45"/>
        <v>3.56855625</v>
      </c>
      <c r="BH58" s="53">
        <f t="shared" si="45"/>
        <v>1.66532625</v>
      </c>
      <c r="BI58" s="53">
        <f t="shared" si="45"/>
        <v>0.951615</v>
      </c>
      <c r="BJ58" s="53">
        <f t="shared" si="45"/>
        <v>0.4758075</v>
      </c>
      <c r="BK58" s="211"/>
      <c r="BL58" s="211"/>
    </row>
    <row r="59" ht="15.75" customHeight="1">
      <c r="A59" s="209" t="s">
        <v>75</v>
      </c>
      <c r="B59" s="213">
        <f t="shared" si="46"/>
        <v>53.55</v>
      </c>
      <c r="C59" s="214">
        <v>0.45</v>
      </c>
      <c r="D59" s="205"/>
      <c r="E59" s="205"/>
      <c r="F59" s="205"/>
      <c r="G59" s="205"/>
      <c r="H59" s="205"/>
      <c r="I59" s="205"/>
      <c r="J59" s="211"/>
      <c r="K59" s="211"/>
      <c r="L59" s="211"/>
      <c r="M59" s="211"/>
      <c r="N59" s="211"/>
      <c r="O59" s="211"/>
      <c r="P59" s="211"/>
      <c r="Q59" s="211"/>
      <c r="R59" s="211"/>
      <c r="S59" s="205"/>
      <c r="T59" s="205"/>
      <c r="U59" s="205"/>
      <c r="V59" s="211"/>
      <c r="W59" s="53">
        <f t="shared" ref="W59:Y59" si="47">$B59*W26*$C59</f>
        <v>21.4515</v>
      </c>
      <c r="X59" s="53">
        <f t="shared" si="47"/>
        <v>2.40975</v>
      </c>
      <c r="Y59" s="53">
        <f t="shared" si="47"/>
        <v>0.240975</v>
      </c>
      <c r="Z59" s="211"/>
      <c r="AA59" s="211"/>
      <c r="AB59" s="211"/>
      <c r="AC59" s="211"/>
      <c r="AD59" s="211"/>
      <c r="AE59" s="217"/>
      <c r="AF59" s="53">
        <v>24.073875</v>
      </c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07"/>
      <c r="AZ59" s="211"/>
      <c r="BA59" s="211"/>
      <c r="BB59" s="211"/>
      <c r="BC59" s="211"/>
      <c r="BD59" s="211"/>
      <c r="BE59" s="53">
        <f t="shared" ref="BE59:BK59" si="48">$AF59*BE26</f>
        <v>3.3703425</v>
      </c>
      <c r="BF59" s="53">
        <f t="shared" si="48"/>
        <v>7.94437875</v>
      </c>
      <c r="BG59" s="53">
        <f t="shared" si="48"/>
        <v>6.01846875</v>
      </c>
      <c r="BH59" s="53">
        <f t="shared" si="48"/>
        <v>3.61108125</v>
      </c>
      <c r="BI59" s="53">
        <f t="shared" si="48"/>
        <v>1.68517125</v>
      </c>
      <c r="BJ59" s="53">
        <f t="shared" si="48"/>
        <v>0.962955</v>
      </c>
      <c r="BK59" s="53">
        <f t="shared" si="48"/>
        <v>0.4814775</v>
      </c>
      <c r="BL59" s="211"/>
    </row>
    <row r="60" ht="15.75" customHeight="1">
      <c r="A60" s="209" t="s">
        <v>76</v>
      </c>
      <c r="B60" s="213">
        <f t="shared" si="46"/>
        <v>53.55</v>
      </c>
      <c r="C60" s="214">
        <v>0.45</v>
      </c>
      <c r="D60" s="205"/>
      <c r="E60" s="205"/>
      <c r="F60" s="205"/>
      <c r="G60" s="205"/>
      <c r="H60" s="205"/>
      <c r="I60" s="205"/>
      <c r="J60" s="211"/>
      <c r="K60" s="211"/>
      <c r="L60" s="211"/>
      <c r="M60" s="211"/>
      <c r="N60" s="211"/>
      <c r="O60" s="211"/>
      <c r="P60" s="211"/>
      <c r="Q60" s="211"/>
      <c r="R60" s="211"/>
      <c r="S60" s="205"/>
      <c r="T60" s="205"/>
      <c r="U60" s="205"/>
      <c r="V60" s="211"/>
      <c r="W60" s="211"/>
      <c r="X60" s="53">
        <f t="shared" ref="X60:Z60" si="49">$B60*X27*$C60</f>
        <v>21.4515</v>
      </c>
      <c r="Y60" s="53">
        <f t="shared" si="49"/>
        <v>2.40975</v>
      </c>
      <c r="Z60" s="53">
        <f t="shared" si="49"/>
        <v>0.240975</v>
      </c>
      <c r="AA60" s="211"/>
      <c r="AB60" s="211"/>
      <c r="AC60" s="211"/>
      <c r="AD60" s="211"/>
      <c r="AE60" s="217"/>
      <c r="AF60" s="53">
        <v>24.102225</v>
      </c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07"/>
      <c r="AZ60" s="211"/>
      <c r="BA60" s="211"/>
      <c r="BB60" s="211"/>
      <c r="BC60" s="211"/>
      <c r="BD60" s="211"/>
      <c r="BE60" s="211"/>
      <c r="BF60" s="53">
        <f t="shared" ref="BF60:BL60" si="50">$AF60*BF27</f>
        <v>3.3743115</v>
      </c>
      <c r="BG60" s="53">
        <f t="shared" si="50"/>
        <v>7.95373425</v>
      </c>
      <c r="BH60" s="53">
        <f t="shared" si="50"/>
        <v>6.02555625</v>
      </c>
      <c r="BI60" s="53">
        <f t="shared" si="50"/>
        <v>3.61533375</v>
      </c>
      <c r="BJ60" s="53">
        <f t="shared" si="50"/>
        <v>1.68715575</v>
      </c>
      <c r="BK60" s="53">
        <f t="shared" si="50"/>
        <v>0.964089</v>
      </c>
      <c r="BL60" s="53">
        <f t="shared" si="50"/>
        <v>0.4820445</v>
      </c>
    </row>
    <row r="61" ht="15.75" customHeight="1">
      <c r="A61" s="209" t="s">
        <v>77</v>
      </c>
      <c r="B61" s="213">
        <f t="shared" si="46"/>
        <v>53.55</v>
      </c>
      <c r="C61" s="214">
        <v>0.45</v>
      </c>
      <c r="D61" s="205"/>
      <c r="E61" s="205"/>
      <c r="F61" s="205"/>
      <c r="G61" s="205"/>
      <c r="H61" s="205"/>
      <c r="I61" s="205"/>
      <c r="J61" s="211"/>
      <c r="K61" s="211"/>
      <c r="L61" s="211"/>
      <c r="M61" s="211"/>
      <c r="N61" s="211"/>
      <c r="O61" s="211"/>
      <c r="P61" s="211"/>
      <c r="Q61" s="211"/>
      <c r="R61" s="211"/>
      <c r="S61" s="205"/>
      <c r="T61" s="205"/>
      <c r="U61" s="205"/>
      <c r="V61" s="211"/>
      <c r="W61" s="211"/>
      <c r="X61" s="211"/>
      <c r="Y61" s="53">
        <f t="shared" ref="Y61:AA61" si="51">$B61*Y28*$C61</f>
        <v>21.4515</v>
      </c>
      <c r="Z61" s="53">
        <f t="shared" si="51"/>
        <v>2.40975</v>
      </c>
      <c r="AA61" s="53">
        <f t="shared" si="51"/>
        <v>0.240975</v>
      </c>
      <c r="AB61" s="211"/>
      <c r="AC61" s="211"/>
      <c r="AD61" s="211"/>
      <c r="AE61" s="217"/>
      <c r="AF61" s="53">
        <v>24.102225</v>
      </c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07"/>
      <c r="AZ61" s="211"/>
      <c r="BA61" s="211"/>
      <c r="BB61" s="211"/>
      <c r="BC61" s="211"/>
      <c r="BD61" s="211"/>
      <c r="BE61" s="211"/>
      <c r="BF61" s="211"/>
      <c r="BG61" s="53">
        <f t="shared" ref="BG61:BL61" si="52">$AF61*BG28</f>
        <v>3.3743115</v>
      </c>
      <c r="BH61" s="53">
        <f t="shared" si="52"/>
        <v>7.95373425</v>
      </c>
      <c r="BI61" s="53">
        <f t="shared" si="52"/>
        <v>6.02555625</v>
      </c>
      <c r="BJ61" s="53">
        <f t="shared" si="52"/>
        <v>3.61533375</v>
      </c>
      <c r="BK61" s="53">
        <f t="shared" si="52"/>
        <v>1.68715575</v>
      </c>
      <c r="BL61" s="53">
        <f t="shared" si="52"/>
        <v>0.964089</v>
      </c>
    </row>
    <row r="62" ht="15.75" customHeight="1">
      <c r="A62" s="209" t="s">
        <v>78</v>
      </c>
      <c r="B62" s="213">
        <f t="shared" si="46"/>
        <v>53.55</v>
      </c>
      <c r="C62" s="214">
        <v>0.45</v>
      </c>
      <c r="D62" s="205"/>
      <c r="E62" s="205"/>
      <c r="F62" s="205"/>
      <c r="G62" s="205"/>
      <c r="H62" s="205"/>
      <c r="I62" s="205"/>
      <c r="J62" s="211"/>
      <c r="K62" s="211"/>
      <c r="L62" s="211"/>
      <c r="M62" s="211"/>
      <c r="N62" s="211"/>
      <c r="O62" s="211"/>
      <c r="P62" s="211"/>
      <c r="Q62" s="211"/>
      <c r="R62" s="211"/>
      <c r="S62" s="205"/>
      <c r="T62" s="205"/>
      <c r="U62" s="205"/>
      <c r="V62" s="211"/>
      <c r="W62" s="211"/>
      <c r="X62" s="211"/>
      <c r="Y62" s="211"/>
      <c r="Z62" s="53">
        <f t="shared" ref="Z62:AB62" si="53">$B62*Z29*$C62</f>
        <v>21.446775</v>
      </c>
      <c r="AA62" s="53">
        <f t="shared" si="53"/>
        <v>2.40975</v>
      </c>
      <c r="AB62" s="53">
        <f t="shared" si="53"/>
        <v>0.240975</v>
      </c>
      <c r="AC62" s="211"/>
      <c r="AD62" s="211"/>
      <c r="AE62" s="217"/>
      <c r="AF62" s="53">
        <v>24.097500000000004</v>
      </c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53">
        <f t="shared" ref="BH62:BL62" si="54">$AF62*BH29</f>
        <v>3.37365</v>
      </c>
      <c r="BI62" s="53">
        <f t="shared" si="54"/>
        <v>7.952175</v>
      </c>
      <c r="BJ62" s="53">
        <f t="shared" si="54"/>
        <v>6.024375</v>
      </c>
      <c r="BK62" s="53">
        <f t="shared" si="54"/>
        <v>3.614625</v>
      </c>
      <c r="BL62" s="53">
        <f t="shared" si="54"/>
        <v>1.686825</v>
      </c>
    </row>
    <row r="63" ht="15.75" customHeight="1">
      <c r="A63" s="209" t="s">
        <v>79</v>
      </c>
      <c r="B63" s="213">
        <f t="shared" si="46"/>
        <v>53.55</v>
      </c>
      <c r="C63" s="214">
        <v>0.45</v>
      </c>
      <c r="D63" s="205"/>
      <c r="E63" s="205"/>
      <c r="F63" s="205"/>
      <c r="G63" s="205"/>
      <c r="H63" s="205"/>
      <c r="I63" s="205"/>
      <c r="J63" s="211"/>
      <c r="K63" s="211"/>
      <c r="L63" s="211"/>
      <c r="M63" s="211"/>
      <c r="N63" s="211"/>
      <c r="O63" s="211"/>
      <c r="P63" s="211"/>
      <c r="Q63" s="211"/>
      <c r="R63" s="211"/>
      <c r="S63" s="205"/>
      <c r="T63" s="205"/>
      <c r="U63" s="205"/>
      <c r="V63" s="211"/>
      <c r="W63" s="211"/>
      <c r="X63" s="211"/>
      <c r="Y63" s="211"/>
      <c r="Z63" s="211"/>
      <c r="AA63" s="53">
        <f t="shared" ref="AA63:AC63" si="55">$B63*AA30*$C63</f>
        <v>21.446775</v>
      </c>
      <c r="AB63" s="53">
        <f t="shared" si="55"/>
        <v>2.40975</v>
      </c>
      <c r="AC63" s="53">
        <f t="shared" si="55"/>
        <v>0.240975</v>
      </c>
      <c r="AD63" s="211"/>
      <c r="AE63" s="217"/>
      <c r="AF63" s="53">
        <v>24.097500000000004</v>
      </c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53">
        <f t="shared" ref="BI63:BL63" si="56">$AF63*BI30</f>
        <v>3.37365</v>
      </c>
      <c r="BJ63" s="53">
        <f t="shared" si="56"/>
        <v>7.952175</v>
      </c>
      <c r="BK63" s="53">
        <f t="shared" si="56"/>
        <v>6.024375</v>
      </c>
      <c r="BL63" s="53">
        <f t="shared" si="56"/>
        <v>3.614625</v>
      </c>
    </row>
    <row r="64" ht="15.75" customHeight="1">
      <c r="A64" s="209" t="s">
        <v>80</v>
      </c>
      <c r="B64" s="213">
        <f t="shared" si="46"/>
        <v>53.55</v>
      </c>
      <c r="C64" s="214">
        <v>0.45</v>
      </c>
      <c r="D64" s="205"/>
      <c r="E64" s="205"/>
      <c r="F64" s="205"/>
      <c r="G64" s="205"/>
      <c r="H64" s="205"/>
      <c r="I64" s="205"/>
      <c r="J64" s="211"/>
      <c r="K64" s="211"/>
      <c r="L64" s="211"/>
      <c r="M64" s="211"/>
      <c r="N64" s="211"/>
      <c r="O64" s="211"/>
      <c r="P64" s="211"/>
      <c r="Q64" s="211"/>
      <c r="R64" s="211"/>
      <c r="S64" s="205"/>
      <c r="T64" s="205"/>
      <c r="U64" s="205"/>
      <c r="V64" s="211"/>
      <c r="W64" s="211"/>
      <c r="X64" s="211"/>
      <c r="Y64" s="211"/>
      <c r="Z64" s="211"/>
      <c r="AA64" s="211"/>
      <c r="AB64" s="53">
        <f t="shared" ref="AB64:AD64" si="57">$B64*AB31*$C64</f>
        <v>21.446775</v>
      </c>
      <c r="AC64" s="53">
        <f t="shared" si="57"/>
        <v>2.40975</v>
      </c>
      <c r="AD64" s="53">
        <f t="shared" si="57"/>
        <v>0.240975</v>
      </c>
      <c r="AE64" s="217"/>
      <c r="AF64" s="53">
        <v>24.097500000000004</v>
      </c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53">
        <f t="shared" ref="BJ64:BL64" si="58">$AF64*BJ31</f>
        <v>3.37365</v>
      </c>
      <c r="BK64" s="53">
        <f t="shared" si="58"/>
        <v>7.952175</v>
      </c>
      <c r="BL64" s="53">
        <f t="shared" si="58"/>
        <v>6.024375</v>
      </c>
    </row>
    <row r="65" ht="15.75" customHeight="1">
      <c r="A65" s="209" t="s">
        <v>81</v>
      </c>
      <c r="B65" s="213">
        <f t="shared" si="46"/>
        <v>53.55</v>
      </c>
      <c r="C65" s="214">
        <v>0.45</v>
      </c>
      <c r="D65" s="205"/>
      <c r="E65" s="205"/>
      <c r="F65" s="205"/>
      <c r="G65" s="205"/>
      <c r="H65" s="205"/>
      <c r="I65" s="205"/>
      <c r="J65" s="211"/>
      <c r="K65" s="211"/>
      <c r="L65" s="211"/>
      <c r="M65" s="211"/>
      <c r="N65" s="211"/>
      <c r="O65" s="211"/>
      <c r="P65" s="211"/>
      <c r="Q65" s="211"/>
      <c r="R65" s="211"/>
      <c r="S65" s="205"/>
      <c r="T65" s="205"/>
      <c r="U65" s="205"/>
      <c r="V65" s="211"/>
      <c r="W65" s="211"/>
      <c r="X65" s="211"/>
      <c r="Y65" s="211"/>
      <c r="Z65" s="211"/>
      <c r="AA65" s="211"/>
      <c r="AB65" s="211"/>
      <c r="AC65" s="53">
        <f t="shared" ref="AC65:AD65" si="59">$B65*AC32*$C65</f>
        <v>21.446775</v>
      </c>
      <c r="AD65" s="53">
        <f t="shared" si="59"/>
        <v>2.40975</v>
      </c>
      <c r="AE65" s="217"/>
      <c r="AF65" s="53">
        <v>24.097500000000004</v>
      </c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53">
        <f t="shared" ref="BK65:BL65" si="60">$AF65*BK32</f>
        <v>3.37365</v>
      </c>
      <c r="BL65" s="53">
        <f t="shared" si="60"/>
        <v>7.952175</v>
      </c>
    </row>
    <row r="66" ht="15.75" customHeight="1">
      <c r="A66" s="209" t="s">
        <v>82</v>
      </c>
      <c r="B66" s="213">
        <f t="shared" si="46"/>
        <v>53.55</v>
      </c>
      <c r="C66" s="214">
        <v>0.45</v>
      </c>
      <c r="D66" s="219"/>
      <c r="E66" s="219"/>
      <c r="F66" s="219"/>
      <c r="G66" s="219"/>
      <c r="H66" s="219"/>
      <c r="I66" s="219"/>
      <c r="J66" s="220"/>
      <c r="K66" s="220"/>
      <c r="L66" s="220"/>
      <c r="M66" s="220"/>
      <c r="N66" s="220"/>
      <c r="O66" s="221"/>
      <c r="P66" s="221"/>
      <c r="Q66" s="221"/>
      <c r="R66" s="221"/>
      <c r="S66" s="205"/>
      <c r="T66" s="205"/>
      <c r="U66" s="205"/>
      <c r="V66" s="211"/>
      <c r="W66" s="211"/>
      <c r="X66" s="211"/>
      <c r="Y66" s="211"/>
      <c r="Z66" s="211"/>
      <c r="AA66" s="211"/>
      <c r="AB66" s="211"/>
      <c r="AC66" s="211"/>
      <c r="AD66" s="53">
        <f>$B66*AD33*$C66</f>
        <v>21.446775</v>
      </c>
      <c r="AE66" s="222"/>
      <c r="AF66" s="53">
        <v>24.097500000000004</v>
      </c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3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53">
        <f>$AF66*BL33</f>
        <v>3.37365</v>
      </c>
    </row>
    <row r="67" ht="15.75" customHeight="1">
      <c r="A67" s="224" t="s">
        <v>171</v>
      </c>
      <c r="B67" s="225"/>
      <c r="C67" s="225"/>
      <c r="D67" s="118">
        <f t="shared" ref="D67:AD67" si="61">sum(D39:D66)</f>
        <v>0</v>
      </c>
      <c r="E67" s="118">
        <f t="shared" si="61"/>
        <v>0</v>
      </c>
      <c r="F67" s="118">
        <f t="shared" si="61"/>
        <v>0</v>
      </c>
      <c r="G67" s="118">
        <f t="shared" si="61"/>
        <v>1.780392157</v>
      </c>
      <c r="H67" s="118">
        <f t="shared" si="61"/>
        <v>1.980392157</v>
      </c>
      <c r="I67" s="118">
        <f t="shared" si="61"/>
        <v>2.000392157</v>
      </c>
      <c r="J67" s="118">
        <f t="shared" si="61"/>
        <v>2.222941176</v>
      </c>
      <c r="K67" s="118">
        <f t="shared" si="61"/>
        <v>4.695980392</v>
      </c>
      <c r="L67" s="118">
        <f t="shared" si="61"/>
        <v>11.64995098</v>
      </c>
      <c r="M67" s="118">
        <f t="shared" si="61"/>
        <v>11.31470588</v>
      </c>
      <c r="N67" s="118">
        <f t="shared" si="61"/>
        <v>11.2625</v>
      </c>
      <c r="O67" s="118">
        <f t="shared" si="61"/>
        <v>10.449</v>
      </c>
      <c r="P67" s="118">
        <f t="shared" si="61"/>
        <v>17.1675</v>
      </c>
      <c r="Q67" s="118">
        <f t="shared" si="61"/>
        <v>14.51925</v>
      </c>
      <c r="R67" s="118">
        <f t="shared" si="61"/>
        <v>17.997975</v>
      </c>
      <c r="S67" s="118">
        <f t="shared" si="61"/>
        <v>18.38858824</v>
      </c>
      <c r="T67" s="118">
        <f t="shared" si="61"/>
        <v>20.95481912</v>
      </c>
      <c r="U67" s="118">
        <f t="shared" si="61"/>
        <v>21.23831912</v>
      </c>
      <c r="V67" s="118">
        <f t="shared" si="61"/>
        <v>23.790375</v>
      </c>
      <c r="W67" s="118">
        <f t="shared" si="61"/>
        <v>24.073875</v>
      </c>
      <c r="X67" s="118">
        <f t="shared" si="61"/>
        <v>24.102225</v>
      </c>
      <c r="Y67" s="118">
        <f t="shared" si="61"/>
        <v>24.102225</v>
      </c>
      <c r="Z67" s="118">
        <f t="shared" si="61"/>
        <v>24.0975</v>
      </c>
      <c r="AA67" s="118">
        <f t="shared" si="61"/>
        <v>24.0975</v>
      </c>
      <c r="AB67" s="118">
        <f t="shared" si="61"/>
        <v>24.0975</v>
      </c>
      <c r="AC67" s="118">
        <f t="shared" si="61"/>
        <v>24.0975</v>
      </c>
      <c r="AD67" s="118">
        <f t="shared" si="61"/>
        <v>24.0975</v>
      </c>
      <c r="AE67" s="226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7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9"/>
    </row>
    <row r="68" ht="15.75" customHeight="1">
      <c r="A68" s="230" t="s">
        <v>172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2"/>
      <c r="AF68" s="231"/>
      <c r="AG68" s="60">
        <f t="shared" ref="AG68:BL68" si="62">sum(AG35:AG66)</f>
        <v>0</v>
      </c>
      <c r="AH68" s="60">
        <f t="shared" si="62"/>
        <v>0</v>
      </c>
      <c r="AI68" s="60">
        <f t="shared" si="62"/>
        <v>0</v>
      </c>
      <c r="AJ68" s="60">
        <f t="shared" si="62"/>
        <v>0</v>
      </c>
      <c r="AK68" s="60">
        <f t="shared" si="62"/>
        <v>0</v>
      </c>
      <c r="AL68" s="60">
        <f t="shared" si="62"/>
        <v>0</v>
      </c>
      <c r="AM68" s="60">
        <f t="shared" si="62"/>
        <v>0</v>
      </c>
      <c r="AN68" s="60">
        <f t="shared" si="62"/>
        <v>0</v>
      </c>
      <c r="AO68" s="60">
        <f t="shared" si="62"/>
        <v>0.249254902</v>
      </c>
      <c r="AP68" s="60">
        <f t="shared" si="62"/>
        <v>0.8647843137</v>
      </c>
      <c r="AQ68" s="60">
        <f t="shared" si="62"/>
        <v>1.378682353</v>
      </c>
      <c r="AR68" s="60">
        <f t="shared" si="62"/>
        <v>1.733498039</v>
      </c>
      <c r="AS68" s="60">
        <f t="shared" si="62"/>
        <v>2.312792157</v>
      </c>
      <c r="AT68" s="60">
        <f t="shared" si="62"/>
        <v>4.246303922</v>
      </c>
      <c r="AU68" s="60">
        <f t="shared" si="62"/>
        <v>7.190829902</v>
      </c>
      <c r="AV68" s="60">
        <f t="shared" si="62"/>
        <v>9.202717157</v>
      </c>
      <c r="AW68" s="60">
        <f t="shared" si="62"/>
        <v>10.21329824</v>
      </c>
      <c r="AX68" s="60">
        <f t="shared" si="62"/>
        <v>11.41224549</v>
      </c>
      <c r="AY68" s="60">
        <f t="shared" si="62"/>
        <v>13.35154206</v>
      </c>
      <c r="AZ68" s="60">
        <f t="shared" si="62"/>
        <v>14.64425625</v>
      </c>
      <c r="BA68" s="60">
        <f t="shared" si="62"/>
        <v>16.12689572</v>
      </c>
      <c r="BB68" s="60">
        <f t="shared" si="62"/>
        <v>17.52422504</v>
      </c>
      <c r="BC68" s="60">
        <f t="shared" si="62"/>
        <v>19.09732579</v>
      </c>
      <c r="BD68" s="60">
        <f t="shared" si="62"/>
        <v>20.52026907</v>
      </c>
      <c r="BE68" s="60">
        <f t="shared" si="62"/>
        <v>21.97147407</v>
      </c>
      <c r="BF68" s="60">
        <f t="shared" si="62"/>
        <v>23.01437224</v>
      </c>
      <c r="BG68" s="60">
        <f t="shared" si="62"/>
        <v>23.60771762</v>
      </c>
      <c r="BH68" s="60">
        <f t="shared" si="62"/>
        <v>23.89797715</v>
      </c>
      <c r="BI68" s="60">
        <f t="shared" si="62"/>
        <v>24.02826763</v>
      </c>
      <c r="BJ68" s="60">
        <f t="shared" si="62"/>
        <v>24.091452</v>
      </c>
      <c r="BK68" s="60">
        <f t="shared" si="62"/>
        <v>24.09754725</v>
      </c>
      <c r="BL68" s="60">
        <f t="shared" si="62"/>
        <v>24.0977835</v>
      </c>
    </row>
    <row r="69" ht="15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233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234">
        <v>14.0</v>
      </c>
      <c r="AX69" s="234">
        <v>9.0</v>
      </c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</row>
    <row r="70" ht="15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233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</row>
    <row r="71" ht="15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233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</row>
    <row r="72" ht="15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23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233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</row>
    <row r="73" ht="15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23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233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</row>
    <row r="74" ht="15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23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233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233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233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</row>
    <row r="77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233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</row>
    <row r="78" ht="15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233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</row>
    <row r="79" ht="15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233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</row>
    <row r="80" ht="15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233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</row>
    <row r="81" ht="15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233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</row>
    <row r="82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233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</row>
    <row r="83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233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</row>
    <row r="84" ht="15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233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</row>
    <row r="85" ht="15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233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</row>
    <row r="86" ht="15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233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</row>
    <row r="87" ht="15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233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</row>
    <row r="88" ht="15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233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</row>
    <row r="89" ht="15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233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</row>
    <row r="90" ht="15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233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</row>
    <row r="91" ht="15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233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</row>
    <row r="92" ht="15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233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</row>
    <row r="93" ht="15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233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</row>
    <row r="94" ht="15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233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</row>
    <row r="95" ht="15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233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</row>
    <row r="96" ht="15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233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</row>
    <row r="97" ht="15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233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</row>
    <row r="98" ht="15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233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</row>
    <row r="99" ht="15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233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</row>
    <row r="100" ht="15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233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</row>
    <row r="101" ht="15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233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</row>
    <row r="102" ht="15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233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</row>
    <row r="103" ht="15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233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</row>
    <row r="104" ht="15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233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</row>
    <row r="105" ht="15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233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</row>
    <row r="106" ht="15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233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</row>
    <row r="107" ht="15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233"/>
      <c r="AF107" s="185"/>
      <c r="AG107" s="185"/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</row>
    <row r="108" ht="15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233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</row>
    <row r="109" ht="15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233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</row>
    <row r="110" ht="15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233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</row>
    <row r="111" ht="15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233"/>
      <c r="AF111" s="185"/>
      <c r="AG111" s="185"/>
      <c r="AH111" s="185"/>
      <c r="AI111" s="185"/>
      <c r="AJ111" s="185"/>
      <c r="AK111" s="185"/>
      <c r="AL111" s="185"/>
      <c r="AM111" s="185"/>
      <c r="AN111" s="185"/>
      <c r="AO111" s="185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</row>
    <row r="112" ht="15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233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</row>
    <row r="113" ht="15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233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</row>
    <row r="114" ht="15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233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</row>
    <row r="115" ht="15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233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185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</row>
    <row r="116" ht="15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233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</row>
    <row r="117" ht="15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233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185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</row>
    <row r="118" ht="15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233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185"/>
      <c r="BI118" s="185"/>
      <c r="BJ118" s="185"/>
      <c r="BK118" s="185"/>
      <c r="BL118" s="185"/>
    </row>
    <row r="119" ht="15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233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5"/>
      <c r="BL119" s="185"/>
    </row>
    <row r="120" ht="15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233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  <c r="BK120" s="185"/>
      <c r="BL120" s="185"/>
    </row>
    <row r="121" ht="15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233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</row>
    <row r="122" ht="15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233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  <c r="BH122" s="185"/>
      <c r="BI122" s="185"/>
      <c r="BJ122" s="185"/>
      <c r="BK122" s="185"/>
      <c r="BL122" s="185"/>
    </row>
    <row r="123" ht="15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233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</row>
    <row r="124" ht="15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233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  <c r="BH124" s="185"/>
      <c r="BI124" s="185"/>
      <c r="BJ124" s="185"/>
      <c r="BK124" s="185"/>
      <c r="BL124" s="185"/>
    </row>
    <row r="125" ht="15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233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</row>
    <row r="126" ht="15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233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</row>
    <row r="127" ht="15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233"/>
      <c r="AF127" s="185"/>
      <c r="AG127" s="185"/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5"/>
    </row>
    <row r="128" ht="15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233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  <c r="BD128" s="185"/>
      <c r="BE128" s="185"/>
      <c r="BF128" s="185"/>
      <c r="BG128" s="185"/>
      <c r="BH128" s="185"/>
      <c r="BI128" s="185"/>
      <c r="BJ128" s="185"/>
      <c r="BK128" s="185"/>
      <c r="BL128" s="185"/>
    </row>
    <row r="129" ht="15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233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5"/>
      <c r="BF129" s="185"/>
      <c r="BG129" s="185"/>
      <c r="BH129" s="185"/>
      <c r="BI129" s="185"/>
      <c r="BJ129" s="185"/>
      <c r="BK129" s="185"/>
      <c r="BL129" s="185"/>
    </row>
    <row r="130" ht="15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233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233"/>
      <c r="AF131" s="185"/>
      <c r="AG131" s="185"/>
      <c r="AH131" s="185"/>
      <c r="AI131" s="185"/>
      <c r="AJ131" s="185"/>
      <c r="AK131" s="185"/>
      <c r="AL131" s="185"/>
      <c r="AM131" s="185"/>
      <c r="AN131" s="185"/>
      <c r="AO131" s="185"/>
      <c r="AP131" s="185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  <c r="BA131" s="185"/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233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  <c r="AP132" s="185"/>
      <c r="AQ132" s="185"/>
      <c r="AR132" s="185"/>
      <c r="AS132" s="185"/>
      <c r="AT132" s="185"/>
      <c r="AU132" s="185"/>
      <c r="AV132" s="185"/>
      <c r="AW132" s="185"/>
      <c r="AX132" s="185"/>
      <c r="AY132" s="185"/>
      <c r="AZ132" s="185"/>
      <c r="BA132" s="185"/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233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233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233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233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5"/>
      <c r="AP136" s="185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233"/>
      <c r="AF137" s="185"/>
      <c r="AG137" s="185"/>
      <c r="AH137" s="185"/>
      <c r="AI137" s="185"/>
      <c r="AJ137" s="185"/>
      <c r="AK137" s="185"/>
      <c r="AL137" s="185"/>
      <c r="AM137" s="185"/>
      <c r="AN137" s="185"/>
      <c r="AO137" s="185"/>
      <c r="AP137" s="185"/>
      <c r="AQ137" s="185"/>
      <c r="AR137" s="185"/>
      <c r="AS137" s="185"/>
      <c r="AT137" s="185"/>
      <c r="AU137" s="185"/>
      <c r="AV137" s="185"/>
      <c r="AW137" s="185"/>
      <c r="AX137" s="185"/>
      <c r="AY137" s="185"/>
      <c r="AZ137" s="185"/>
      <c r="BA137" s="185"/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233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/>
      <c r="AT138" s="185"/>
      <c r="AU138" s="185"/>
      <c r="AV138" s="185"/>
      <c r="AW138" s="185"/>
      <c r="AX138" s="185"/>
      <c r="AY138" s="185"/>
      <c r="AZ138" s="185"/>
      <c r="BA138" s="185"/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233"/>
      <c r="AF139" s="185"/>
      <c r="AG139" s="185"/>
      <c r="AH139" s="185"/>
      <c r="AI139" s="185"/>
      <c r="AJ139" s="185"/>
      <c r="AK139" s="185"/>
      <c r="AL139" s="185"/>
      <c r="AM139" s="185"/>
      <c r="AN139" s="185"/>
      <c r="AO139" s="185"/>
      <c r="AP139" s="185"/>
      <c r="AQ139" s="185"/>
      <c r="AR139" s="185"/>
      <c r="AS139" s="185"/>
      <c r="AT139" s="185"/>
      <c r="AU139" s="185"/>
      <c r="AV139" s="185"/>
      <c r="AW139" s="185"/>
      <c r="AX139" s="185"/>
      <c r="AY139" s="185"/>
      <c r="AZ139" s="185"/>
      <c r="BA139" s="185"/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233"/>
      <c r="AF140" s="185"/>
      <c r="AG140" s="185"/>
      <c r="AH140" s="185"/>
      <c r="AI140" s="185"/>
      <c r="AJ140" s="185"/>
      <c r="AK140" s="185"/>
      <c r="AL140" s="185"/>
      <c r="AM140" s="185"/>
      <c r="AN140" s="185"/>
      <c r="AO140" s="185"/>
      <c r="AP140" s="185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233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233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233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  <c r="AP143" s="185"/>
      <c r="AQ143" s="185"/>
      <c r="AR143" s="185"/>
      <c r="AS143" s="185"/>
      <c r="AT143" s="185"/>
      <c r="AU143" s="185"/>
      <c r="AV143" s="185"/>
      <c r="AW143" s="185"/>
      <c r="AX143" s="185"/>
      <c r="AY143" s="185"/>
      <c r="AZ143" s="185"/>
      <c r="BA143" s="185"/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233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  <c r="AP144" s="185"/>
      <c r="AQ144" s="185"/>
      <c r="AR144" s="185"/>
      <c r="AS144" s="185"/>
      <c r="AT144" s="185"/>
      <c r="AU144" s="185"/>
      <c r="AV144" s="185"/>
      <c r="AW144" s="185"/>
      <c r="AX144" s="185"/>
      <c r="AY144" s="185"/>
      <c r="AZ144" s="185"/>
      <c r="BA144" s="185"/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233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/>
      <c r="AT145" s="185"/>
      <c r="AU145" s="185"/>
      <c r="AV145" s="185"/>
      <c r="AW145" s="185"/>
      <c r="AX145" s="185"/>
      <c r="AY145" s="185"/>
      <c r="AZ145" s="185"/>
      <c r="BA145" s="185"/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233"/>
      <c r="AF146" s="185"/>
      <c r="AG146" s="185"/>
      <c r="AH146" s="185"/>
      <c r="AI146" s="185"/>
      <c r="AJ146" s="185"/>
      <c r="AK146" s="185"/>
      <c r="AL146" s="185"/>
      <c r="AM146" s="185"/>
      <c r="AN146" s="185"/>
      <c r="AO146" s="185"/>
      <c r="AP146" s="185"/>
      <c r="AQ146" s="185"/>
      <c r="AR146" s="185"/>
      <c r="AS146" s="185"/>
      <c r="AT146" s="185"/>
      <c r="AU146" s="185"/>
      <c r="AV146" s="185"/>
      <c r="AW146" s="185"/>
      <c r="AX146" s="185"/>
      <c r="AY146" s="185"/>
      <c r="AZ146" s="185"/>
      <c r="BA146" s="185"/>
      <c r="BB146" s="185"/>
      <c r="BC146" s="185"/>
      <c r="BD146" s="185"/>
      <c r="BE146" s="185"/>
      <c r="BF146" s="185"/>
      <c r="BG146" s="185"/>
      <c r="BH146" s="185"/>
      <c r="BI146" s="185"/>
      <c r="BJ146" s="185"/>
      <c r="BK146" s="185"/>
      <c r="BL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233"/>
      <c r="AF147" s="185"/>
      <c r="AG147" s="185"/>
      <c r="AH147" s="185"/>
      <c r="AI147" s="185"/>
      <c r="AJ147" s="185"/>
      <c r="AK147" s="185"/>
      <c r="AL147" s="185"/>
      <c r="AM147" s="185"/>
      <c r="AN147" s="185"/>
      <c r="AO147" s="185"/>
      <c r="AP147" s="185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  <c r="BA147" s="185"/>
      <c r="BB147" s="185"/>
      <c r="BC147" s="185"/>
      <c r="BD147" s="185"/>
      <c r="BE147" s="185"/>
      <c r="BF147" s="185"/>
      <c r="BG147" s="185"/>
      <c r="BH147" s="185"/>
      <c r="BI147" s="185"/>
      <c r="BJ147" s="185"/>
      <c r="BK147" s="185"/>
      <c r="BL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233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  <c r="AP148" s="185"/>
      <c r="AQ148" s="185"/>
      <c r="AR148" s="185"/>
      <c r="AS148" s="185"/>
      <c r="AT148" s="185"/>
      <c r="AU148" s="185"/>
      <c r="AV148" s="185"/>
      <c r="AW148" s="185"/>
      <c r="AX148" s="185"/>
      <c r="AY148" s="185"/>
      <c r="AZ148" s="185"/>
      <c r="BA148" s="185"/>
      <c r="BB148" s="185"/>
      <c r="BC148" s="185"/>
      <c r="BD148" s="185"/>
      <c r="BE148" s="185"/>
      <c r="BF148" s="185"/>
      <c r="BG148" s="185"/>
      <c r="BH148" s="185"/>
      <c r="BI148" s="185"/>
      <c r="BJ148" s="185"/>
      <c r="BK148" s="185"/>
      <c r="BL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233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185"/>
      <c r="BD149" s="185"/>
      <c r="BE149" s="185"/>
      <c r="BF149" s="185"/>
      <c r="BG149" s="185"/>
      <c r="BH149" s="185"/>
      <c r="BI149" s="185"/>
      <c r="BJ149" s="185"/>
      <c r="BK149" s="185"/>
      <c r="BL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233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185"/>
      <c r="BE150" s="185"/>
      <c r="BF150" s="185"/>
      <c r="BG150" s="185"/>
      <c r="BH150" s="185"/>
      <c r="BI150" s="185"/>
      <c r="BJ150" s="185"/>
      <c r="BK150" s="185"/>
      <c r="BL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233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5"/>
      <c r="BF151" s="185"/>
      <c r="BG151" s="185"/>
      <c r="BH151" s="185"/>
      <c r="BI151" s="185"/>
      <c r="BJ151" s="185"/>
      <c r="BK151" s="185"/>
      <c r="BL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233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185"/>
      <c r="BE152" s="185"/>
      <c r="BF152" s="185"/>
      <c r="BG152" s="185"/>
      <c r="BH152" s="185"/>
      <c r="BI152" s="185"/>
      <c r="BJ152" s="185"/>
      <c r="BK152" s="185"/>
      <c r="BL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233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185"/>
      <c r="BE153" s="185"/>
      <c r="BF153" s="185"/>
      <c r="BG153" s="185"/>
      <c r="BH153" s="185"/>
      <c r="BI153" s="185"/>
      <c r="BJ153" s="185"/>
      <c r="BK153" s="185"/>
      <c r="BL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233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185"/>
      <c r="BE154" s="185"/>
      <c r="BF154" s="185"/>
      <c r="BG154" s="185"/>
      <c r="BH154" s="185"/>
      <c r="BI154" s="185"/>
      <c r="BJ154" s="185"/>
      <c r="BK154" s="185"/>
      <c r="BL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233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185"/>
      <c r="BE155" s="185"/>
      <c r="BF155" s="185"/>
      <c r="BG155" s="185"/>
      <c r="BH155" s="185"/>
      <c r="BI155" s="185"/>
      <c r="BJ155" s="185"/>
      <c r="BK155" s="185"/>
      <c r="BL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233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233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185"/>
      <c r="BE157" s="185"/>
      <c r="BF157" s="185"/>
      <c r="BG157" s="185"/>
      <c r="BH157" s="185"/>
      <c r="BI157" s="185"/>
      <c r="BJ157" s="185"/>
      <c r="BK157" s="185"/>
      <c r="BL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233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185"/>
      <c r="BE158" s="185"/>
      <c r="BF158" s="185"/>
      <c r="BG158" s="185"/>
      <c r="BH158" s="185"/>
      <c r="BI158" s="185"/>
      <c r="BJ158" s="185"/>
      <c r="BK158" s="185"/>
      <c r="BL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233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185"/>
      <c r="BE159" s="185"/>
      <c r="BF159" s="185"/>
      <c r="BG159" s="185"/>
      <c r="BH159" s="185"/>
      <c r="BI159" s="185"/>
      <c r="BJ159" s="185"/>
      <c r="BK159" s="185"/>
      <c r="BL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233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185"/>
      <c r="BE160" s="185"/>
      <c r="BF160" s="185"/>
      <c r="BG160" s="185"/>
      <c r="BH160" s="185"/>
      <c r="BI160" s="185"/>
      <c r="BJ160" s="185"/>
      <c r="BK160" s="185"/>
      <c r="BL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233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5"/>
      <c r="BF161" s="185"/>
      <c r="BG161" s="185"/>
      <c r="BH161" s="185"/>
      <c r="BI161" s="185"/>
      <c r="BJ161" s="185"/>
      <c r="BK161" s="185"/>
      <c r="BL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233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233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233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233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233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233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233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233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233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233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233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233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233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233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233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233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233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185"/>
      <c r="BE178" s="185"/>
      <c r="BF178" s="185"/>
      <c r="BG178" s="185"/>
      <c r="BH178" s="185"/>
      <c r="BI178" s="185"/>
      <c r="BJ178" s="185"/>
      <c r="BK178" s="185"/>
      <c r="BL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233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185"/>
      <c r="BI179" s="185"/>
      <c r="BJ179" s="185"/>
      <c r="BK179" s="185"/>
      <c r="BL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233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185"/>
      <c r="BI180" s="185"/>
      <c r="BJ180" s="185"/>
      <c r="BK180" s="185"/>
      <c r="BL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233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5"/>
      <c r="BF181" s="185"/>
      <c r="BG181" s="185"/>
      <c r="BH181" s="185"/>
      <c r="BI181" s="185"/>
      <c r="BJ181" s="185"/>
      <c r="BK181" s="185"/>
      <c r="BL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233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185"/>
      <c r="BI182" s="185"/>
      <c r="BJ182" s="185"/>
      <c r="BK182" s="185"/>
      <c r="BL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233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185"/>
      <c r="BI183" s="185"/>
      <c r="BJ183" s="185"/>
      <c r="BK183" s="185"/>
      <c r="BL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233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185"/>
      <c r="BI184" s="185"/>
      <c r="BJ184" s="185"/>
      <c r="BK184" s="185"/>
      <c r="BL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233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233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233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185"/>
      <c r="BE187" s="185"/>
      <c r="BF187" s="185"/>
      <c r="BG187" s="185"/>
      <c r="BH187" s="185"/>
      <c r="BI187" s="185"/>
      <c r="BJ187" s="185"/>
      <c r="BK187" s="185"/>
      <c r="BL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233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185"/>
      <c r="BE188" s="185"/>
      <c r="BF188" s="185"/>
      <c r="BG188" s="185"/>
      <c r="BH188" s="185"/>
      <c r="BI188" s="185"/>
      <c r="BJ188" s="185"/>
      <c r="BK188" s="185"/>
      <c r="BL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233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185"/>
      <c r="BE189" s="185"/>
      <c r="BF189" s="185"/>
      <c r="BG189" s="185"/>
      <c r="BH189" s="185"/>
      <c r="BI189" s="185"/>
      <c r="BJ189" s="185"/>
      <c r="BK189" s="185"/>
      <c r="BL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233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185"/>
      <c r="BE190" s="185"/>
      <c r="BF190" s="185"/>
      <c r="BG190" s="185"/>
      <c r="BH190" s="185"/>
      <c r="BI190" s="185"/>
      <c r="BJ190" s="185"/>
      <c r="BK190" s="185"/>
      <c r="BL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233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5"/>
      <c r="BF191" s="185"/>
      <c r="BG191" s="185"/>
      <c r="BH191" s="185"/>
      <c r="BI191" s="185"/>
      <c r="BJ191" s="185"/>
      <c r="BK191" s="185"/>
      <c r="BL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233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185"/>
      <c r="BE192" s="185"/>
      <c r="BF192" s="185"/>
      <c r="BG192" s="185"/>
      <c r="BH192" s="185"/>
      <c r="BI192" s="185"/>
      <c r="BJ192" s="185"/>
      <c r="BK192" s="185"/>
      <c r="BL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233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185"/>
      <c r="BE193" s="185"/>
      <c r="BF193" s="185"/>
      <c r="BG193" s="185"/>
      <c r="BH193" s="185"/>
      <c r="BI193" s="185"/>
      <c r="BJ193" s="185"/>
      <c r="BK193" s="185"/>
      <c r="BL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233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233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233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233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233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233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233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</row>
    <row r="201" ht="15.75" customHeight="1">
      <c r="A201" s="246"/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  <c r="AF201" s="246"/>
      <c r="AG201" s="246"/>
      <c r="AH201" s="246"/>
      <c r="AI201" s="246"/>
      <c r="AJ201" s="246"/>
      <c r="AK201" s="246"/>
      <c r="AL201" s="246"/>
      <c r="AM201" s="246"/>
      <c r="AN201" s="246"/>
      <c r="AO201" s="246"/>
      <c r="AP201" s="246"/>
      <c r="AQ201" s="246"/>
      <c r="AR201" s="246"/>
      <c r="AS201" s="246"/>
      <c r="AT201" s="246"/>
      <c r="AU201" s="246"/>
      <c r="AV201" s="246"/>
      <c r="AW201" s="246"/>
      <c r="AX201" s="246"/>
      <c r="AY201" s="246"/>
      <c r="AZ201" s="246"/>
      <c r="BA201" s="246"/>
      <c r="BB201" s="246"/>
      <c r="BC201" s="246"/>
      <c r="BD201" s="246"/>
      <c r="BE201" s="246"/>
      <c r="BF201" s="246"/>
      <c r="BG201" s="246"/>
      <c r="BH201" s="246"/>
      <c r="BI201" s="246"/>
      <c r="BJ201" s="246"/>
      <c r="BK201" s="246"/>
      <c r="BL201" s="246"/>
    </row>
    <row r="202" ht="15.75" customHeight="1">
      <c r="A202" s="246"/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  <c r="AD202" s="246"/>
      <c r="AE202" s="246"/>
      <c r="AF202" s="246"/>
      <c r="AG202" s="246"/>
      <c r="AH202" s="246"/>
      <c r="AI202" s="246"/>
      <c r="AJ202" s="246"/>
      <c r="AK202" s="246"/>
      <c r="AL202" s="246"/>
      <c r="AM202" s="246"/>
      <c r="AN202" s="246"/>
      <c r="AO202" s="246"/>
      <c r="AP202" s="246"/>
      <c r="AQ202" s="246"/>
      <c r="AR202" s="246"/>
      <c r="AS202" s="246"/>
      <c r="AT202" s="246"/>
      <c r="AU202" s="246"/>
      <c r="AV202" s="246"/>
      <c r="AW202" s="246"/>
      <c r="AX202" s="246"/>
      <c r="AY202" s="246"/>
      <c r="AZ202" s="246"/>
      <c r="BA202" s="246"/>
      <c r="BB202" s="246"/>
      <c r="BC202" s="246"/>
      <c r="BD202" s="246"/>
      <c r="BE202" s="246"/>
      <c r="BF202" s="246"/>
      <c r="BG202" s="246"/>
      <c r="BH202" s="246"/>
      <c r="BI202" s="246"/>
      <c r="BJ202" s="246"/>
      <c r="BK202" s="246"/>
      <c r="BL202" s="246"/>
    </row>
    <row r="203" ht="15.75" customHeight="1">
      <c r="A203" s="246"/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  <c r="AF203" s="246"/>
      <c r="AG203" s="246"/>
      <c r="AH203" s="246"/>
      <c r="AI203" s="246"/>
      <c r="AJ203" s="246"/>
      <c r="AK203" s="246"/>
      <c r="AL203" s="246"/>
      <c r="AM203" s="246"/>
      <c r="AN203" s="246"/>
      <c r="AO203" s="246"/>
      <c r="AP203" s="246"/>
      <c r="AQ203" s="246"/>
      <c r="AR203" s="246"/>
      <c r="AS203" s="246"/>
      <c r="AT203" s="246"/>
      <c r="AU203" s="246"/>
      <c r="AV203" s="246"/>
      <c r="AW203" s="246"/>
      <c r="AX203" s="246"/>
      <c r="AY203" s="246"/>
      <c r="AZ203" s="246"/>
      <c r="BA203" s="246"/>
      <c r="BB203" s="246"/>
      <c r="BC203" s="246"/>
      <c r="BD203" s="246"/>
      <c r="BE203" s="246"/>
      <c r="BF203" s="246"/>
      <c r="BG203" s="246"/>
      <c r="BH203" s="246"/>
      <c r="BI203" s="246"/>
      <c r="BJ203" s="246"/>
      <c r="BK203" s="246"/>
      <c r="BL203" s="246"/>
    </row>
    <row r="204" ht="15.75" customHeight="1">
      <c r="A204" s="246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  <c r="AD204" s="246"/>
      <c r="AE204" s="246"/>
      <c r="AF204" s="246"/>
      <c r="AG204" s="246"/>
      <c r="AH204" s="246"/>
      <c r="AI204" s="246"/>
      <c r="AJ204" s="246"/>
      <c r="AK204" s="246"/>
      <c r="AL204" s="246"/>
      <c r="AM204" s="246"/>
      <c r="AN204" s="246"/>
      <c r="AO204" s="246"/>
      <c r="AP204" s="246"/>
      <c r="AQ204" s="246"/>
      <c r="AR204" s="246"/>
      <c r="AS204" s="246"/>
      <c r="AT204" s="246"/>
      <c r="AU204" s="246"/>
      <c r="AV204" s="246"/>
      <c r="AW204" s="246"/>
      <c r="AX204" s="246"/>
      <c r="AY204" s="246"/>
      <c r="AZ204" s="246"/>
      <c r="BA204" s="246"/>
      <c r="BB204" s="246"/>
      <c r="BC204" s="246"/>
      <c r="BD204" s="246"/>
      <c r="BE204" s="246"/>
      <c r="BF204" s="246"/>
      <c r="BG204" s="246"/>
      <c r="BH204" s="246"/>
      <c r="BI204" s="246"/>
      <c r="BJ204" s="246"/>
      <c r="BK204" s="246"/>
      <c r="BL204" s="246"/>
    </row>
    <row r="205" ht="15.75" customHeight="1">
      <c r="A205" s="246"/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  <c r="AF205" s="246"/>
      <c r="AG205" s="246"/>
      <c r="AH205" s="246"/>
      <c r="AI205" s="246"/>
      <c r="AJ205" s="246"/>
      <c r="AK205" s="246"/>
      <c r="AL205" s="246"/>
      <c r="AM205" s="246"/>
      <c r="AN205" s="246"/>
      <c r="AO205" s="246"/>
      <c r="AP205" s="246"/>
      <c r="AQ205" s="246"/>
      <c r="AR205" s="246"/>
      <c r="AS205" s="246"/>
      <c r="AT205" s="246"/>
      <c r="AU205" s="246"/>
      <c r="AV205" s="246"/>
      <c r="AW205" s="246"/>
      <c r="AX205" s="246"/>
      <c r="AY205" s="246"/>
      <c r="AZ205" s="246"/>
      <c r="BA205" s="246"/>
      <c r="BB205" s="246"/>
      <c r="BC205" s="246"/>
      <c r="BD205" s="246"/>
      <c r="BE205" s="246"/>
      <c r="BF205" s="246"/>
      <c r="BG205" s="246"/>
      <c r="BH205" s="246"/>
      <c r="BI205" s="246"/>
      <c r="BJ205" s="246"/>
      <c r="BK205" s="246"/>
      <c r="BL205" s="246"/>
    </row>
    <row r="206" ht="15.75" customHeight="1">
      <c r="A206" s="246"/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  <c r="AD206" s="246"/>
      <c r="AE206" s="246"/>
      <c r="AF206" s="246"/>
      <c r="AG206" s="246"/>
      <c r="AH206" s="246"/>
      <c r="AI206" s="246"/>
      <c r="AJ206" s="246"/>
      <c r="AK206" s="246"/>
      <c r="AL206" s="246"/>
      <c r="AM206" s="246"/>
      <c r="AN206" s="246"/>
      <c r="AO206" s="246"/>
      <c r="AP206" s="246"/>
      <c r="AQ206" s="246"/>
      <c r="AR206" s="246"/>
      <c r="AS206" s="246"/>
      <c r="AT206" s="246"/>
      <c r="AU206" s="246"/>
      <c r="AV206" s="246"/>
      <c r="AW206" s="246"/>
      <c r="AX206" s="246"/>
      <c r="AY206" s="246"/>
      <c r="AZ206" s="246"/>
      <c r="BA206" s="246"/>
      <c r="BB206" s="246"/>
      <c r="BC206" s="246"/>
      <c r="BD206" s="246"/>
      <c r="BE206" s="246"/>
      <c r="BF206" s="246"/>
      <c r="BG206" s="246"/>
      <c r="BH206" s="246"/>
      <c r="BI206" s="246"/>
      <c r="BJ206" s="246"/>
      <c r="BK206" s="246"/>
      <c r="BL206" s="246"/>
    </row>
    <row r="207" ht="15.75" customHeight="1">
      <c r="A207" s="246"/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  <c r="AF207" s="246"/>
      <c r="AG207" s="246"/>
      <c r="AH207" s="246"/>
      <c r="AI207" s="246"/>
      <c r="AJ207" s="246"/>
      <c r="AK207" s="246"/>
      <c r="AL207" s="246"/>
      <c r="AM207" s="246"/>
      <c r="AN207" s="246"/>
      <c r="AO207" s="246"/>
      <c r="AP207" s="246"/>
      <c r="AQ207" s="246"/>
      <c r="AR207" s="246"/>
      <c r="AS207" s="246"/>
      <c r="AT207" s="246"/>
      <c r="AU207" s="246"/>
      <c r="AV207" s="246"/>
      <c r="AW207" s="246"/>
      <c r="AX207" s="246"/>
      <c r="AY207" s="246"/>
      <c r="AZ207" s="246"/>
      <c r="BA207" s="246"/>
      <c r="BB207" s="246"/>
      <c r="BC207" s="246"/>
      <c r="BD207" s="246"/>
      <c r="BE207" s="246"/>
      <c r="BF207" s="246"/>
      <c r="BG207" s="246"/>
      <c r="BH207" s="246"/>
      <c r="BI207" s="246"/>
      <c r="BJ207" s="246"/>
      <c r="BK207" s="246"/>
      <c r="BL207" s="246"/>
    </row>
    <row r="208" ht="15.75" customHeight="1">
      <c r="A208" s="246"/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  <c r="AD208" s="246"/>
      <c r="AE208" s="246"/>
      <c r="AF208" s="246"/>
      <c r="AG208" s="246"/>
      <c r="AH208" s="246"/>
      <c r="AI208" s="246"/>
      <c r="AJ208" s="246"/>
      <c r="AK208" s="246"/>
      <c r="AL208" s="246"/>
      <c r="AM208" s="246"/>
      <c r="AN208" s="246"/>
      <c r="AO208" s="246"/>
      <c r="AP208" s="246"/>
      <c r="AQ208" s="246"/>
      <c r="AR208" s="246"/>
      <c r="AS208" s="246"/>
      <c r="AT208" s="246"/>
      <c r="AU208" s="246"/>
      <c r="AV208" s="246"/>
      <c r="AW208" s="246"/>
      <c r="AX208" s="246"/>
      <c r="AY208" s="246"/>
      <c r="AZ208" s="246"/>
      <c r="BA208" s="246"/>
      <c r="BB208" s="246"/>
      <c r="BC208" s="246"/>
      <c r="BD208" s="246"/>
      <c r="BE208" s="246"/>
      <c r="BF208" s="246"/>
      <c r="BG208" s="246"/>
      <c r="BH208" s="246"/>
      <c r="BI208" s="246"/>
      <c r="BJ208" s="246"/>
      <c r="BK208" s="246"/>
      <c r="BL208" s="246"/>
    </row>
    <row r="209" ht="15.75" customHeight="1">
      <c r="A209" s="246"/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6"/>
      <c r="AG209" s="246"/>
      <c r="AH209" s="246"/>
      <c r="AI209" s="246"/>
      <c r="AJ209" s="246"/>
      <c r="AK209" s="246"/>
      <c r="AL209" s="246"/>
      <c r="AM209" s="246"/>
      <c r="AN209" s="246"/>
      <c r="AO209" s="246"/>
      <c r="AP209" s="246"/>
      <c r="AQ209" s="246"/>
      <c r="AR209" s="246"/>
      <c r="AS209" s="246"/>
      <c r="AT209" s="246"/>
      <c r="AU209" s="246"/>
      <c r="AV209" s="246"/>
      <c r="AW209" s="246"/>
      <c r="AX209" s="246"/>
      <c r="AY209" s="246"/>
      <c r="AZ209" s="246"/>
      <c r="BA209" s="246"/>
      <c r="BB209" s="246"/>
      <c r="BC209" s="246"/>
      <c r="BD209" s="246"/>
      <c r="BE209" s="246"/>
      <c r="BF209" s="246"/>
      <c r="BG209" s="246"/>
      <c r="BH209" s="246"/>
      <c r="BI209" s="246"/>
      <c r="BJ209" s="246"/>
      <c r="BK209" s="246"/>
      <c r="BL209" s="246"/>
    </row>
    <row r="210" ht="15.75" customHeight="1">
      <c r="A210" s="246"/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6"/>
      <c r="AG210" s="246"/>
      <c r="AH210" s="246"/>
      <c r="AI210" s="246"/>
      <c r="AJ210" s="246"/>
      <c r="AK210" s="246"/>
      <c r="AL210" s="246"/>
      <c r="AM210" s="246"/>
      <c r="AN210" s="246"/>
      <c r="AO210" s="246"/>
      <c r="AP210" s="246"/>
      <c r="AQ210" s="246"/>
      <c r="AR210" s="246"/>
      <c r="AS210" s="246"/>
      <c r="AT210" s="246"/>
      <c r="AU210" s="246"/>
      <c r="AV210" s="246"/>
      <c r="AW210" s="246"/>
      <c r="AX210" s="246"/>
      <c r="AY210" s="246"/>
      <c r="AZ210" s="246"/>
      <c r="BA210" s="246"/>
      <c r="BB210" s="246"/>
      <c r="BC210" s="246"/>
      <c r="BD210" s="246"/>
      <c r="BE210" s="246"/>
      <c r="BF210" s="246"/>
      <c r="BG210" s="246"/>
      <c r="BH210" s="246"/>
      <c r="BI210" s="246"/>
      <c r="BJ210" s="246"/>
      <c r="BK210" s="246"/>
      <c r="BL210" s="246"/>
    </row>
    <row r="211" ht="15.75" customHeight="1">
      <c r="A211" s="246"/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6"/>
      <c r="AG211" s="246"/>
      <c r="AH211" s="246"/>
      <c r="AI211" s="246"/>
      <c r="AJ211" s="246"/>
      <c r="AK211" s="246"/>
      <c r="AL211" s="246"/>
      <c r="AM211" s="246"/>
      <c r="AN211" s="246"/>
      <c r="AO211" s="246"/>
      <c r="AP211" s="246"/>
      <c r="AQ211" s="246"/>
      <c r="AR211" s="246"/>
      <c r="AS211" s="246"/>
      <c r="AT211" s="246"/>
      <c r="AU211" s="246"/>
      <c r="AV211" s="246"/>
      <c r="AW211" s="246"/>
      <c r="AX211" s="246"/>
      <c r="AY211" s="246"/>
      <c r="AZ211" s="246"/>
      <c r="BA211" s="246"/>
      <c r="BB211" s="246"/>
      <c r="BC211" s="246"/>
      <c r="BD211" s="246"/>
      <c r="BE211" s="246"/>
      <c r="BF211" s="246"/>
      <c r="BG211" s="246"/>
      <c r="BH211" s="246"/>
      <c r="BI211" s="246"/>
      <c r="BJ211" s="246"/>
      <c r="BK211" s="246"/>
      <c r="BL211" s="246"/>
    </row>
    <row r="212" ht="15.75" customHeight="1">
      <c r="A212" s="246"/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  <c r="AF212" s="246"/>
      <c r="AG212" s="246"/>
      <c r="AH212" s="246"/>
      <c r="AI212" s="246"/>
      <c r="AJ212" s="246"/>
      <c r="AK212" s="246"/>
      <c r="AL212" s="246"/>
      <c r="AM212" s="246"/>
      <c r="AN212" s="246"/>
      <c r="AO212" s="246"/>
      <c r="AP212" s="246"/>
      <c r="AQ212" s="246"/>
      <c r="AR212" s="246"/>
      <c r="AS212" s="246"/>
      <c r="AT212" s="246"/>
      <c r="AU212" s="246"/>
      <c r="AV212" s="246"/>
      <c r="AW212" s="246"/>
      <c r="AX212" s="246"/>
      <c r="AY212" s="246"/>
      <c r="AZ212" s="246"/>
      <c r="BA212" s="246"/>
      <c r="BB212" s="246"/>
      <c r="BC212" s="246"/>
      <c r="BD212" s="246"/>
      <c r="BE212" s="246"/>
      <c r="BF212" s="246"/>
      <c r="BG212" s="246"/>
      <c r="BH212" s="246"/>
      <c r="BI212" s="246"/>
      <c r="BJ212" s="246"/>
      <c r="BK212" s="246"/>
      <c r="BL212" s="246"/>
    </row>
    <row r="213" ht="15.75" customHeight="1">
      <c r="A213" s="246"/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  <c r="AF213" s="246"/>
      <c r="AG213" s="246"/>
      <c r="AH213" s="246"/>
      <c r="AI213" s="246"/>
      <c r="AJ213" s="246"/>
      <c r="AK213" s="246"/>
      <c r="AL213" s="246"/>
      <c r="AM213" s="246"/>
      <c r="AN213" s="246"/>
      <c r="AO213" s="246"/>
      <c r="AP213" s="246"/>
      <c r="AQ213" s="246"/>
      <c r="AR213" s="246"/>
      <c r="AS213" s="246"/>
      <c r="AT213" s="246"/>
      <c r="AU213" s="246"/>
      <c r="AV213" s="246"/>
      <c r="AW213" s="246"/>
      <c r="AX213" s="246"/>
      <c r="AY213" s="246"/>
      <c r="AZ213" s="246"/>
      <c r="BA213" s="246"/>
      <c r="BB213" s="246"/>
      <c r="BC213" s="246"/>
      <c r="BD213" s="246"/>
      <c r="BE213" s="246"/>
      <c r="BF213" s="246"/>
      <c r="BG213" s="246"/>
      <c r="BH213" s="246"/>
      <c r="BI213" s="246"/>
      <c r="BJ213" s="246"/>
      <c r="BK213" s="246"/>
      <c r="BL213" s="246"/>
    </row>
    <row r="214" ht="15.75" customHeight="1">
      <c r="A214" s="246"/>
      <c r="B214" s="246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  <c r="AD214" s="246"/>
      <c r="AE214" s="246"/>
      <c r="AF214" s="246"/>
      <c r="AG214" s="246"/>
      <c r="AH214" s="246"/>
      <c r="AI214" s="246"/>
      <c r="AJ214" s="246"/>
      <c r="AK214" s="246"/>
      <c r="AL214" s="246"/>
      <c r="AM214" s="246"/>
      <c r="AN214" s="246"/>
      <c r="AO214" s="246"/>
      <c r="AP214" s="246"/>
      <c r="AQ214" s="246"/>
      <c r="AR214" s="246"/>
      <c r="AS214" s="246"/>
      <c r="AT214" s="246"/>
      <c r="AU214" s="246"/>
      <c r="AV214" s="246"/>
      <c r="AW214" s="246"/>
      <c r="AX214" s="246"/>
      <c r="AY214" s="246"/>
      <c r="AZ214" s="246"/>
      <c r="BA214" s="246"/>
      <c r="BB214" s="246"/>
      <c r="BC214" s="246"/>
      <c r="BD214" s="246"/>
      <c r="BE214" s="246"/>
      <c r="BF214" s="246"/>
      <c r="BG214" s="246"/>
      <c r="BH214" s="246"/>
      <c r="BI214" s="246"/>
      <c r="BJ214" s="246"/>
      <c r="BK214" s="246"/>
      <c r="BL214" s="246"/>
    </row>
    <row r="215" ht="15.75" customHeight="1">
      <c r="A215" s="246"/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  <c r="AF215" s="246"/>
      <c r="AG215" s="246"/>
      <c r="AH215" s="246"/>
      <c r="AI215" s="246"/>
      <c r="AJ215" s="246"/>
      <c r="AK215" s="246"/>
      <c r="AL215" s="246"/>
      <c r="AM215" s="246"/>
      <c r="AN215" s="246"/>
      <c r="AO215" s="246"/>
      <c r="AP215" s="246"/>
      <c r="AQ215" s="246"/>
      <c r="AR215" s="246"/>
      <c r="AS215" s="246"/>
      <c r="AT215" s="246"/>
      <c r="AU215" s="246"/>
      <c r="AV215" s="246"/>
      <c r="AW215" s="246"/>
      <c r="AX215" s="246"/>
      <c r="AY215" s="246"/>
      <c r="AZ215" s="246"/>
      <c r="BA215" s="246"/>
      <c r="BB215" s="246"/>
      <c r="BC215" s="246"/>
      <c r="BD215" s="246"/>
      <c r="BE215" s="246"/>
      <c r="BF215" s="246"/>
      <c r="BG215" s="246"/>
      <c r="BH215" s="246"/>
      <c r="BI215" s="246"/>
      <c r="BJ215" s="246"/>
      <c r="BK215" s="246"/>
      <c r="BL215" s="246"/>
    </row>
    <row r="216" ht="15.75" customHeight="1">
      <c r="A216" s="246"/>
      <c r="B216" s="246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  <c r="AD216" s="246"/>
      <c r="AE216" s="246"/>
      <c r="AF216" s="246"/>
      <c r="AG216" s="246"/>
      <c r="AH216" s="246"/>
      <c r="AI216" s="246"/>
      <c r="AJ216" s="246"/>
      <c r="AK216" s="246"/>
      <c r="AL216" s="246"/>
      <c r="AM216" s="246"/>
      <c r="AN216" s="246"/>
      <c r="AO216" s="246"/>
      <c r="AP216" s="246"/>
      <c r="AQ216" s="246"/>
      <c r="AR216" s="246"/>
      <c r="AS216" s="246"/>
      <c r="AT216" s="246"/>
      <c r="AU216" s="246"/>
      <c r="AV216" s="246"/>
      <c r="AW216" s="246"/>
      <c r="AX216" s="246"/>
      <c r="AY216" s="246"/>
      <c r="AZ216" s="246"/>
      <c r="BA216" s="246"/>
      <c r="BB216" s="246"/>
      <c r="BC216" s="246"/>
      <c r="BD216" s="246"/>
      <c r="BE216" s="246"/>
      <c r="BF216" s="246"/>
      <c r="BG216" s="246"/>
      <c r="BH216" s="246"/>
      <c r="BI216" s="246"/>
      <c r="BJ216" s="246"/>
      <c r="BK216" s="246"/>
      <c r="BL216" s="246"/>
    </row>
    <row r="217" ht="15.75" customHeight="1">
      <c r="A217" s="246"/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  <c r="AF217" s="246"/>
      <c r="AG217" s="246"/>
      <c r="AH217" s="246"/>
      <c r="AI217" s="246"/>
      <c r="AJ217" s="246"/>
      <c r="AK217" s="246"/>
      <c r="AL217" s="246"/>
      <c r="AM217" s="246"/>
      <c r="AN217" s="246"/>
      <c r="AO217" s="246"/>
      <c r="AP217" s="246"/>
      <c r="AQ217" s="246"/>
      <c r="AR217" s="246"/>
      <c r="AS217" s="246"/>
      <c r="AT217" s="246"/>
      <c r="AU217" s="246"/>
      <c r="AV217" s="246"/>
      <c r="AW217" s="246"/>
      <c r="AX217" s="246"/>
      <c r="AY217" s="246"/>
      <c r="AZ217" s="246"/>
      <c r="BA217" s="246"/>
      <c r="BB217" s="246"/>
      <c r="BC217" s="246"/>
      <c r="BD217" s="246"/>
      <c r="BE217" s="246"/>
      <c r="BF217" s="246"/>
      <c r="BG217" s="246"/>
      <c r="BH217" s="246"/>
      <c r="BI217" s="246"/>
      <c r="BJ217" s="246"/>
      <c r="BK217" s="246"/>
      <c r="BL217" s="246"/>
    </row>
    <row r="218" ht="15.75" customHeight="1">
      <c r="A218" s="246"/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  <c r="AD218" s="246"/>
      <c r="AE218" s="246"/>
      <c r="AF218" s="246"/>
      <c r="AG218" s="246"/>
      <c r="AH218" s="246"/>
      <c r="AI218" s="246"/>
      <c r="AJ218" s="246"/>
      <c r="AK218" s="246"/>
      <c r="AL218" s="246"/>
      <c r="AM218" s="246"/>
      <c r="AN218" s="246"/>
      <c r="AO218" s="246"/>
      <c r="AP218" s="246"/>
      <c r="AQ218" s="246"/>
      <c r="AR218" s="246"/>
      <c r="AS218" s="246"/>
      <c r="AT218" s="246"/>
      <c r="AU218" s="246"/>
      <c r="AV218" s="246"/>
      <c r="AW218" s="246"/>
      <c r="AX218" s="246"/>
      <c r="AY218" s="246"/>
      <c r="AZ218" s="246"/>
      <c r="BA218" s="246"/>
      <c r="BB218" s="246"/>
      <c r="BC218" s="246"/>
      <c r="BD218" s="246"/>
      <c r="BE218" s="246"/>
      <c r="BF218" s="246"/>
      <c r="BG218" s="246"/>
      <c r="BH218" s="246"/>
      <c r="BI218" s="246"/>
      <c r="BJ218" s="246"/>
      <c r="BK218" s="246"/>
      <c r="BL218" s="246"/>
    </row>
    <row r="219" ht="15.75" customHeight="1">
      <c r="A219" s="246"/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  <c r="AF219" s="246"/>
      <c r="AG219" s="246"/>
      <c r="AH219" s="246"/>
      <c r="AI219" s="246"/>
      <c r="AJ219" s="246"/>
      <c r="AK219" s="246"/>
      <c r="AL219" s="246"/>
      <c r="AM219" s="246"/>
      <c r="AN219" s="246"/>
      <c r="AO219" s="246"/>
      <c r="AP219" s="246"/>
      <c r="AQ219" s="246"/>
      <c r="AR219" s="246"/>
      <c r="AS219" s="246"/>
      <c r="AT219" s="246"/>
      <c r="AU219" s="246"/>
      <c r="AV219" s="246"/>
      <c r="AW219" s="246"/>
      <c r="AX219" s="246"/>
      <c r="AY219" s="246"/>
      <c r="AZ219" s="246"/>
      <c r="BA219" s="246"/>
      <c r="BB219" s="246"/>
      <c r="BC219" s="246"/>
      <c r="BD219" s="246"/>
      <c r="BE219" s="246"/>
      <c r="BF219" s="246"/>
      <c r="BG219" s="246"/>
      <c r="BH219" s="246"/>
      <c r="BI219" s="246"/>
      <c r="BJ219" s="246"/>
      <c r="BK219" s="246"/>
      <c r="BL219" s="246"/>
    </row>
    <row r="220" ht="15.75" customHeight="1">
      <c r="A220" s="246"/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  <c r="AF220" s="246"/>
      <c r="AG220" s="246"/>
      <c r="AH220" s="246"/>
      <c r="AI220" s="246"/>
      <c r="AJ220" s="246"/>
      <c r="AK220" s="246"/>
      <c r="AL220" s="246"/>
      <c r="AM220" s="246"/>
      <c r="AN220" s="246"/>
      <c r="AO220" s="246"/>
      <c r="AP220" s="246"/>
      <c r="AQ220" s="246"/>
      <c r="AR220" s="246"/>
      <c r="AS220" s="246"/>
      <c r="AT220" s="246"/>
      <c r="AU220" s="246"/>
      <c r="AV220" s="246"/>
      <c r="AW220" s="246"/>
      <c r="AX220" s="246"/>
      <c r="AY220" s="246"/>
      <c r="AZ220" s="246"/>
      <c r="BA220" s="246"/>
      <c r="BB220" s="246"/>
      <c r="BC220" s="246"/>
      <c r="BD220" s="246"/>
      <c r="BE220" s="246"/>
      <c r="BF220" s="246"/>
      <c r="BG220" s="246"/>
      <c r="BH220" s="246"/>
      <c r="BI220" s="246"/>
      <c r="BJ220" s="246"/>
      <c r="BK220" s="246"/>
      <c r="BL220" s="246"/>
    </row>
    <row r="221" ht="15.75" customHeight="1">
      <c r="A221" s="246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  <c r="AF221" s="246"/>
      <c r="AG221" s="246"/>
      <c r="AH221" s="246"/>
      <c r="AI221" s="246"/>
      <c r="AJ221" s="246"/>
      <c r="AK221" s="246"/>
      <c r="AL221" s="246"/>
      <c r="AM221" s="246"/>
      <c r="AN221" s="246"/>
      <c r="AO221" s="246"/>
      <c r="AP221" s="246"/>
      <c r="AQ221" s="246"/>
      <c r="AR221" s="246"/>
      <c r="AS221" s="246"/>
      <c r="AT221" s="246"/>
      <c r="AU221" s="246"/>
      <c r="AV221" s="246"/>
      <c r="AW221" s="246"/>
      <c r="AX221" s="246"/>
      <c r="AY221" s="246"/>
      <c r="AZ221" s="246"/>
      <c r="BA221" s="246"/>
      <c r="BB221" s="246"/>
      <c r="BC221" s="246"/>
      <c r="BD221" s="246"/>
      <c r="BE221" s="246"/>
      <c r="BF221" s="246"/>
      <c r="BG221" s="246"/>
      <c r="BH221" s="246"/>
      <c r="BI221" s="246"/>
      <c r="BJ221" s="246"/>
      <c r="BK221" s="246"/>
      <c r="BL221" s="246"/>
    </row>
    <row r="222" ht="15.75" customHeight="1">
      <c r="A222" s="246"/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  <c r="AF222" s="246"/>
      <c r="AG222" s="246"/>
      <c r="AH222" s="246"/>
      <c r="AI222" s="246"/>
      <c r="AJ222" s="246"/>
      <c r="AK222" s="246"/>
      <c r="AL222" s="246"/>
      <c r="AM222" s="246"/>
      <c r="AN222" s="246"/>
      <c r="AO222" s="246"/>
      <c r="AP222" s="246"/>
      <c r="AQ222" s="246"/>
      <c r="AR222" s="246"/>
      <c r="AS222" s="246"/>
      <c r="AT222" s="246"/>
      <c r="AU222" s="246"/>
      <c r="AV222" s="246"/>
      <c r="AW222" s="246"/>
      <c r="AX222" s="246"/>
      <c r="AY222" s="246"/>
      <c r="AZ222" s="246"/>
      <c r="BA222" s="246"/>
      <c r="BB222" s="246"/>
      <c r="BC222" s="246"/>
      <c r="BD222" s="246"/>
      <c r="BE222" s="246"/>
      <c r="BF222" s="246"/>
      <c r="BG222" s="246"/>
      <c r="BH222" s="246"/>
      <c r="BI222" s="246"/>
      <c r="BJ222" s="246"/>
      <c r="BK222" s="246"/>
      <c r="BL222" s="246"/>
    </row>
    <row r="223" ht="15.75" customHeight="1">
      <c r="A223" s="246"/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  <c r="AF223" s="246"/>
      <c r="AG223" s="246"/>
      <c r="AH223" s="246"/>
      <c r="AI223" s="246"/>
      <c r="AJ223" s="246"/>
      <c r="AK223" s="246"/>
      <c r="AL223" s="246"/>
      <c r="AM223" s="246"/>
      <c r="AN223" s="246"/>
      <c r="AO223" s="246"/>
      <c r="AP223" s="246"/>
      <c r="AQ223" s="246"/>
      <c r="AR223" s="246"/>
      <c r="AS223" s="246"/>
      <c r="AT223" s="246"/>
      <c r="AU223" s="246"/>
      <c r="AV223" s="246"/>
      <c r="AW223" s="246"/>
      <c r="AX223" s="246"/>
      <c r="AY223" s="246"/>
      <c r="AZ223" s="246"/>
      <c r="BA223" s="246"/>
      <c r="BB223" s="246"/>
      <c r="BC223" s="246"/>
      <c r="BD223" s="246"/>
      <c r="BE223" s="246"/>
      <c r="BF223" s="246"/>
      <c r="BG223" s="246"/>
      <c r="BH223" s="246"/>
      <c r="BI223" s="246"/>
      <c r="BJ223" s="246"/>
      <c r="BK223" s="246"/>
      <c r="BL223" s="246"/>
    </row>
    <row r="224" ht="15.75" customHeight="1">
      <c r="A224" s="246"/>
      <c r="B224" s="246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  <c r="AF224" s="246"/>
      <c r="AG224" s="246"/>
      <c r="AH224" s="246"/>
      <c r="AI224" s="246"/>
      <c r="AJ224" s="246"/>
      <c r="AK224" s="246"/>
      <c r="AL224" s="246"/>
      <c r="AM224" s="246"/>
      <c r="AN224" s="246"/>
      <c r="AO224" s="246"/>
      <c r="AP224" s="246"/>
      <c r="AQ224" s="246"/>
      <c r="AR224" s="246"/>
      <c r="AS224" s="246"/>
      <c r="AT224" s="246"/>
      <c r="AU224" s="246"/>
      <c r="AV224" s="246"/>
      <c r="AW224" s="246"/>
      <c r="AX224" s="246"/>
      <c r="AY224" s="246"/>
      <c r="AZ224" s="246"/>
      <c r="BA224" s="246"/>
      <c r="BB224" s="246"/>
      <c r="BC224" s="246"/>
      <c r="BD224" s="246"/>
      <c r="BE224" s="246"/>
      <c r="BF224" s="246"/>
      <c r="BG224" s="246"/>
      <c r="BH224" s="246"/>
      <c r="BI224" s="246"/>
      <c r="BJ224" s="246"/>
      <c r="BK224" s="246"/>
      <c r="BL224" s="246"/>
    </row>
    <row r="225" ht="15.75" customHeight="1">
      <c r="A225" s="246"/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  <c r="AF225" s="246"/>
      <c r="AG225" s="246"/>
      <c r="AH225" s="246"/>
      <c r="AI225" s="246"/>
      <c r="AJ225" s="246"/>
      <c r="AK225" s="246"/>
      <c r="AL225" s="246"/>
      <c r="AM225" s="246"/>
      <c r="AN225" s="246"/>
      <c r="AO225" s="246"/>
      <c r="AP225" s="246"/>
      <c r="AQ225" s="246"/>
      <c r="AR225" s="246"/>
      <c r="AS225" s="246"/>
      <c r="AT225" s="246"/>
      <c r="AU225" s="246"/>
      <c r="AV225" s="246"/>
      <c r="AW225" s="246"/>
      <c r="AX225" s="246"/>
      <c r="AY225" s="246"/>
      <c r="AZ225" s="246"/>
      <c r="BA225" s="246"/>
      <c r="BB225" s="246"/>
      <c r="BC225" s="246"/>
      <c r="BD225" s="246"/>
      <c r="BE225" s="246"/>
      <c r="BF225" s="246"/>
      <c r="BG225" s="246"/>
      <c r="BH225" s="246"/>
      <c r="BI225" s="246"/>
      <c r="BJ225" s="246"/>
      <c r="BK225" s="246"/>
      <c r="BL225" s="246"/>
    </row>
    <row r="226" ht="15.75" customHeight="1">
      <c r="A226" s="246"/>
      <c r="B226" s="246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  <c r="AB226" s="246"/>
      <c r="AC226" s="246"/>
      <c r="AD226" s="246"/>
      <c r="AE226" s="246"/>
      <c r="AF226" s="246"/>
      <c r="AG226" s="246"/>
      <c r="AH226" s="246"/>
      <c r="AI226" s="246"/>
      <c r="AJ226" s="246"/>
      <c r="AK226" s="246"/>
      <c r="AL226" s="246"/>
      <c r="AM226" s="246"/>
      <c r="AN226" s="246"/>
      <c r="AO226" s="246"/>
      <c r="AP226" s="246"/>
      <c r="AQ226" s="246"/>
      <c r="AR226" s="246"/>
      <c r="AS226" s="246"/>
      <c r="AT226" s="246"/>
      <c r="AU226" s="246"/>
      <c r="AV226" s="246"/>
      <c r="AW226" s="246"/>
      <c r="AX226" s="246"/>
      <c r="AY226" s="246"/>
      <c r="AZ226" s="246"/>
      <c r="BA226" s="246"/>
      <c r="BB226" s="246"/>
      <c r="BC226" s="246"/>
      <c r="BD226" s="246"/>
      <c r="BE226" s="246"/>
      <c r="BF226" s="246"/>
      <c r="BG226" s="246"/>
      <c r="BH226" s="246"/>
      <c r="BI226" s="246"/>
      <c r="BJ226" s="246"/>
      <c r="BK226" s="246"/>
      <c r="BL226" s="246"/>
    </row>
    <row r="227" ht="15.75" customHeight="1">
      <c r="A227" s="246"/>
      <c r="B227" s="246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  <c r="AD227" s="246"/>
      <c r="AE227" s="246"/>
      <c r="AF227" s="246"/>
      <c r="AG227" s="246"/>
      <c r="AH227" s="246"/>
      <c r="AI227" s="246"/>
      <c r="AJ227" s="246"/>
      <c r="AK227" s="246"/>
      <c r="AL227" s="246"/>
      <c r="AM227" s="246"/>
      <c r="AN227" s="246"/>
      <c r="AO227" s="246"/>
      <c r="AP227" s="246"/>
      <c r="AQ227" s="246"/>
      <c r="AR227" s="246"/>
      <c r="AS227" s="246"/>
      <c r="AT227" s="246"/>
      <c r="AU227" s="246"/>
      <c r="AV227" s="246"/>
      <c r="AW227" s="246"/>
      <c r="AX227" s="246"/>
      <c r="AY227" s="246"/>
      <c r="AZ227" s="246"/>
      <c r="BA227" s="246"/>
      <c r="BB227" s="246"/>
      <c r="BC227" s="246"/>
      <c r="BD227" s="246"/>
      <c r="BE227" s="246"/>
      <c r="BF227" s="246"/>
      <c r="BG227" s="246"/>
      <c r="BH227" s="246"/>
      <c r="BI227" s="246"/>
      <c r="BJ227" s="246"/>
      <c r="BK227" s="246"/>
      <c r="BL227" s="246"/>
    </row>
    <row r="228" ht="15.75" customHeight="1">
      <c r="A228" s="246"/>
      <c r="B228" s="246"/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  <c r="AF228" s="246"/>
      <c r="AG228" s="246"/>
      <c r="AH228" s="246"/>
      <c r="AI228" s="246"/>
      <c r="AJ228" s="246"/>
      <c r="AK228" s="246"/>
      <c r="AL228" s="246"/>
      <c r="AM228" s="246"/>
      <c r="AN228" s="246"/>
      <c r="AO228" s="246"/>
      <c r="AP228" s="246"/>
      <c r="AQ228" s="246"/>
      <c r="AR228" s="246"/>
      <c r="AS228" s="246"/>
      <c r="AT228" s="246"/>
      <c r="AU228" s="246"/>
      <c r="AV228" s="246"/>
      <c r="AW228" s="246"/>
      <c r="AX228" s="246"/>
      <c r="AY228" s="246"/>
      <c r="AZ228" s="246"/>
      <c r="BA228" s="246"/>
      <c r="BB228" s="246"/>
      <c r="BC228" s="246"/>
      <c r="BD228" s="246"/>
      <c r="BE228" s="246"/>
      <c r="BF228" s="246"/>
      <c r="BG228" s="246"/>
      <c r="BH228" s="246"/>
      <c r="BI228" s="246"/>
      <c r="BJ228" s="246"/>
      <c r="BK228" s="246"/>
      <c r="BL228" s="246"/>
    </row>
    <row r="229" ht="15.75" customHeight="1">
      <c r="A229" s="246"/>
      <c r="B229" s="246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  <c r="AF229" s="246"/>
      <c r="AG229" s="246"/>
      <c r="AH229" s="246"/>
      <c r="AI229" s="246"/>
      <c r="AJ229" s="246"/>
      <c r="AK229" s="246"/>
      <c r="AL229" s="246"/>
      <c r="AM229" s="246"/>
      <c r="AN229" s="246"/>
      <c r="AO229" s="246"/>
      <c r="AP229" s="246"/>
      <c r="AQ229" s="246"/>
      <c r="AR229" s="246"/>
      <c r="AS229" s="246"/>
      <c r="AT229" s="246"/>
      <c r="AU229" s="246"/>
      <c r="AV229" s="246"/>
      <c r="AW229" s="246"/>
      <c r="AX229" s="246"/>
      <c r="AY229" s="246"/>
      <c r="AZ229" s="246"/>
      <c r="BA229" s="246"/>
      <c r="BB229" s="246"/>
      <c r="BC229" s="246"/>
      <c r="BD229" s="246"/>
      <c r="BE229" s="246"/>
      <c r="BF229" s="246"/>
      <c r="BG229" s="246"/>
      <c r="BH229" s="246"/>
      <c r="BI229" s="246"/>
      <c r="BJ229" s="246"/>
      <c r="BK229" s="246"/>
      <c r="BL229" s="246"/>
    </row>
    <row r="230" ht="15.75" customHeight="1">
      <c r="A230" s="246"/>
      <c r="B230" s="246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  <c r="AB230" s="246"/>
      <c r="AC230" s="246"/>
      <c r="AD230" s="246"/>
      <c r="AE230" s="246"/>
      <c r="AF230" s="246"/>
      <c r="AG230" s="246"/>
      <c r="AH230" s="246"/>
      <c r="AI230" s="246"/>
      <c r="AJ230" s="246"/>
      <c r="AK230" s="246"/>
      <c r="AL230" s="246"/>
      <c r="AM230" s="246"/>
      <c r="AN230" s="246"/>
      <c r="AO230" s="246"/>
      <c r="AP230" s="246"/>
      <c r="AQ230" s="246"/>
      <c r="AR230" s="246"/>
      <c r="AS230" s="246"/>
      <c r="AT230" s="246"/>
      <c r="AU230" s="246"/>
      <c r="AV230" s="246"/>
      <c r="AW230" s="246"/>
      <c r="AX230" s="246"/>
      <c r="AY230" s="246"/>
      <c r="AZ230" s="246"/>
      <c r="BA230" s="246"/>
      <c r="BB230" s="246"/>
      <c r="BC230" s="246"/>
      <c r="BD230" s="246"/>
      <c r="BE230" s="246"/>
      <c r="BF230" s="246"/>
      <c r="BG230" s="246"/>
      <c r="BH230" s="246"/>
      <c r="BI230" s="246"/>
      <c r="BJ230" s="246"/>
      <c r="BK230" s="246"/>
      <c r="BL230" s="246"/>
    </row>
    <row r="231" ht="15.75" customHeight="1">
      <c r="A231" s="246"/>
      <c r="B231" s="246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  <c r="AD231" s="246"/>
      <c r="AE231" s="246"/>
      <c r="AF231" s="246"/>
      <c r="AG231" s="246"/>
      <c r="AH231" s="246"/>
      <c r="AI231" s="246"/>
      <c r="AJ231" s="246"/>
      <c r="AK231" s="246"/>
      <c r="AL231" s="246"/>
      <c r="AM231" s="246"/>
      <c r="AN231" s="246"/>
      <c r="AO231" s="246"/>
      <c r="AP231" s="246"/>
      <c r="AQ231" s="246"/>
      <c r="AR231" s="246"/>
      <c r="AS231" s="246"/>
      <c r="AT231" s="246"/>
      <c r="AU231" s="246"/>
      <c r="AV231" s="246"/>
      <c r="AW231" s="246"/>
      <c r="AX231" s="246"/>
      <c r="AY231" s="246"/>
      <c r="AZ231" s="246"/>
      <c r="BA231" s="246"/>
      <c r="BB231" s="246"/>
      <c r="BC231" s="246"/>
      <c r="BD231" s="246"/>
      <c r="BE231" s="246"/>
      <c r="BF231" s="246"/>
      <c r="BG231" s="246"/>
      <c r="BH231" s="246"/>
      <c r="BI231" s="246"/>
      <c r="BJ231" s="246"/>
      <c r="BK231" s="246"/>
      <c r="BL231" s="246"/>
    </row>
    <row r="232" ht="15.75" customHeight="1">
      <c r="A232" s="246"/>
      <c r="B232" s="246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  <c r="AF232" s="246"/>
      <c r="AG232" s="246"/>
      <c r="AH232" s="246"/>
      <c r="AI232" s="246"/>
      <c r="AJ232" s="246"/>
      <c r="AK232" s="246"/>
      <c r="AL232" s="246"/>
      <c r="AM232" s="246"/>
      <c r="AN232" s="246"/>
      <c r="AO232" s="246"/>
      <c r="AP232" s="246"/>
      <c r="AQ232" s="246"/>
      <c r="AR232" s="246"/>
      <c r="AS232" s="246"/>
      <c r="AT232" s="246"/>
      <c r="AU232" s="246"/>
      <c r="AV232" s="246"/>
      <c r="AW232" s="246"/>
      <c r="AX232" s="246"/>
      <c r="AY232" s="246"/>
      <c r="AZ232" s="246"/>
      <c r="BA232" s="246"/>
      <c r="BB232" s="246"/>
      <c r="BC232" s="246"/>
      <c r="BD232" s="246"/>
      <c r="BE232" s="246"/>
      <c r="BF232" s="246"/>
      <c r="BG232" s="246"/>
      <c r="BH232" s="246"/>
      <c r="BI232" s="246"/>
      <c r="BJ232" s="246"/>
      <c r="BK232" s="246"/>
      <c r="BL232" s="246"/>
    </row>
    <row r="233" ht="15.75" customHeight="1">
      <c r="A233" s="246"/>
      <c r="B233" s="246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  <c r="AD233" s="246"/>
      <c r="AE233" s="246"/>
      <c r="AF233" s="246"/>
      <c r="AG233" s="246"/>
      <c r="AH233" s="246"/>
      <c r="AI233" s="246"/>
      <c r="AJ233" s="246"/>
      <c r="AK233" s="246"/>
      <c r="AL233" s="246"/>
      <c r="AM233" s="246"/>
      <c r="AN233" s="246"/>
      <c r="AO233" s="246"/>
      <c r="AP233" s="246"/>
      <c r="AQ233" s="246"/>
      <c r="AR233" s="246"/>
      <c r="AS233" s="246"/>
      <c r="AT233" s="246"/>
      <c r="AU233" s="246"/>
      <c r="AV233" s="246"/>
      <c r="AW233" s="246"/>
      <c r="AX233" s="246"/>
      <c r="AY233" s="246"/>
      <c r="AZ233" s="246"/>
      <c r="BA233" s="246"/>
      <c r="BB233" s="246"/>
      <c r="BC233" s="246"/>
      <c r="BD233" s="246"/>
      <c r="BE233" s="246"/>
      <c r="BF233" s="246"/>
      <c r="BG233" s="246"/>
      <c r="BH233" s="246"/>
      <c r="BI233" s="246"/>
      <c r="BJ233" s="246"/>
      <c r="BK233" s="246"/>
      <c r="BL233" s="246"/>
    </row>
    <row r="234" ht="15.75" customHeight="1">
      <c r="A234" s="246"/>
      <c r="B234" s="246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  <c r="AB234" s="246"/>
      <c r="AC234" s="246"/>
      <c r="AD234" s="246"/>
      <c r="AE234" s="246"/>
      <c r="AF234" s="246"/>
      <c r="AG234" s="246"/>
      <c r="AH234" s="246"/>
      <c r="AI234" s="246"/>
      <c r="AJ234" s="246"/>
      <c r="AK234" s="246"/>
      <c r="AL234" s="246"/>
      <c r="AM234" s="246"/>
      <c r="AN234" s="246"/>
      <c r="AO234" s="246"/>
      <c r="AP234" s="246"/>
      <c r="AQ234" s="246"/>
      <c r="AR234" s="246"/>
      <c r="AS234" s="246"/>
      <c r="AT234" s="246"/>
      <c r="AU234" s="246"/>
      <c r="AV234" s="246"/>
      <c r="AW234" s="246"/>
      <c r="AX234" s="246"/>
      <c r="AY234" s="246"/>
      <c r="AZ234" s="246"/>
      <c r="BA234" s="246"/>
      <c r="BB234" s="246"/>
      <c r="BC234" s="246"/>
      <c r="BD234" s="246"/>
      <c r="BE234" s="246"/>
      <c r="BF234" s="246"/>
      <c r="BG234" s="246"/>
      <c r="BH234" s="246"/>
      <c r="BI234" s="246"/>
      <c r="BJ234" s="246"/>
      <c r="BK234" s="246"/>
      <c r="BL234" s="246"/>
    </row>
    <row r="235" ht="15.75" customHeight="1">
      <c r="A235" s="246"/>
      <c r="B235" s="246"/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  <c r="AB235" s="246"/>
      <c r="AC235" s="246"/>
      <c r="AD235" s="246"/>
      <c r="AE235" s="246"/>
      <c r="AF235" s="246"/>
      <c r="AG235" s="246"/>
      <c r="AH235" s="246"/>
      <c r="AI235" s="246"/>
      <c r="AJ235" s="246"/>
      <c r="AK235" s="246"/>
      <c r="AL235" s="246"/>
      <c r="AM235" s="246"/>
      <c r="AN235" s="246"/>
      <c r="AO235" s="246"/>
      <c r="AP235" s="246"/>
      <c r="AQ235" s="246"/>
      <c r="AR235" s="246"/>
      <c r="AS235" s="246"/>
      <c r="AT235" s="246"/>
      <c r="AU235" s="246"/>
      <c r="AV235" s="246"/>
      <c r="AW235" s="246"/>
      <c r="AX235" s="246"/>
      <c r="AY235" s="246"/>
      <c r="AZ235" s="246"/>
      <c r="BA235" s="246"/>
      <c r="BB235" s="246"/>
      <c r="BC235" s="246"/>
      <c r="BD235" s="246"/>
      <c r="BE235" s="246"/>
      <c r="BF235" s="246"/>
      <c r="BG235" s="246"/>
      <c r="BH235" s="246"/>
      <c r="BI235" s="246"/>
      <c r="BJ235" s="246"/>
      <c r="BK235" s="246"/>
      <c r="BL235" s="246"/>
    </row>
    <row r="236" ht="15.75" customHeight="1">
      <c r="A236" s="246"/>
      <c r="B236" s="246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  <c r="AB236" s="246"/>
      <c r="AC236" s="246"/>
      <c r="AD236" s="246"/>
      <c r="AE236" s="246"/>
      <c r="AF236" s="246"/>
      <c r="AG236" s="246"/>
      <c r="AH236" s="246"/>
      <c r="AI236" s="246"/>
      <c r="AJ236" s="246"/>
      <c r="AK236" s="246"/>
      <c r="AL236" s="246"/>
      <c r="AM236" s="246"/>
      <c r="AN236" s="246"/>
      <c r="AO236" s="246"/>
      <c r="AP236" s="246"/>
      <c r="AQ236" s="246"/>
      <c r="AR236" s="246"/>
      <c r="AS236" s="246"/>
      <c r="AT236" s="246"/>
      <c r="AU236" s="246"/>
      <c r="AV236" s="246"/>
      <c r="AW236" s="246"/>
      <c r="AX236" s="246"/>
      <c r="AY236" s="246"/>
      <c r="AZ236" s="246"/>
      <c r="BA236" s="246"/>
      <c r="BB236" s="246"/>
      <c r="BC236" s="246"/>
      <c r="BD236" s="246"/>
      <c r="BE236" s="246"/>
      <c r="BF236" s="246"/>
      <c r="BG236" s="246"/>
      <c r="BH236" s="246"/>
      <c r="BI236" s="246"/>
      <c r="BJ236" s="246"/>
      <c r="BK236" s="246"/>
      <c r="BL236" s="246"/>
    </row>
    <row r="237" ht="15.75" customHeight="1">
      <c r="A237" s="246"/>
      <c r="B237" s="246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  <c r="AB237" s="246"/>
      <c r="AC237" s="246"/>
      <c r="AD237" s="246"/>
      <c r="AE237" s="246"/>
      <c r="AF237" s="246"/>
      <c r="AG237" s="246"/>
      <c r="AH237" s="246"/>
      <c r="AI237" s="246"/>
      <c r="AJ237" s="246"/>
      <c r="AK237" s="246"/>
      <c r="AL237" s="246"/>
      <c r="AM237" s="246"/>
      <c r="AN237" s="246"/>
      <c r="AO237" s="246"/>
      <c r="AP237" s="246"/>
      <c r="AQ237" s="246"/>
      <c r="AR237" s="246"/>
      <c r="AS237" s="246"/>
      <c r="AT237" s="246"/>
      <c r="AU237" s="246"/>
      <c r="AV237" s="246"/>
      <c r="AW237" s="246"/>
      <c r="AX237" s="246"/>
      <c r="AY237" s="246"/>
      <c r="AZ237" s="246"/>
      <c r="BA237" s="246"/>
      <c r="BB237" s="246"/>
      <c r="BC237" s="246"/>
      <c r="BD237" s="246"/>
      <c r="BE237" s="246"/>
      <c r="BF237" s="246"/>
      <c r="BG237" s="246"/>
      <c r="BH237" s="246"/>
      <c r="BI237" s="246"/>
      <c r="BJ237" s="246"/>
      <c r="BK237" s="246"/>
      <c r="BL237" s="246"/>
    </row>
    <row r="238" ht="15.75" customHeight="1">
      <c r="A238" s="246"/>
      <c r="B238" s="246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  <c r="AB238" s="246"/>
      <c r="AC238" s="246"/>
      <c r="AD238" s="246"/>
      <c r="AE238" s="246"/>
      <c r="AF238" s="246"/>
      <c r="AG238" s="246"/>
      <c r="AH238" s="246"/>
      <c r="AI238" s="246"/>
      <c r="AJ238" s="246"/>
      <c r="AK238" s="246"/>
      <c r="AL238" s="246"/>
      <c r="AM238" s="246"/>
      <c r="AN238" s="246"/>
      <c r="AO238" s="246"/>
      <c r="AP238" s="246"/>
      <c r="AQ238" s="246"/>
      <c r="AR238" s="246"/>
      <c r="AS238" s="246"/>
      <c r="AT238" s="246"/>
      <c r="AU238" s="246"/>
      <c r="AV238" s="246"/>
      <c r="AW238" s="246"/>
      <c r="AX238" s="246"/>
      <c r="AY238" s="246"/>
      <c r="AZ238" s="246"/>
      <c r="BA238" s="246"/>
      <c r="BB238" s="246"/>
      <c r="BC238" s="246"/>
      <c r="BD238" s="246"/>
      <c r="BE238" s="246"/>
      <c r="BF238" s="246"/>
      <c r="BG238" s="246"/>
      <c r="BH238" s="246"/>
      <c r="BI238" s="246"/>
      <c r="BJ238" s="246"/>
      <c r="BK238" s="246"/>
      <c r="BL238" s="246"/>
    </row>
    <row r="239" ht="15.75" customHeight="1">
      <c r="A239" s="246"/>
      <c r="B239" s="246"/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  <c r="AB239" s="246"/>
      <c r="AC239" s="246"/>
      <c r="AD239" s="246"/>
      <c r="AE239" s="246"/>
      <c r="AF239" s="246"/>
      <c r="AG239" s="246"/>
      <c r="AH239" s="246"/>
      <c r="AI239" s="246"/>
      <c r="AJ239" s="246"/>
      <c r="AK239" s="246"/>
      <c r="AL239" s="246"/>
      <c r="AM239" s="246"/>
      <c r="AN239" s="246"/>
      <c r="AO239" s="246"/>
      <c r="AP239" s="246"/>
      <c r="AQ239" s="246"/>
      <c r="AR239" s="246"/>
      <c r="AS239" s="246"/>
      <c r="AT239" s="246"/>
      <c r="AU239" s="246"/>
      <c r="AV239" s="246"/>
      <c r="AW239" s="246"/>
      <c r="AX239" s="246"/>
      <c r="AY239" s="246"/>
      <c r="AZ239" s="246"/>
      <c r="BA239" s="246"/>
      <c r="BB239" s="246"/>
      <c r="BC239" s="246"/>
      <c r="BD239" s="246"/>
      <c r="BE239" s="246"/>
      <c r="BF239" s="246"/>
      <c r="BG239" s="246"/>
      <c r="BH239" s="246"/>
      <c r="BI239" s="246"/>
      <c r="BJ239" s="246"/>
      <c r="BK239" s="246"/>
      <c r="BL239" s="246"/>
    </row>
    <row r="240" ht="15.75" customHeight="1">
      <c r="A240" s="246"/>
      <c r="B240" s="246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  <c r="AB240" s="246"/>
      <c r="AC240" s="246"/>
      <c r="AD240" s="246"/>
      <c r="AE240" s="246"/>
      <c r="AF240" s="246"/>
      <c r="AG240" s="246"/>
      <c r="AH240" s="246"/>
      <c r="AI240" s="246"/>
      <c r="AJ240" s="246"/>
      <c r="AK240" s="246"/>
      <c r="AL240" s="246"/>
      <c r="AM240" s="246"/>
      <c r="AN240" s="246"/>
      <c r="AO240" s="246"/>
      <c r="AP240" s="246"/>
      <c r="AQ240" s="246"/>
      <c r="AR240" s="246"/>
      <c r="AS240" s="246"/>
      <c r="AT240" s="246"/>
      <c r="AU240" s="246"/>
      <c r="AV240" s="246"/>
      <c r="AW240" s="246"/>
      <c r="AX240" s="246"/>
      <c r="AY240" s="246"/>
      <c r="AZ240" s="246"/>
      <c r="BA240" s="246"/>
      <c r="BB240" s="246"/>
      <c r="BC240" s="246"/>
      <c r="BD240" s="246"/>
      <c r="BE240" s="246"/>
      <c r="BF240" s="246"/>
      <c r="BG240" s="246"/>
      <c r="BH240" s="246"/>
      <c r="BI240" s="246"/>
      <c r="BJ240" s="246"/>
      <c r="BK240" s="246"/>
      <c r="BL240" s="246"/>
    </row>
    <row r="241" ht="15.75" customHeight="1">
      <c r="A241" s="246"/>
      <c r="B241" s="246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  <c r="AB241" s="246"/>
      <c r="AC241" s="246"/>
      <c r="AD241" s="246"/>
      <c r="AE241" s="246"/>
      <c r="AF241" s="246"/>
      <c r="AG241" s="246"/>
      <c r="AH241" s="246"/>
      <c r="AI241" s="246"/>
      <c r="AJ241" s="246"/>
      <c r="AK241" s="246"/>
      <c r="AL241" s="246"/>
      <c r="AM241" s="246"/>
      <c r="AN241" s="246"/>
      <c r="AO241" s="246"/>
      <c r="AP241" s="246"/>
      <c r="AQ241" s="246"/>
      <c r="AR241" s="246"/>
      <c r="AS241" s="246"/>
      <c r="AT241" s="246"/>
      <c r="AU241" s="246"/>
      <c r="AV241" s="246"/>
      <c r="AW241" s="246"/>
      <c r="AX241" s="246"/>
      <c r="AY241" s="246"/>
      <c r="AZ241" s="246"/>
      <c r="BA241" s="246"/>
      <c r="BB241" s="246"/>
      <c r="BC241" s="246"/>
      <c r="BD241" s="246"/>
      <c r="BE241" s="246"/>
      <c r="BF241" s="246"/>
      <c r="BG241" s="246"/>
      <c r="BH241" s="246"/>
      <c r="BI241" s="246"/>
      <c r="BJ241" s="246"/>
      <c r="BK241" s="246"/>
      <c r="BL241" s="246"/>
    </row>
    <row r="242" ht="15.75" customHeight="1">
      <c r="A242" s="246"/>
      <c r="B242" s="246"/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  <c r="AB242" s="246"/>
      <c r="AC242" s="246"/>
      <c r="AD242" s="246"/>
      <c r="AE242" s="246"/>
      <c r="AF242" s="246"/>
      <c r="AG242" s="246"/>
      <c r="AH242" s="246"/>
      <c r="AI242" s="246"/>
      <c r="AJ242" s="246"/>
      <c r="AK242" s="246"/>
      <c r="AL242" s="246"/>
      <c r="AM242" s="246"/>
      <c r="AN242" s="246"/>
      <c r="AO242" s="246"/>
      <c r="AP242" s="246"/>
      <c r="AQ242" s="246"/>
      <c r="AR242" s="246"/>
      <c r="AS242" s="246"/>
      <c r="AT242" s="246"/>
      <c r="AU242" s="246"/>
      <c r="AV242" s="246"/>
      <c r="AW242" s="246"/>
      <c r="AX242" s="246"/>
      <c r="AY242" s="246"/>
      <c r="AZ242" s="246"/>
      <c r="BA242" s="246"/>
      <c r="BB242" s="246"/>
      <c r="BC242" s="246"/>
      <c r="BD242" s="246"/>
      <c r="BE242" s="246"/>
      <c r="BF242" s="246"/>
      <c r="BG242" s="246"/>
      <c r="BH242" s="246"/>
      <c r="BI242" s="246"/>
      <c r="BJ242" s="246"/>
      <c r="BK242" s="246"/>
      <c r="BL242" s="246"/>
    </row>
    <row r="243" ht="15.75" customHeight="1">
      <c r="A243" s="246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  <c r="AB243" s="246"/>
      <c r="AC243" s="246"/>
      <c r="AD243" s="246"/>
      <c r="AE243" s="246"/>
      <c r="AF243" s="246"/>
      <c r="AG243" s="246"/>
      <c r="AH243" s="246"/>
      <c r="AI243" s="246"/>
      <c r="AJ243" s="246"/>
      <c r="AK243" s="246"/>
      <c r="AL243" s="246"/>
      <c r="AM243" s="246"/>
      <c r="AN243" s="246"/>
      <c r="AO243" s="246"/>
      <c r="AP243" s="246"/>
      <c r="AQ243" s="246"/>
      <c r="AR243" s="246"/>
      <c r="AS243" s="246"/>
      <c r="AT243" s="246"/>
      <c r="AU243" s="246"/>
      <c r="AV243" s="246"/>
      <c r="AW243" s="246"/>
      <c r="AX243" s="246"/>
      <c r="AY243" s="246"/>
      <c r="AZ243" s="246"/>
      <c r="BA243" s="246"/>
      <c r="BB243" s="246"/>
      <c r="BC243" s="246"/>
      <c r="BD243" s="246"/>
      <c r="BE243" s="246"/>
      <c r="BF243" s="246"/>
      <c r="BG243" s="246"/>
      <c r="BH243" s="246"/>
      <c r="BI243" s="246"/>
      <c r="BJ243" s="246"/>
      <c r="BK243" s="246"/>
      <c r="BL243" s="246"/>
    </row>
    <row r="244" ht="15.75" customHeight="1">
      <c r="A244" s="246"/>
      <c r="B244" s="246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  <c r="AA244" s="246"/>
      <c r="AB244" s="246"/>
      <c r="AC244" s="246"/>
      <c r="AD244" s="246"/>
      <c r="AE244" s="246"/>
      <c r="AF244" s="246"/>
      <c r="AG244" s="246"/>
      <c r="AH244" s="246"/>
      <c r="AI244" s="246"/>
      <c r="AJ244" s="246"/>
      <c r="AK244" s="246"/>
      <c r="AL244" s="246"/>
      <c r="AM244" s="246"/>
      <c r="AN244" s="246"/>
      <c r="AO244" s="246"/>
      <c r="AP244" s="246"/>
      <c r="AQ244" s="246"/>
      <c r="AR244" s="246"/>
      <c r="AS244" s="246"/>
      <c r="AT244" s="246"/>
      <c r="AU244" s="246"/>
      <c r="AV244" s="246"/>
      <c r="AW244" s="246"/>
      <c r="AX244" s="246"/>
      <c r="AY244" s="246"/>
      <c r="AZ244" s="246"/>
      <c r="BA244" s="246"/>
      <c r="BB244" s="246"/>
      <c r="BC244" s="246"/>
      <c r="BD244" s="246"/>
      <c r="BE244" s="246"/>
      <c r="BF244" s="246"/>
      <c r="BG244" s="246"/>
      <c r="BH244" s="246"/>
      <c r="BI244" s="246"/>
      <c r="BJ244" s="246"/>
      <c r="BK244" s="246"/>
      <c r="BL244" s="246"/>
    </row>
    <row r="245" ht="15.75" customHeight="1">
      <c r="A245" s="246"/>
      <c r="B245" s="246"/>
      <c r="C245" s="246"/>
      <c r="D245" s="246"/>
      <c r="E245" s="246"/>
      <c r="F245" s="246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246"/>
      <c r="S245" s="246"/>
      <c r="T245" s="246"/>
      <c r="U245" s="246"/>
      <c r="V245" s="246"/>
      <c r="W245" s="246"/>
      <c r="X245" s="246"/>
      <c r="Y245" s="246"/>
      <c r="Z245" s="246"/>
      <c r="AA245" s="246"/>
      <c r="AB245" s="246"/>
      <c r="AC245" s="246"/>
      <c r="AD245" s="246"/>
      <c r="AE245" s="246"/>
      <c r="AF245" s="246"/>
      <c r="AG245" s="246"/>
      <c r="AH245" s="246"/>
      <c r="AI245" s="246"/>
      <c r="AJ245" s="246"/>
      <c r="AK245" s="246"/>
      <c r="AL245" s="246"/>
      <c r="AM245" s="246"/>
      <c r="AN245" s="246"/>
      <c r="AO245" s="246"/>
      <c r="AP245" s="246"/>
      <c r="AQ245" s="246"/>
      <c r="AR245" s="246"/>
      <c r="AS245" s="246"/>
      <c r="AT245" s="246"/>
      <c r="AU245" s="246"/>
      <c r="AV245" s="246"/>
      <c r="AW245" s="246"/>
      <c r="AX245" s="246"/>
      <c r="AY245" s="246"/>
      <c r="AZ245" s="246"/>
      <c r="BA245" s="246"/>
      <c r="BB245" s="246"/>
      <c r="BC245" s="246"/>
      <c r="BD245" s="246"/>
      <c r="BE245" s="246"/>
      <c r="BF245" s="246"/>
      <c r="BG245" s="246"/>
      <c r="BH245" s="246"/>
      <c r="BI245" s="246"/>
      <c r="BJ245" s="246"/>
      <c r="BK245" s="246"/>
      <c r="BL245" s="246"/>
    </row>
    <row r="246" ht="15.75" customHeight="1">
      <c r="A246" s="246"/>
      <c r="B246" s="246"/>
      <c r="C246" s="246"/>
      <c r="D246" s="246"/>
      <c r="E246" s="246"/>
      <c r="F246" s="246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246"/>
      <c r="S246" s="246"/>
      <c r="T246" s="246"/>
      <c r="U246" s="246"/>
      <c r="V246" s="246"/>
      <c r="W246" s="246"/>
      <c r="X246" s="246"/>
      <c r="Y246" s="246"/>
      <c r="Z246" s="246"/>
      <c r="AA246" s="246"/>
      <c r="AB246" s="246"/>
      <c r="AC246" s="246"/>
      <c r="AD246" s="246"/>
      <c r="AE246" s="246"/>
      <c r="AF246" s="246"/>
      <c r="AG246" s="246"/>
      <c r="AH246" s="246"/>
      <c r="AI246" s="246"/>
      <c r="AJ246" s="246"/>
      <c r="AK246" s="246"/>
      <c r="AL246" s="246"/>
      <c r="AM246" s="246"/>
      <c r="AN246" s="246"/>
      <c r="AO246" s="246"/>
      <c r="AP246" s="246"/>
      <c r="AQ246" s="246"/>
      <c r="AR246" s="246"/>
      <c r="AS246" s="246"/>
      <c r="AT246" s="246"/>
      <c r="AU246" s="246"/>
      <c r="AV246" s="246"/>
      <c r="AW246" s="246"/>
      <c r="AX246" s="246"/>
      <c r="AY246" s="246"/>
      <c r="AZ246" s="246"/>
      <c r="BA246" s="246"/>
      <c r="BB246" s="246"/>
      <c r="BC246" s="246"/>
      <c r="BD246" s="246"/>
      <c r="BE246" s="246"/>
      <c r="BF246" s="246"/>
      <c r="BG246" s="246"/>
      <c r="BH246" s="246"/>
      <c r="BI246" s="246"/>
      <c r="BJ246" s="246"/>
      <c r="BK246" s="246"/>
      <c r="BL246" s="246"/>
    </row>
    <row r="247" ht="15.75" customHeight="1">
      <c r="A247" s="246"/>
      <c r="B247" s="246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246"/>
      <c r="S247" s="246"/>
      <c r="T247" s="246"/>
      <c r="U247" s="246"/>
      <c r="V247" s="246"/>
      <c r="W247" s="246"/>
      <c r="X247" s="246"/>
      <c r="Y247" s="246"/>
      <c r="Z247" s="246"/>
      <c r="AA247" s="246"/>
      <c r="AB247" s="246"/>
      <c r="AC247" s="246"/>
      <c r="AD247" s="246"/>
      <c r="AE247" s="246"/>
      <c r="AF247" s="246"/>
      <c r="AG247" s="246"/>
      <c r="AH247" s="246"/>
      <c r="AI247" s="246"/>
      <c r="AJ247" s="246"/>
      <c r="AK247" s="246"/>
      <c r="AL247" s="246"/>
      <c r="AM247" s="246"/>
      <c r="AN247" s="246"/>
      <c r="AO247" s="246"/>
      <c r="AP247" s="246"/>
      <c r="AQ247" s="246"/>
      <c r="AR247" s="246"/>
      <c r="AS247" s="246"/>
      <c r="AT247" s="246"/>
      <c r="AU247" s="246"/>
      <c r="AV247" s="246"/>
      <c r="AW247" s="246"/>
      <c r="AX247" s="246"/>
      <c r="AY247" s="246"/>
      <c r="AZ247" s="246"/>
      <c r="BA247" s="246"/>
      <c r="BB247" s="246"/>
      <c r="BC247" s="246"/>
      <c r="BD247" s="246"/>
      <c r="BE247" s="246"/>
      <c r="BF247" s="246"/>
      <c r="BG247" s="246"/>
      <c r="BH247" s="246"/>
      <c r="BI247" s="246"/>
      <c r="BJ247" s="246"/>
      <c r="BK247" s="246"/>
      <c r="BL247" s="246"/>
    </row>
    <row r="248" ht="15.75" customHeight="1">
      <c r="A248" s="246"/>
      <c r="B248" s="246"/>
      <c r="C248" s="246"/>
      <c r="D248" s="246"/>
      <c r="E248" s="246"/>
      <c r="F248" s="246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246"/>
      <c r="S248" s="246"/>
      <c r="T248" s="246"/>
      <c r="U248" s="246"/>
      <c r="V248" s="246"/>
      <c r="W248" s="246"/>
      <c r="X248" s="246"/>
      <c r="Y248" s="246"/>
      <c r="Z248" s="246"/>
      <c r="AA248" s="246"/>
      <c r="AB248" s="246"/>
      <c r="AC248" s="246"/>
      <c r="AD248" s="246"/>
      <c r="AE248" s="246"/>
      <c r="AF248" s="246"/>
      <c r="AG248" s="246"/>
      <c r="AH248" s="246"/>
      <c r="AI248" s="246"/>
      <c r="AJ248" s="246"/>
      <c r="AK248" s="246"/>
      <c r="AL248" s="246"/>
      <c r="AM248" s="246"/>
      <c r="AN248" s="246"/>
      <c r="AO248" s="246"/>
      <c r="AP248" s="246"/>
      <c r="AQ248" s="246"/>
      <c r="AR248" s="246"/>
      <c r="AS248" s="246"/>
      <c r="AT248" s="246"/>
      <c r="AU248" s="246"/>
      <c r="AV248" s="246"/>
      <c r="AW248" s="246"/>
      <c r="AX248" s="246"/>
      <c r="AY248" s="246"/>
      <c r="AZ248" s="246"/>
      <c r="BA248" s="246"/>
      <c r="BB248" s="246"/>
      <c r="BC248" s="246"/>
      <c r="BD248" s="246"/>
      <c r="BE248" s="246"/>
      <c r="BF248" s="246"/>
      <c r="BG248" s="246"/>
      <c r="BH248" s="246"/>
      <c r="BI248" s="246"/>
      <c r="BJ248" s="246"/>
      <c r="BK248" s="246"/>
      <c r="BL248" s="246"/>
    </row>
    <row r="249" ht="15.75" customHeight="1">
      <c r="A249" s="246"/>
      <c r="B249" s="246"/>
      <c r="C249" s="246"/>
      <c r="D249" s="246"/>
      <c r="E249" s="246"/>
      <c r="F249" s="246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246"/>
      <c r="S249" s="246"/>
      <c r="T249" s="246"/>
      <c r="U249" s="246"/>
      <c r="V249" s="246"/>
      <c r="W249" s="246"/>
      <c r="X249" s="246"/>
      <c r="Y249" s="246"/>
      <c r="Z249" s="246"/>
      <c r="AA249" s="246"/>
      <c r="AB249" s="246"/>
      <c r="AC249" s="246"/>
      <c r="AD249" s="246"/>
      <c r="AE249" s="246"/>
      <c r="AF249" s="246"/>
      <c r="AG249" s="246"/>
      <c r="AH249" s="246"/>
      <c r="AI249" s="246"/>
      <c r="AJ249" s="246"/>
      <c r="AK249" s="246"/>
      <c r="AL249" s="246"/>
      <c r="AM249" s="246"/>
      <c r="AN249" s="246"/>
      <c r="AO249" s="246"/>
      <c r="AP249" s="246"/>
      <c r="AQ249" s="246"/>
      <c r="AR249" s="246"/>
      <c r="AS249" s="246"/>
      <c r="AT249" s="246"/>
      <c r="AU249" s="246"/>
      <c r="AV249" s="246"/>
      <c r="AW249" s="246"/>
      <c r="AX249" s="246"/>
      <c r="AY249" s="246"/>
      <c r="AZ249" s="246"/>
      <c r="BA249" s="246"/>
      <c r="BB249" s="246"/>
      <c r="BC249" s="246"/>
      <c r="BD249" s="246"/>
      <c r="BE249" s="246"/>
      <c r="BF249" s="246"/>
      <c r="BG249" s="246"/>
      <c r="BH249" s="246"/>
      <c r="BI249" s="246"/>
      <c r="BJ249" s="246"/>
      <c r="BK249" s="246"/>
      <c r="BL249" s="246"/>
    </row>
    <row r="250" ht="15.75" customHeight="1">
      <c r="A250" s="246"/>
      <c r="B250" s="246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246"/>
      <c r="S250" s="246"/>
      <c r="T250" s="246"/>
      <c r="U250" s="246"/>
      <c r="V250" s="246"/>
      <c r="W250" s="246"/>
      <c r="X250" s="246"/>
      <c r="Y250" s="246"/>
      <c r="Z250" s="246"/>
      <c r="AA250" s="246"/>
      <c r="AB250" s="246"/>
      <c r="AC250" s="246"/>
      <c r="AD250" s="246"/>
      <c r="AE250" s="246"/>
      <c r="AF250" s="246"/>
      <c r="AG250" s="246"/>
      <c r="AH250" s="246"/>
      <c r="AI250" s="246"/>
      <c r="AJ250" s="246"/>
      <c r="AK250" s="246"/>
      <c r="AL250" s="246"/>
      <c r="AM250" s="246"/>
      <c r="AN250" s="246"/>
      <c r="AO250" s="246"/>
      <c r="AP250" s="246"/>
      <c r="AQ250" s="246"/>
      <c r="AR250" s="246"/>
      <c r="AS250" s="246"/>
      <c r="AT250" s="246"/>
      <c r="AU250" s="246"/>
      <c r="AV250" s="246"/>
      <c r="AW250" s="246"/>
      <c r="AX250" s="246"/>
      <c r="AY250" s="246"/>
      <c r="AZ250" s="246"/>
      <c r="BA250" s="246"/>
      <c r="BB250" s="246"/>
      <c r="BC250" s="246"/>
      <c r="BD250" s="246"/>
      <c r="BE250" s="246"/>
      <c r="BF250" s="246"/>
      <c r="BG250" s="246"/>
      <c r="BH250" s="246"/>
      <c r="BI250" s="246"/>
      <c r="BJ250" s="246"/>
      <c r="BK250" s="246"/>
      <c r="BL250" s="246"/>
    </row>
    <row r="251" ht="15.75" customHeight="1">
      <c r="A251" s="246"/>
      <c r="B251" s="246"/>
      <c r="C251" s="246"/>
      <c r="D251" s="246"/>
      <c r="E251" s="246"/>
      <c r="F251" s="246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246"/>
      <c r="S251" s="246"/>
      <c r="T251" s="246"/>
      <c r="U251" s="246"/>
      <c r="V251" s="246"/>
      <c r="W251" s="246"/>
      <c r="X251" s="246"/>
      <c r="Y251" s="246"/>
      <c r="Z251" s="246"/>
      <c r="AA251" s="246"/>
      <c r="AB251" s="246"/>
      <c r="AC251" s="246"/>
      <c r="AD251" s="246"/>
      <c r="AE251" s="246"/>
      <c r="AF251" s="246"/>
      <c r="AG251" s="246"/>
      <c r="AH251" s="246"/>
      <c r="AI251" s="246"/>
      <c r="AJ251" s="246"/>
      <c r="AK251" s="246"/>
      <c r="AL251" s="246"/>
      <c r="AM251" s="246"/>
      <c r="AN251" s="246"/>
      <c r="AO251" s="246"/>
      <c r="AP251" s="246"/>
      <c r="AQ251" s="246"/>
      <c r="AR251" s="246"/>
      <c r="AS251" s="246"/>
      <c r="AT251" s="246"/>
      <c r="AU251" s="246"/>
      <c r="AV251" s="246"/>
      <c r="AW251" s="246"/>
      <c r="AX251" s="246"/>
      <c r="AY251" s="246"/>
      <c r="AZ251" s="246"/>
      <c r="BA251" s="246"/>
      <c r="BB251" s="246"/>
      <c r="BC251" s="246"/>
      <c r="BD251" s="246"/>
      <c r="BE251" s="246"/>
      <c r="BF251" s="246"/>
      <c r="BG251" s="246"/>
      <c r="BH251" s="246"/>
      <c r="BI251" s="246"/>
      <c r="BJ251" s="246"/>
      <c r="BK251" s="246"/>
      <c r="BL251" s="246"/>
    </row>
    <row r="252" ht="15.75" customHeight="1">
      <c r="A252" s="246"/>
      <c r="B252" s="246"/>
      <c r="C252" s="246"/>
      <c r="D252" s="246"/>
      <c r="E252" s="246"/>
      <c r="F252" s="246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246"/>
      <c r="S252" s="246"/>
      <c r="T252" s="246"/>
      <c r="U252" s="246"/>
      <c r="V252" s="246"/>
      <c r="W252" s="246"/>
      <c r="X252" s="246"/>
      <c r="Y252" s="246"/>
      <c r="Z252" s="246"/>
      <c r="AA252" s="246"/>
      <c r="AB252" s="246"/>
      <c r="AC252" s="246"/>
      <c r="AD252" s="246"/>
      <c r="AE252" s="246"/>
      <c r="AF252" s="246"/>
      <c r="AG252" s="246"/>
      <c r="AH252" s="246"/>
      <c r="AI252" s="246"/>
      <c r="AJ252" s="246"/>
      <c r="AK252" s="246"/>
      <c r="AL252" s="246"/>
      <c r="AM252" s="246"/>
      <c r="AN252" s="246"/>
      <c r="AO252" s="246"/>
      <c r="AP252" s="246"/>
      <c r="AQ252" s="246"/>
      <c r="AR252" s="246"/>
      <c r="AS252" s="246"/>
      <c r="AT252" s="246"/>
      <c r="AU252" s="246"/>
      <c r="AV252" s="246"/>
      <c r="AW252" s="246"/>
      <c r="AX252" s="246"/>
      <c r="AY252" s="246"/>
      <c r="AZ252" s="246"/>
      <c r="BA252" s="246"/>
      <c r="BB252" s="246"/>
      <c r="BC252" s="246"/>
      <c r="BD252" s="246"/>
      <c r="BE252" s="246"/>
      <c r="BF252" s="246"/>
      <c r="BG252" s="246"/>
      <c r="BH252" s="246"/>
      <c r="BI252" s="246"/>
      <c r="BJ252" s="246"/>
      <c r="BK252" s="246"/>
      <c r="BL252" s="246"/>
    </row>
    <row r="253" ht="15.75" customHeight="1">
      <c r="A253" s="246"/>
      <c r="B253" s="246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6"/>
      <c r="Y253" s="246"/>
      <c r="Z253" s="246"/>
      <c r="AA253" s="246"/>
      <c r="AB253" s="246"/>
      <c r="AC253" s="246"/>
      <c r="AD253" s="246"/>
      <c r="AE253" s="246"/>
      <c r="AF253" s="246"/>
      <c r="AG253" s="246"/>
      <c r="AH253" s="246"/>
      <c r="AI253" s="246"/>
      <c r="AJ253" s="246"/>
      <c r="AK253" s="246"/>
      <c r="AL253" s="246"/>
      <c r="AM253" s="246"/>
      <c r="AN253" s="246"/>
      <c r="AO253" s="246"/>
      <c r="AP253" s="246"/>
      <c r="AQ253" s="246"/>
      <c r="AR253" s="246"/>
      <c r="AS253" s="246"/>
      <c r="AT253" s="246"/>
      <c r="AU253" s="246"/>
      <c r="AV253" s="246"/>
      <c r="AW253" s="246"/>
      <c r="AX253" s="246"/>
      <c r="AY253" s="246"/>
      <c r="AZ253" s="246"/>
      <c r="BA253" s="246"/>
      <c r="BB253" s="246"/>
      <c r="BC253" s="246"/>
      <c r="BD253" s="246"/>
      <c r="BE253" s="246"/>
      <c r="BF253" s="246"/>
      <c r="BG253" s="246"/>
      <c r="BH253" s="246"/>
      <c r="BI253" s="246"/>
      <c r="BJ253" s="246"/>
      <c r="BK253" s="246"/>
      <c r="BL253" s="246"/>
    </row>
    <row r="254" ht="15.75" customHeight="1">
      <c r="A254" s="246"/>
      <c r="B254" s="246"/>
      <c r="C254" s="246"/>
      <c r="D254" s="246"/>
      <c r="E254" s="246"/>
      <c r="F254" s="246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246"/>
      <c r="S254" s="246"/>
      <c r="T254" s="246"/>
      <c r="U254" s="246"/>
      <c r="V254" s="246"/>
      <c r="W254" s="246"/>
      <c r="X254" s="246"/>
      <c r="Y254" s="246"/>
      <c r="Z254" s="246"/>
      <c r="AA254" s="246"/>
      <c r="AB254" s="246"/>
      <c r="AC254" s="246"/>
      <c r="AD254" s="246"/>
      <c r="AE254" s="246"/>
      <c r="AF254" s="246"/>
      <c r="AG254" s="246"/>
      <c r="AH254" s="246"/>
      <c r="AI254" s="246"/>
      <c r="AJ254" s="246"/>
      <c r="AK254" s="246"/>
      <c r="AL254" s="246"/>
      <c r="AM254" s="246"/>
      <c r="AN254" s="246"/>
      <c r="AO254" s="246"/>
      <c r="AP254" s="246"/>
      <c r="AQ254" s="246"/>
      <c r="AR254" s="246"/>
      <c r="AS254" s="246"/>
      <c r="AT254" s="246"/>
      <c r="AU254" s="246"/>
      <c r="AV254" s="246"/>
      <c r="AW254" s="246"/>
      <c r="AX254" s="246"/>
      <c r="AY254" s="246"/>
      <c r="AZ254" s="246"/>
      <c r="BA254" s="246"/>
      <c r="BB254" s="246"/>
      <c r="BC254" s="246"/>
      <c r="BD254" s="246"/>
      <c r="BE254" s="246"/>
      <c r="BF254" s="246"/>
      <c r="BG254" s="246"/>
      <c r="BH254" s="246"/>
      <c r="BI254" s="246"/>
      <c r="BJ254" s="246"/>
      <c r="BK254" s="246"/>
      <c r="BL254" s="246"/>
    </row>
    <row r="255" ht="15.75" customHeight="1">
      <c r="A255" s="246"/>
      <c r="B255" s="246"/>
      <c r="C255" s="246"/>
      <c r="D255" s="246"/>
      <c r="E255" s="246"/>
      <c r="F255" s="246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246"/>
      <c r="S255" s="246"/>
      <c r="T255" s="246"/>
      <c r="U255" s="246"/>
      <c r="V255" s="246"/>
      <c r="W255" s="246"/>
      <c r="X255" s="246"/>
      <c r="Y255" s="246"/>
      <c r="Z255" s="246"/>
      <c r="AA255" s="246"/>
      <c r="AB255" s="246"/>
      <c r="AC255" s="246"/>
      <c r="AD255" s="246"/>
      <c r="AE255" s="246"/>
      <c r="AF255" s="246"/>
      <c r="AG255" s="246"/>
      <c r="AH255" s="246"/>
      <c r="AI255" s="246"/>
      <c r="AJ255" s="246"/>
      <c r="AK255" s="246"/>
      <c r="AL255" s="246"/>
      <c r="AM255" s="246"/>
      <c r="AN255" s="246"/>
      <c r="AO255" s="246"/>
      <c r="AP255" s="246"/>
      <c r="AQ255" s="246"/>
      <c r="AR255" s="246"/>
      <c r="AS255" s="246"/>
      <c r="AT255" s="246"/>
      <c r="AU255" s="246"/>
      <c r="AV255" s="246"/>
      <c r="AW255" s="246"/>
      <c r="AX255" s="246"/>
      <c r="AY255" s="246"/>
      <c r="AZ255" s="246"/>
      <c r="BA255" s="246"/>
      <c r="BB255" s="246"/>
      <c r="BC255" s="246"/>
      <c r="BD255" s="246"/>
      <c r="BE255" s="246"/>
      <c r="BF255" s="246"/>
      <c r="BG255" s="246"/>
      <c r="BH255" s="246"/>
      <c r="BI255" s="246"/>
      <c r="BJ255" s="246"/>
      <c r="BK255" s="246"/>
      <c r="BL255" s="246"/>
    </row>
    <row r="256" ht="15.75" customHeight="1">
      <c r="A256" s="246"/>
      <c r="B256" s="246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246"/>
      <c r="S256" s="246"/>
      <c r="T256" s="246"/>
      <c r="U256" s="246"/>
      <c r="V256" s="246"/>
      <c r="W256" s="246"/>
      <c r="X256" s="246"/>
      <c r="Y256" s="246"/>
      <c r="Z256" s="246"/>
      <c r="AA256" s="246"/>
      <c r="AB256" s="246"/>
      <c r="AC256" s="246"/>
      <c r="AD256" s="246"/>
      <c r="AE256" s="246"/>
      <c r="AF256" s="246"/>
      <c r="AG256" s="246"/>
      <c r="AH256" s="246"/>
      <c r="AI256" s="246"/>
      <c r="AJ256" s="246"/>
      <c r="AK256" s="246"/>
      <c r="AL256" s="246"/>
      <c r="AM256" s="246"/>
      <c r="AN256" s="246"/>
      <c r="AO256" s="246"/>
      <c r="AP256" s="246"/>
      <c r="AQ256" s="246"/>
      <c r="AR256" s="246"/>
      <c r="AS256" s="246"/>
      <c r="AT256" s="246"/>
      <c r="AU256" s="246"/>
      <c r="AV256" s="246"/>
      <c r="AW256" s="246"/>
      <c r="AX256" s="246"/>
      <c r="AY256" s="246"/>
      <c r="AZ256" s="246"/>
      <c r="BA256" s="246"/>
      <c r="BB256" s="246"/>
      <c r="BC256" s="246"/>
      <c r="BD256" s="246"/>
      <c r="BE256" s="246"/>
      <c r="BF256" s="246"/>
      <c r="BG256" s="246"/>
      <c r="BH256" s="246"/>
      <c r="BI256" s="246"/>
      <c r="BJ256" s="246"/>
      <c r="BK256" s="246"/>
      <c r="BL256" s="246"/>
    </row>
    <row r="257" ht="15.75" customHeight="1">
      <c r="A257" s="246"/>
      <c r="B257" s="246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246"/>
      <c r="S257" s="246"/>
      <c r="T257" s="246"/>
      <c r="U257" s="246"/>
      <c r="V257" s="246"/>
      <c r="W257" s="246"/>
      <c r="X257" s="246"/>
      <c r="Y257" s="246"/>
      <c r="Z257" s="246"/>
      <c r="AA257" s="246"/>
      <c r="AB257" s="246"/>
      <c r="AC257" s="246"/>
      <c r="AD257" s="246"/>
      <c r="AE257" s="246"/>
      <c r="AF257" s="246"/>
      <c r="AG257" s="246"/>
      <c r="AH257" s="246"/>
      <c r="AI257" s="246"/>
      <c r="AJ257" s="246"/>
      <c r="AK257" s="246"/>
      <c r="AL257" s="246"/>
      <c r="AM257" s="246"/>
      <c r="AN257" s="246"/>
      <c r="AO257" s="246"/>
      <c r="AP257" s="246"/>
      <c r="AQ257" s="246"/>
      <c r="AR257" s="246"/>
      <c r="AS257" s="246"/>
      <c r="AT257" s="246"/>
      <c r="AU257" s="246"/>
      <c r="AV257" s="246"/>
      <c r="AW257" s="246"/>
      <c r="AX257" s="246"/>
      <c r="AY257" s="246"/>
      <c r="AZ257" s="246"/>
      <c r="BA257" s="246"/>
      <c r="BB257" s="246"/>
      <c r="BC257" s="246"/>
      <c r="BD257" s="246"/>
      <c r="BE257" s="246"/>
      <c r="BF257" s="246"/>
      <c r="BG257" s="246"/>
      <c r="BH257" s="246"/>
      <c r="BI257" s="246"/>
      <c r="BJ257" s="246"/>
      <c r="BK257" s="246"/>
      <c r="BL257" s="246"/>
    </row>
    <row r="258" ht="15.75" customHeight="1">
      <c r="A258" s="246"/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6"/>
      <c r="S258" s="246"/>
      <c r="T258" s="246"/>
      <c r="U258" s="246"/>
      <c r="V258" s="246"/>
      <c r="W258" s="246"/>
      <c r="X258" s="246"/>
      <c r="Y258" s="246"/>
      <c r="Z258" s="246"/>
      <c r="AA258" s="246"/>
      <c r="AB258" s="246"/>
      <c r="AC258" s="246"/>
      <c r="AD258" s="246"/>
      <c r="AE258" s="246"/>
      <c r="AF258" s="246"/>
      <c r="AG258" s="246"/>
      <c r="AH258" s="246"/>
      <c r="AI258" s="246"/>
      <c r="AJ258" s="246"/>
      <c r="AK258" s="246"/>
      <c r="AL258" s="246"/>
      <c r="AM258" s="246"/>
      <c r="AN258" s="246"/>
      <c r="AO258" s="246"/>
      <c r="AP258" s="246"/>
      <c r="AQ258" s="246"/>
      <c r="AR258" s="246"/>
      <c r="AS258" s="246"/>
      <c r="AT258" s="246"/>
      <c r="AU258" s="246"/>
      <c r="AV258" s="246"/>
      <c r="AW258" s="246"/>
      <c r="AX258" s="246"/>
      <c r="AY258" s="246"/>
      <c r="AZ258" s="246"/>
      <c r="BA258" s="246"/>
      <c r="BB258" s="246"/>
      <c r="BC258" s="246"/>
      <c r="BD258" s="246"/>
      <c r="BE258" s="246"/>
      <c r="BF258" s="246"/>
      <c r="BG258" s="246"/>
      <c r="BH258" s="246"/>
      <c r="BI258" s="246"/>
      <c r="BJ258" s="246"/>
      <c r="BK258" s="246"/>
      <c r="BL258" s="246"/>
    </row>
    <row r="259" ht="15.75" customHeight="1">
      <c r="A259" s="246"/>
      <c r="B259" s="246"/>
      <c r="C259" s="246"/>
      <c r="D259" s="246"/>
      <c r="E259" s="246"/>
      <c r="F259" s="246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246"/>
      <c r="S259" s="246"/>
      <c r="T259" s="246"/>
      <c r="U259" s="246"/>
      <c r="V259" s="246"/>
      <c r="W259" s="246"/>
      <c r="X259" s="246"/>
      <c r="Y259" s="246"/>
      <c r="Z259" s="246"/>
      <c r="AA259" s="246"/>
      <c r="AB259" s="246"/>
      <c r="AC259" s="246"/>
      <c r="AD259" s="246"/>
      <c r="AE259" s="246"/>
      <c r="AF259" s="246"/>
      <c r="AG259" s="246"/>
      <c r="AH259" s="246"/>
      <c r="AI259" s="246"/>
      <c r="AJ259" s="246"/>
      <c r="AK259" s="246"/>
      <c r="AL259" s="246"/>
      <c r="AM259" s="246"/>
      <c r="AN259" s="246"/>
      <c r="AO259" s="246"/>
      <c r="AP259" s="246"/>
      <c r="AQ259" s="246"/>
      <c r="AR259" s="246"/>
      <c r="AS259" s="246"/>
      <c r="AT259" s="246"/>
      <c r="AU259" s="246"/>
      <c r="AV259" s="246"/>
      <c r="AW259" s="246"/>
      <c r="AX259" s="246"/>
      <c r="AY259" s="246"/>
      <c r="AZ259" s="246"/>
      <c r="BA259" s="246"/>
      <c r="BB259" s="246"/>
      <c r="BC259" s="246"/>
      <c r="BD259" s="246"/>
      <c r="BE259" s="246"/>
      <c r="BF259" s="246"/>
      <c r="BG259" s="246"/>
      <c r="BH259" s="246"/>
      <c r="BI259" s="246"/>
      <c r="BJ259" s="246"/>
      <c r="BK259" s="246"/>
      <c r="BL259" s="246"/>
    </row>
    <row r="260" ht="15.75" customHeight="1">
      <c r="A260" s="246"/>
      <c r="B260" s="246"/>
      <c r="C260" s="246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246"/>
      <c r="S260" s="246"/>
      <c r="T260" s="246"/>
      <c r="U260" s="246"/>
      <c r="V260" s="246"/>
      <c r="W260" s="246"/>
      <c r="X260" s="246"/>
      <c r="Y260" s="246"/>
      <c r="Z260" s="246"/>
      <c r="AA260" s="246"/>
      <c r="AB260" s="246"/>
      <c r="AC260" s="246"/>
      <c r="AD260" s="246"/>
      <c r="AE260" s="246"/>
      <c r="AF260" s="246"/>
      <c r="AG260" s="246"/>
      <c r="AH260" s="246"/>
      <c r="AI260" s="246"/>
      <c r="AJ260" s="246"/>
      <c r="AK260" s="246"/>
      <c r="AL260" s="246"/>
      <c r="AM260" s="246"/>
      <c r="AN260" s="246"/>
      <c r="AO260" s="246"/>
      <c r="AP260" s="246"/>
      <c r="AQ260" s="246"/>
      <c r="AR260" s="246"/>
      <c r="AS260" s="246"/>
      <c r="AT260" s="246"/>
      <c r="AU260" s="246"/>
      <c r="AV260" s="246"/>
      <c r="AW260" s="246"/>
      <c r="AX260" s="246"/>
      <c r="AY260" s="246"/>
      <c r="AZ260" s="246"/>
      <c r="BA260" s="246"/>
      <c r="BB260" s="246"/>
      <c r="BC260" s="246"/>
      <c r="BD260" s="246"/>
      <c r="BE260" s="246"/>
      <c r="BF260" s="246"/>
      <c r="BG260" s="246"/>
      <c r="BH260" s="246"/>
      <c r="BI260" s="246"/>
      <c r="BJ260" s="246"/>
      <c r="BK260" s="246"/>
      <c r="BL260" s="246"/>
    </row>
    <row r="261" ht="15.75" customHeight="1">
      <c r="A261" s="246"/>
      <c r="B261" s="246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46"/>
      <c r="S261" s="246"/>
      <c r="T261" s="246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6"/>
      <c r="AG261" s="246"/>
      <c r="AH261" s="246"/>
      <c r="AI261" s="246"/>
      <c r="AJ261" s="246"/>
      <c r="AK261" s="246"/>
      <c r="AL261" s="246"/>
      <c r="AM261" s="246"/>
      <c r="AN261" s="246"/>
      <c r="AO261" s="246"/>
      <c r="AP261" s="246"/>
      <c r="AQ261" s="246"/>
      <c r="AR261" s="246"/>
      <c r="AS261" s="246"/>
      <c r="AT261" s="246"/>
      <c r="AU261" s="246"/>
      <c r="AV261" s="246"/>
      <c r="AW261" s="246"/>
      <c r="AX261" s="246"/>
      <c r="AY261" s="246"/>
      <c r="AZ261" s="246"/>
      <c r="BA261" s="246"/>
      <c r="BB261" s="246"/>
      <c r="BC261" s="246"/>
      <c r="BD261" s="246"/>
      <c r="BE261" s="246"/>
      <c r="BF261" s="246"/>
      <c r="BG261" s="246"/>
      <c r="BH261" s="246"/>
      <c r="BI261" s="246"/>
      <c r="BJ261" s="246"/>
      <c r="BK261" s="246"/>
      <c r="BL261" s="246"/>
    </row>
    <row r="262" ht="15.75" customHeight="1">
      <c r="A262" s="246"/>
      <c r="B262" s="246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246"/>
      <c r="S262" s="246"/>
      <c r="T262" s="246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6"/>
      <c r="AG262" s="246"/>
      <c r="AH262" s="246"/>
      <c r="AI262" s="246"/>
      <c r="AJ262" s="246"/>
      <c r="AK262" s="246"/>
      <c r="AL262" s="246"/>
      <c r="AM262" s="246"/>
      <c r="AN262" s="246"/>
      <c r="AO262" s="246"/>
      <c r="AP262" s="246"/>
      <c r="AQ262" s="246"/>
      <c r="AR262" s="246"/>
      <c r="AS262" s="246"/>
      <c r="AT262" s="246"/>
      <c r="AU262" s="246"/>
      <c r="AV262" s="246"/>
      <c r="AW262" s="246"/>
      <c r="AX262" s="246"/>
      <c r="AY262" s="246"/>
      <c r="AZ262" s="246"/>
      <c r="BA262" s="246"/>
      <c r="BB262" s="246"/>
      <c r="BC262" s="246"/>
      <c r="BD262" s="246"/>
      <c r="BE262" s="246"/>
      <c r="BF262" s="246"/>
      <c r="BG262" s="246"/>
      <c r="BH262" s="246"/>
      <c r="BI262" s="246"/>
      <c r="BJ262" s="246"/>
      <c r="BK262" s="246"/>
      <c r="BL262" s="246"/>
    </row>
    <row r="263" ht="15.75" customHeight="1">
      <c r="A263" s="246"/>
      <c r="B263" s="246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246"/>
      <c r="S263" s="246"/>
      <c r="T263" s="246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6"/>
      <c r="AG263" s="246"/>
      <c r="AH263" s="246"/>
      <c r="AI263" s="246"/>
      <c r="AJ263" s="246"/>
      <c r="AK263" s="246"/>
      <c r="AL263" s="246"/>
      <c r="AM263" s="246"/>
      <c r="AN263" s="246"/>
      <c r="AO263" s="246"/>
      <c r="AP263" s="246"/>
      <c r="AQ263" s="246"/>
      <c r="AR263" s="246"/>
      <c r="AS263" s="246"/>
      <c r="AT263" s="246"/>
      <c r="AU263" s="246"/>
      <c r="AV263" s="246"/>
      <c r="AW263" s="246"/>
      <c r="AX263" s="246"/>
      <c r="AY263" s="246"/>
      <c r="AZ263" s="246"/>
      <c r="BA263" s="246"/>
      <c r="BB263" s="246"/>
      <c r="BC263" s="246"/>
      <c r="BD263" s="246"/>
      <c r="BE263" s="246"/>
      <c r="BF263" s="246"/>
      <c r="BG263" s="246"/>
      <c r="BH263" s="246"/>
      <c r="BI263" s="246"/>
      <c r="BJ263" s="246"/>
      <c r="BK263" s="246"/>
      <c r="BL263" s="246"/>
    </row>
    <row r="264" ht="15.75" customHeight="1">
      <c r="A264" s="246"/>
      <c r="B264" s="246"/>
      <c r="C264" s="246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246"/>
      <c r="S264" s="246"/>
      <c r="T264" s="246"/>
      <c r="U264" s="246"/>
      <c r="V264" s="246"/>
      <c r="W264" s="246"/>
      <c r="X264" s="246"/>
      <c r="Y264" s="246"/>
      <c r="Z264" s="246"/>
      <c r="AA264" s="246"/>
      <c r="AB264" s="246"/>
      <c r="AC264" s="246"/>
      <c r="AD264" s="246"/>
      <c r="AE264" s="246"/>
      <c r="AF264" s="246"/>
      <c r="AG264" s="246"/>
      <c r="AH264" s="246"/>
      <c r="AI264" s="246"/>
      <c r="AJ264" s="246"/>
      <c r="AK264" s="246"/>
      <c r="AL264" s="246"/>
      <c r="AM264" s="246"/>
      <c r="AN264" s="246"/>
      <c r="AO264" s="246"/>
      <c r="AP264" s="246"/>
      <c r="AQ264" s="246"/>
      <c r="AR264" s="246"/>
      <c r="AS264" s="246"/>
      <c r="AT264" s="246"/>
      <c r="AU264" s="246"/>
      <c r="AV264" s="246"/>
      <c r="AW264" s="246"/>
      <c r="AX264" s="246"/>
      <c r="AY264" s="246"/>
      <c r="AZ264" s="246"/>
      <c r="BA264" s="246"/>
      <c r="BB264" s="246"/>
      <c r="BC264" s="246"/>
      <c r="BD264" s="246"/>
      <c r="BE264" s="246"/>
      <c r="BF264" s="246"/>
      <c r="BG264" s="246"/>
      <c r="BH264" s="246"/>
      <c r="BI264" s="246"/>
      <c r="BJ264" s="246"/>
      <c r="BK264" s="246"/>
      <c r="BL264" s="246"/>
    </row>
    <row r="265" ht="15.75" customHeight="1">
      <c r="A265" s="246"/>
      <c r="B265" s="246"/>
      <c r="C265" s="246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246"/>
      <c r="S265" s="246"/>
      <c r="T265" s="246"/>
      <c r="U265" s="246"/>
      <c r="V265" s="246"/>
      <c r="W265" s="246"/>
      <c r="X265" s="246"/>
      <c r="Y265" s="246"/>
      <c r="Z265" s="246"/>
      <c r="AA265" s="246"/>
      <c r="AB265" s="246"/>
      <c r="AC265" s="246"/>
      <c r="AD265" s="246"/>
      <c r="AE265" s="246"/>
      <c r="AF265" s="246"/>
      <c r="AG265" s="246"/>
      <c r="AH265" s="246"/>
      <c r="AI265" s="246"/>
      <c r="AJ265" s="246"/>
      <c r="AK265" s="246"/>
      <c r="AL265" s="246"/>
      <c r="AM265" s="246"/>
      <c r="AN265" s="246"/>
      <c r="AO265" s="246"/>
      <c r="AP265" s="246"/>
      <c r="AQ265" s="246"/>
      <c r="AR265" s="246"/>
      <c r="AS265" s="246"/>
      <c r="AT265" s="246"/>
      <c r="AU265" s="246"/>
      <c r="AV265" s="246"/>
      <c r="AW265" s="246"/>
      <c r="AX265" s="246"/>
      <c r="AY265" s="246"/>
      <c r="AZ265" s="246"/>
      <c r="BA265" s="246"/>
      <c r="BB265" s="246"/>
      <c r="BC265" s="246"/>
      <c r="BD265" s="246"/>
      <c r="BE265" s="246"/>
      <c r="BF265" s="246"/>
      <c r="BG265" s="246"/>
      <c r="BH265" s="246"/>
      <c r="BI265" s="246"/>
      <c r="BJ265" s="246"/>
      <c r="BK265" s="246"/>
      <c r="BL265" s="246"/>
    </row>
    <row r="266" ht="15.75" customHeight="1">
      <c r="A266" s="246"/>
      <c r="B266" s="246"/>
      <c r="C266" s="246"/>
      <c r="D266" s="246"/>
      <c r="E266" s="246"/>
      <c r="F266" s="246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246"/>
      <c r="S266" s="246"/>
      <c r="T266" s="246"/>
      <c r="U266" s="246"/>
      <c r="V266" s="246"/>
      <c r="W266" s="246"/>
      <c r="X266" s="246"/>
      <c r="Y266" s="246"/>
      <c r="Z266" s="246"/>
      <c r="AA266" s="246"/>
      <c r="AB266" s="246"/>
      <c r="AC266" s="246"/>
      <c r="AD266" s="246"/>
      <c r="AE266" s="246"/>
      <c r="AF266" s="246"/>
      <c r="AG266" s="246"/>
      <c r="AH266" s="246"/>
      <c r="AI266" s="246"/>
      <c r="AJ266" s="246"/>
      <c r="AK266" s="246"/>
      <c r="AL266" s="246"/>
      <c r="AM266" s="246"/>
      <c r="AN266" s="246"/>
      <c r="AO266" s="246"/>
      <c r="AP266" s="246"/>
      <c r="AQ266" s="246"/>
      <c r="AR266" s="246"/>
      <c r="AS266" s="246"/>
      <c r="AT266" s="246"/>
      <c r="AU266" s="246"/>
      <c r="AV266" s="246"/>
      <c r="AW266" s="246"/>
      <c r="AX266" s="246"/>
      <c r="AY266" s="246"/>
      <c r="AZ266" s="246"/>
      <c r="BA266" s="246"/>
      <c r="BB266" s="246"/>
      <c r="BC266" s="246"/>
      <c r="BD266" s="246"/>
      <c r="BE266" s="246"/>
      <c r="BF266" s="246"/>
      <c r="BG266" s="246"/>
      <c r="BH266" s="246"/>
      <c r="BI266" s="246"/>
      <c r="BJ266" s="246"/>
      <c r="BK266" s="246"/>
      <c r="BL266" s="246"/>
    </row>
    <row r="267" ht="15.75" customHeight="1">
      <c r="A267" s="246"/>
      <c r="B267" s="246"/>
      <c r="C267" s="246"/>
      <c r="D267" s="246"/>
      <c r="E267" s="246"/>
      <c r="F267" s="246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246"/>
      <c r="S267" s="246"/>
      <c r="T267" s="246"/>
      <c r="U267" s="246"/>
      <c r="V267" s="246"/>
      <c r="W267" s="246"/>
      <c r="X267" s="246"/>
      <c r="Y267" s="246"/>
      <c r="Z267" s="246"/>
      <c r="AA267" s="246"/>
      <c r="AB267" s="246"/>
      <c r="AC267" s="246"/>
      <c r="AD267" s="246"/>
      <c r="AE267" s="246"/>
      <c r="AF267" s="246"/>
      <c r="AG267" s="246"/>
      <c r="AH267" s="246"/>
      <c r="AI267" s="246"/>
      <c r="AJ267" s="246"/>
      <c r="AK267" s="246"/>
      <c r="AL267" s="246"/>
      <c r="AM267" s="246"/>
      <c r="AN267" s="246"/>
      <c r="AO267" s="246"/>
      <c r="AP267" s="246"/>
      <c r="AQ267" s="246"/>
      <c r="AR267" s="246"/>
      <c r="AS267" s="246"/>
      <c r="AT267" s="246"/>
      <c r="AU267" s="246"/>
      <c r="AV267" s="246"/>
      <c r="AW267" s="246"/>
      <c r="AX267" s="246"/>
      <c r="AY267" s="246"/>
      <c r="AZ267" s="246"/>
      <c r="BA267" s="246"/>
      <c r="BB267" s="246"/>
      <c r="BC267" s="246"/>
      <c r="BD267" s="246"/>
      <c r="BE267" s="246"/>
      <c r="BF267" s="246"/>
      <c r="BG267" s="246"/>
      <c r="BH267" s="246"/>
      <c r="BI267" s="246"/>
      <c r="BJ267" s="246"/>
      <c r="BK267" s="246"/>
      <c r="BL267" s="246"/>
    </row>
    <row r="268" ht="15.75" customHeight="1">
      <c r="A268" s="246"/>
      <c r="B268" s="246"/>
      <c r="C268" s="246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246"/>
      <c r="S268" s="246"/>
      <c r="T268" s="246"/>
      <c r="U268" s="246"/>
      <c r="V268" s="246"/>
      <c r="W268" s="246"/>
      <c r="X268" s="246"/>
      <c r="Y268" s="246"/>
      <c r="Z268" s="246"/>
      <c r="AA268" s="246"/>
      <c r="AB268" s="246"/>
      <c r="AC268" s="246"/>
      <c r="AD268" s="246"/>
      <c r="AE268" s="246"/>
      <c r="AF268" s="246"/>
      <c r="AG268" s="246"/>
      <c r="AH268" s="246"/>
      <c r="AI268" s="246"/>
      <c r="AJ268" s="246"/>
      <c r="AK268" s="246"/>
      <c r="AL268" s="246"/>
      <c r="AM268" s="246"/>
      <c r="AN268" s="246"/>
      <c r="AO268" s="246"/>
      <c r="AP268" s="246"/>
      <c r="AQ268" s="246"/>
      <c r="AR268" s="246"/>
      <c r="AS268" s="246"/>
      <c r="AT268" s="246"/>
      <c r="AU268" s="246"/>
      <c r="AV268" s="246"/>
      <c r="AW268" s="246"/>
      <c r="AX268" s="246"/>
      <c r="AY268" s="246"/>
      <c r="AZ268" s="246"/>
      <c r="BA268" s="246"/>
      <c r="BB268" s="246"/>
      <c r="BC268" s="246"/>
      <c r="BD268" s="246"/>
      <c r="BE268" s="246"/>
      <c r="BF268" s="246"/>
      <c r="BG268" s="246"/>
      <c r="BH268" s="246"/>
      <c r="BI268" s="246"/>
      <c r="BJ268" s="246"/>
      <c r="BK268" s="246"/>
      <c r="BL268" s="246"/>
    </row>
    <row r="269" ht="15.75" customHeight="1">
      <c r="A269" s="246"/>
      <c r="B269" s="246"/>
      <c r="C269" s="246"/>
      <c r="D269" s="246"/>
      <c r="E269" s="246"/>
      <c r="F269" s="246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246"/>
      <c r="S269" s="246"/>
      <c r="T269" s="246"/>
      <c r="U269" s="246"/>
      <c r="V269" s="246"/>
      <c r="W269" s="246"/>
      <c r="X269" s="246"/>
      <c r="Y269" s="246"/>
      <c r="Z269" s="246"/>
      <c r="AA269" s="246"/>
      <c r="AB269" s="246"/>
      <c r="AC269" s="246"/>
      <c r="AD269" s="246"/>
      <c r="AE269" s="246"/>
      <c r="AF269" s="246"/>
      <c r="AG269" s="246"/>
      <c r="AH269" s="246"/>
      <c r="AI269" s="246"/>
      <c r="AJ269" s="246"/>
      <c r="AK269" s="246"/>
      <c r="AL269" s="246"/>
      <c r="AM269" s="246"/>
      <c r="AN269" s="246"/>
      <c r="AO269" s="246"/>
      <c r="AP269" s="246"/>
      <c r="AQ269" s="246"/>
      <c r="AR269" s="246"/>
      <c r="AS269" s="246"/>
      <c r="AT269" s="246"/>
      <c r="AU269" s="246"/>
      <c r="AV269" s="246"/>
      <c r="AW269" s="246"/>
      <c r="AX269" s="246"/>
      <c r="AY269" s="246"/>
      <c r="AZ269" s="246"/>
      <c r="BA269" s="246"/>
      <c r="BB269" s="246"/>
      <c r="BC269" s="246"/>
      <c r="BD269" s="246"/>
      <c r="BE269" s="246"/>
      <c r="BF269" s="246"/>
      <c r="BG269" s="246"/>
      <c r="BH269" s="246"/>
      <c r="BI269" s="246"/>
      <c r="BJ269" s="246"/>
      <c r="BK269" s="246"/>
      <c r="BL269" s="24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 ht="15.75" customHeight="1">
      <c r="A1" s="43" t="s">
        <v>0</v>
      </c>
      <c r="B1" s="203"/>
      <c r="C1" s="203"/>
      <c r="D1" s="43" t="s">
        <v>7</v>
      </c>
      <c r="E1" s="43" t="s">
        <v>8</v>
      </c>
      <c r="F1" s="43" t="s">
        <v>9</v>
      </c>
      <c r="G1" s="43" t="s">
        <v>10</v>
      </c>
      <c r="H1" s="43" t="s">
        <v>11</v>
      </c>
      <c r="I1" s="43" t="s">
        <v>12</v>
      </c>
      <c r="J1" s="43" t="s">
        <v>13</v>
      </c>
      <c r="K1" s="43" t="s">
        <v>63</v>
      </c>
      <c r="L1" s="43" t="s">
        <v>64</v>
      </c>
      <c r="M1" s="43" t="s">
        <v>65</v>
      </c>
      <c r="N1" s="43" t="s">
        <v>66</v>
      </c>
      <c r="O1" s="43" t="s">
        <v>67</v>
      </c>
      <c r="P1" s="43" t="s">
        <v>68</v>
      </c>
      <c r="Q1" s="43" t="s">
        <v>69</v>
      </c>
      <c r="R1" s="43" t="s">
        <v>70</v>
      </c>
      <c r="S1" s="43" t="str">
        <f t="array" ref="S1:AD1">transpose(A22:A33)</f>
        <v>Q1 26</v>
      </c>
      <c r="T1" s="43" t="s">
        <v>72</v>
      </c>
      <c r="U1" s="43" t="s">
        <v>73</v>
      </c>
      <c r="V1" s="43" t="s">
        <v>74</v>
      </c>
      <c r="W1" s="43" t="s">
        <v>75</v>
      </c>
      <c r="X1" s="43" t="s">
        <v>76</v>
      </c>
      <c r="Y1" s="43" t="s">
        <v>77</v>
      </c>
      <c r="Z1" s="43" t="s">
        <v>78</v>
      </c>
      <c r="AA1" s="43" t="s">
        <v>79</v>
      </c>
      <c r="AB1" s="43" t="s">
        <v>80</v>
      </c>
      <c r="AC1" s="43" t="s">
        <v>81</v>
      </c>
      <c r="AD1" s="43" t="s">
        <v>82</v>
      </c>
      <c r="AE1" s="204"/>
      <c r="AF1" s="43" t="s">
        <v>14</v>
      </c>
      <c r="AG1" s="43" t="s">
        <v>2</v>
      </c>
      <c r="AH1" s="43" t="s">
        <v>3</v>
      </c>
      <c r="AI1" s="43" t="s">
        <v>4</v>
      </c>
      <c r="AJ1" s="43" t="s">
        <v>5</v>
      </c>
      <c r="AK1" s="43" t="s">
        <v>6</v>
      </c>
      <c r="AL1" s="43" t="s">
        <v>7</v>
      </c>
      <c r="AM1" s="43" t="s">
        <v>8</v>
      </c>
      <c r="AN1" s="43" t="s">
        <v>9</v>
      </c>
      <c r="AO1" s="43" t="s">
        <v>10</v>
      </c>
      <c r="AP1" s="43" t="s">
        <v>11</v>
      </c>
      <c r="AQ1" s="43" t="s">
        <v>12</v>
      </c>
      <c r="AR1" s="43" t="s">
        <v>13</v>
      </c>
      <c r="AS1" s="43" t="s">
        <v>63</v>
      </c>
      <c r="AT1" s="43" t="s">
        <v>64</v>
      </c>
      <c r="AU1" s="43" t="s">
        <v>65</v>
      </c>
      <c r="AV1" s="43" t="s">
        <v>66</v>
      </c>
      <c r="AW1" s="43" t="s">
        <v>67</v>
      </c>
      <c r="AX1" s="43" t="s">
        <v>68</v>
      </c>
      <c r="AY1" s="43" t="s">
        <v>69</v>
      </c>
      <c r="AZ1" s="43" t="s">
        <v>70</v>
      </c>
      <c r="BA1" s="43" t="str">
        <f t="array" ref="BA1:BL1">transpose(A22:A33)</f>
        <v>Q1 26</v>
      </c>
      <c r="BB1" s="43" t="s">
        <v>72</v>
      </c>
      <c r="BC1" s="43" t="s">
        <v>73</v>
      </c>
      <c r="BD1" s="43" t="s">
        <v>74</v>
      </c>
      <c r="BE1" s="43" t="s">
        <v>75</v>
      </c>
      <c r="BF1" s="43" t="s">
        <v>76</v>
      </c>
      <c r="BG1" s="43" t="s">
        <v>77</v>
      </c>
      <c r="BH1" s="43" t="s">
        <v>78</v>
      </c>
      <c r="BI1" s="43" t="s">
        <v>79</v>
      </c>
      <c r="BJ1" s="43" t="s">
        <v>80</v>
      </c>
      <c r="BK1" s="43" t="s">
        <v>81</v>
      </c>
      <c r="BL1" s="43" t="s">
        <v>82</v>
      </c>
    </row>
    <row r="2" ht="15.75" customHeight="1">
      <c r="A2" s="43" t="s">
        <v>2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4"/>
      <c r="AF2" s="205"/>
      <c r="AG2" s="206">
        <v>0.14</v>
      </c>
      <c r="AH2" s="206">
        <v>0.33</v>
      </c>
      <c r="AI2" s="206">
        <v>0.25</v>
      </c>
      <c r="AJ2" s="206">
        <v>0.15</v>
      </c>
      <c r="AK2" s="206">
        <v>0.07</v>
      </c>
      <c r="AL2" s="206">
        <v>0.04</v>
      </c>
      <c r="AM2" s="206">
        <v>0.02</v>
      </c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</row>
    <row r="3" ht="15.75" customHeight="1">
      <c r="A3" s="43" t="s">
        <v>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4"/>
      <c r="AF3" s="205"/>
      <c r="AG3" s="205"/>
      <c r="AH3" s="206">
        <v>0.14</v>
      </c>
      <c r="AI3" s="206">
        <v>0.33</v>
      </c>
      <c r="AJ3" s="206">
        <v>0.25</v>
      </c>
      <c r="AK3" s="206">
        <v>0.15</v>
      </c>
      <c r="AL3" s="206">
        <v>0.07</v>
      </c>
      <c r="AM3" s="206">
        <v>0.04</v>
      </c>
      <c r="AN3" s="206">
        <v>0.02</v>
      </c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</row>
    <row r="4" ht="15.75" customHeight="1">
      <c r="A4" s="43" t="s">
        <v>4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4"/>
      <c r="AF4" s="205"/>
      <c r="AG4" s="205"/>
      <c r="AH4" s="205"/>
      <c r="AI4" s="206">
        <v>0.14</v>
      </c>
      <c r="AJ4" s="206">
        <v>0.33</v>
      </c>
      <c r="AK4" s="206">
        <v>0.25</v>
      </c>
      <c r="AL4" s="206">
        <v>0.15</v>
      </c>
      <c r="AM4" s="206">
        <v>0.07</v>
      </c>
      <c r="AN4" s="206">
        <v>0.04</v>
      </c>
      <c r="AO4" s="206">
        <v>0.02</v>
      </c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</row>
    <row r="5" ht="15.75" customHeight="1">
      <c r="A5" s="43" t="s">
        <v>5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4"/>
      <c r="AF5" s="205"/>
      <c r="AG5" s="205"/>
      <c r="AH5" s="205"/>
      <c r="AI5" s="205"/>
      <c r="AJ5" s="206">
        <v>0.14</v>
      </c>
      <c r="AK5" s="206">
        <v>0.33</v>
      </c>
      <c r="AL5" s="206">
        <v>0.25</v>
      </c>
      <c r="AM5" s="206">
        <v>0.15</v>
      </c>
      <c r="AN5" s="206">
        <v>0.07</v>
      </c>
      <c r="AO5" s="206">
        <v>0.04</v>
      </c>
      <c r="AP5" s="206">
        <v>0.02</v>
      </c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</row>
    <row r="6" ht="15.75" customHeight="1">
      <c r="A6" s="43" t="s">
        <v>6</v>
      </c>
      <c r="B6" s="205"/>
      <c r="C6" s="205"/>
      <c r="D6" s="206">
        <v>0.1</v>
      </c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8"/>
      <c r="AF6" s="207"/>
      <c r="AG6" s="207"/>
      <c r="AH6" s="207"/>
      <c r="AI6" s="207"/>
      <c r="AJ6" s="207"/>
      <c r="AK6" s="206">
        <v>0.14</v>
      </c>
      <c r="AL6" s="206">
        <v>0.33</v>
      </c>
      <c r="AM6" s="206">
        <v>0.25</v>
      </c>
      <c r="AN6" s="206">
        <v>0.15</v>
      </c>
      <c r="AO6" s="206">
        <v>0.07</v>
      </c>
      <c r="AP6" s="206">
        <v>0.04</v>
      </c>
      <c r="AQ6" s="206">
        <v>0.02</v>
      </c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</row>
    <row r="7" ht="15.75" customHeight="1">
      <c r="A7" s="43" t="s">
        <v>7</v>
      </c>
      <c r="B7" s="205"/>
      <c r="C7" s="205"/>
      <c r="D7" s="206">
        <f>227/255</f>
        <v>0.8901960784</v>
      </c>
      <c r="E7" s="206">
        <v>0.1</v>
      </c>
      <c r="F7" s="206">
        <v>0.01</v>
      </c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8"/>
      <c r="AF7" s="207"/>
      <c r="AG7" s="207"/>
      <c r="AH7" s="207"/>
      <c r="AI7" s="207"/>
      <c r="AJ7" s="207"/>
      <c r="AK7" s="207"/>
      <c r="AL7" s="206">
        <v>0.14</v>
      </c>
      <c r="AM7" s="206">
        <v>0.33</v>
      </c>
      <c r="AN7" s="206">
        <v>0.25</v>
      </c>
      <c r="AO7" s="206">
        <v>0.15</v>
      </c>
      <c r="AP7" s="206">
        <v>0.07</v>
      </c>
      <c r="AQ7" s="206">
        <v>0.04</v>
      </c>
      <c r="AR7" s="206">
        <v>0.02</v>
      </c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</row>
    <row r="8" ht="15.75" customHeight="1">
      <c r="A8" s="43" t="s">
        <v>8</v>
      </c>
      <c r="B8" s="205"/>
      <c r="C8" s="205"/>
      <c r="D8" s="207"/>
      <c r="E8" s="206">
        <f>227/255</f>
        <v>0.8901960784</v>
      </c>
      <c r="F8" s="206">
        <v>0.1</v>
      </c>
      <c r="G8" s="206">
        <v>0.01</v>
      </c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8"/>
      <c r="AF8" s="207"/>
      <c r="AG8" s="207"/>
      <c r="AH8" s="207"/>
      <c r="AI8" s="207"/>
      <c r="AJ8" s="207"/>
      <c r="AK8" s="207"/>
      <c r="AL8" s="207"/>
      <c r="AM8" s="206">
        <v>0.14</v>
      </c>
      <c r="AN8" s="206">
        <v>0.33</v>
      </c>
      <c r="AO8" s="206">
        <v>0.25</v>
      </c>
      <c r="AP8" s="206">
        <v>0.15</v>
      </c>
      <c r="AQ8" s="206">
        <v>0.07</v>
      </c>
      <c r="AR8" s="206">
        <v>0.04</v>
      </c>
      <c r="AS8" s="206">
        <v>0.02</v>
      </c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</row>
    <row r="9" ht="15.75" customHeight="1">
      <c r="A9" s="43" t="s">
        <v>9</v>
      </c>
      <c r="B9" s="205"/>
      <c r="C9" s="205"/>
      <c r="D9" s="207"/>
      <c r="E9" s="207"/>
      <c r="F9" s="206">
        <f>227/255</f>
        <v>0.8901960784</v>
      </c>
      <c r="G9" s="206">
        <v>0.1</v>
      </c>
      <c r="H9" s="206">
        <v>0.01</v>
      </c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8"/>
      <c r="AF9" s="207"/>
      <c r="AG9" s="207"/>
      <c r="AH9" s="207"/>
      <c r="AI9" s="207"/>
      <c r="AJ9" s="207"/>
      <c r="AK9" s="207"/>
      <c r="AL9" s="207"/>
      <c r="AM9" s="207"/>
      <c r="AN9" s="206">
        <v>0.14</v>
      </c>
      <c r="AO9" s="206">
        <v>0.33</v>
      </c>
      <c r="AP9" s="206">
        <v>0.25</v>
      </c>
      <c r="AQ9" s="206">
        <v>0.15</v>
      </c>
      <c r="AR9" s="206">
        <v>0.07</v>
      </c>
      <c r="AS9" s="206">
        <v>0.04</v>
      </c>
      <c r="AT9" s="206">
        <v>0.02</v>
      </c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</row>
    <row r="10" ht="15.75" customHeight="1">
      <c r="A10" s="43" t="s">
        <v>10</v>
      </c>
      <c r="B10" s="205"/>
      <c r="C10" s="205"/>
      <c r="D10" s="207"/>
      <c r="E10" s="207"/>
      <c r="F10" s="207"/>
      <c r="G10" s="206">
        <f>227/255</f>
        <v>0.8901960784</v>
      </c>
      <c r="H10" s="206">
        <v>0.1</v>
      </c>
      <c r="I10" s="206">
        <v>0.01</v>
      </c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8"/>
      <c r="AF10" s="207"/>
      <c r="AG10" s="207"/>
      <c r="AH10" s="207"/>
      <c r="AI10" s="207"/>
      <c r="AJ10" s="207"/>
      <c r="AK10" s="207"/>
      <c r="AL10" s="207"/>
      <c r="AM10" s="207"/>
      <c r="AN10" s="207"/>
      <c r="AO10" s="206">
        <v>0.14</v>
      </c>
      <c r="AP10" s="206">
        <v>0.33</v>
      </c>
      <c r="AQ10" s="206">
        <v>0.25</v>
      </c>
      <c r="AR10" s="206">
        <v>0.15</v>
      </c>
      <c r="AS10" s="206">
        <v>0.07</v>
      </c>
      <c r="AT10" s="206">
        <v>0.04</v>
      </c>
      <c r="AU10" s="206">
        <v>0.02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</row>
    <row r="11" ht="15.75" customHeight="1">
      <c r="A11" s="43" t="s">
        <v>11</v>
      </c>
      <c r="B11" s="205"/>
      <c r="C11" s="205"/>
      <c r="D11" s="207"/>
      <c r="E11" s="207"/>
      <c r="F11" s="207"/>
      <c r="G11" s="207"/>
      <c r="H11" s="206">
        <f>227/255</f>
        <v>0.8901960784</v>
      </c>
      <c r="I11" s="206">
        <v>0.1</v>
      </c>
      <c r="J11" s="206">
        <v>0.01</v>
      </c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8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6">
        <v>0.14</v>
      </c>
      <c r="AQ11" s="206">
        <v>0.33</v>
      </c>
      <c r="AR11" s="206">
        <v>0.25</v>
      </c>
      <c r="AS11" s="206">
        <v>0.15</v>
      </c>
      <c r="AT11" s="206">
        <v>0.07</v>
      </c>
      <c r="AU11" s="206">
        <v>0.04</v>
      </c>
      <c r="AV11" s="206">
        <v>0.02</v>
      </c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</row>
    <row r="12" ht="15.75" customHeight="1">
      <c r="A12" s="43" t="s">
        <v>12</v>
      </c>
      <c r="B12" s="205"/>
      <c r="C12" s="205"/>
      <c r="D12" s="207"/>
      <c r="E12" s="207"/>
      <c r="F12" s="207"/>
      <c r="G12" s="207"/>
      <c r="H12" s="207"/>
      <c r="I12" s="206">
        <f>227/255</f>
        <v>0.8901960784</v>
      </c>
      <c r="J12" s="206">
        <v>0.1</v>
      </c>
      <c r="K12" s="206">
        <v>0.01</v>
      </c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8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>
        <v>0.14</v>
      </c>
      <c r="AR12" s="206">
        <v>0.33</v>
      </c>
      <c r="AS12" s="206">
        <v>0.25</v>
      </c>
      <c r="AT12" s="206">
        <v>0.15</v>
      </c>
      <c r="AU12" s="206">
        <v>0.07</v>
      </c>
      <c r="AV12" s="206">
        <v>0.04</v>
      </c>
      <c r="AW12" s="206">
        <v>0.02</v>
      </c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</row>
    <row r="13" ht="15.75" customHeight="1">
      <c r="A13" s="43" t="s">
        <v>13</v>
      </c>
      <c r="B13" s="205"/>
      <c r="C13" s="205"/>
      <c r="D13" s="207"/>
      <c r="E13" s="207"/>
      <c r="F13" s="207"/>
      <c r="G13" s="207"/>
      <c r="H13" s="207"/>
      <c r="I13" s="207"/>
      <c r="J13" s="206">
        <f>227/255</f>
        <v>0.8901960784</v>
      </c>
      <c r="K13" s="206">
        <v>0.1</v>
      </c>
      <c r="L13" s="206">
        <v>0.01</v>
      </c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8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6">
        <v>0.14</v>
      </c>
      <c r="AS13" s="206">
        <v>0.33</v>
      </c>
      <c r="AT13" s="206">
        <v>0.25</v>
      </c>
      <c r="AU13" s="206">
        <v>0.15</v>
      </c>
      <c r="AV13" s="206">
        <v>0.07</v>
      </c>
      <c r="AW13" s="206">
        <v>0.04</v>
      </c>
      <c r="AX13" s="206">
        <v>0.02</v>
      </c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</row>
    <row r="14" ht="15.75" customHeight="1">
      <c r="A14" s="43" t="s">
        <v>63</v>
      </c>
      <c r="B14" s="205"/>
      <c r="C14" s="205"/>
      <c r="D14" s="207"/>
      <c r="E14" s="207"/>
      <c r="F14" s="207"/>
      <c r="G14" s="207"/>
      <c r="H14" s="207"/>
      <c r="I14" s="207"/>
      <c r="J14" s="207"/>
      <c r="K14" s="206">
        <f>227/255</f>
        <v>0.8901960784</v>
      </c>
      <c r="L14" s="206">
        <v>0.1</v>
      </c>
      <c r="M14" s="206">
        <v>0.01</v>
      </c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8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6">
        <v>0.14</v>
      </c>
      <c r="AT14" s="206">
        <v>0.33</v>
      </c>
      <c r="AU14" s="206">
        <v>0.25</v>
      </c>
      <c r="AV14" s="206">
        <v>0.15</v>
      </c>
      <c r="AW14" s="206">
        <v>0.07</v>
      </c>
      <c r="AX14" s="206">
        <v>0.04</v>
      </c>
      <c r="AY14" s="206">
        <v>0.02</v>
      </c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</row>
    <row r="15" ht="15.75" customHeight="1">
      <c r="A15" s="43" t="s">
        <v>64</v>
      </c>
      <c r="B15" s="205"/>
      <c r="C15" s="205"/>
      <c r="D15" s="207"/>
      <c r="E15" s="207"/>
      <c r="F15" s="207"/>
      <c r="G15" s="207"/>
      <c r="H15" s="207"/>
      <c r="I15" s="207"/>
      <c r="J15" s="207"/>
      <c r="K15" s="207"/>
      <c r="L15" s="206">
        <f>227/255</f>
        <v>0.8901960784</v>
      </c>
      <c r="M15" s="206">
        <v>0.1</v>
      </c>
      <c r="N15" s="206">
        <v>0.01</v>
      </c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8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6">
        <v>0.14</v>
      </c>
      <c r="AU15" s="206">
        <v>0.33</v>
      </c>
      <c r="AV15" s="206">
        <v>0.25</v>
      </c>
      <c r="AW15" s="206">
        <v>0.15</v>
      </c>
      <c r="AX15" s="206">
        <v>0.07</v>
      </c>
      <c r="AY15" s="206">
        <v>0.04</v>
      </c>
      <c r="AZ15" s="206">
        <v>0.02</v>
      </c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</row>
    <row r="16" ht="15.75" customHeight="1">
      <c r="A16" s="43" t="s">
        <v>65</v>
      </c>
      <c r="B16" s="205"/>
      <c r="C16" s="205"/>
      <c r="D16" s="207"/>
      <c r="E16" s="207"/>
      <c r="F16" s="207"/>
      <c r="G16" s="207"/>
      <c r="H16" s="207"/>
      <c r="I16" s="207"/>
      <c r="J16" s="207"/>
      <c r="K16" s="207"/>
      <c r="L16" s="207"/>
      <c r="M16" s="206">
        <f>227/255</f>
        <v>0.8901960784</v>
      </c>
      <c r="N16" s="206">
        <v>0.1</v>
      </c>
      <c r="O16" s="206">
        <v>0.01</v>
      </c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8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6">
        <v>0.14</v>
      </c>
      <c r="AV16" s="206">
        <v>0.33</v>
      </c>
      <c r="AW16" s="206">
        <v>0.25</v>
      </c>
      <c r="AX16" s="206">
        <v>0.15</v>
      </c>
      <c r="AY16" s="206">
        <v>0.07</v>
      </c>
      <c r="AZ16" s="206">
        <v>0.04</v>
      </c>
      <c r="BA16" s="206">
        <v>0.02</v>
      </c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</row>
    <row r="17" ht="15.75" customHeight="1">
      <c r="A17" s="43" t="s">
        <v>66</v>
      </c>
      <c r="B17" s="205"/>
      <c r="C17" s="205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6">
        <v>0.89</v>
      </c>
      <c r="O17" s="206">
        <v>0.1</v>
      </c>
      <c r="P17" s="206">
        <v>0.01</v>
      </c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8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6">
        <v>0.14</v>
      </c>
      <c r="AW17" s="206">
        <v>0.33</v>
      </c>
      <c r="AX17" s="206">
        <v>0.25</v>
      </c>
      <c r="AY17" s="206">
        <v>0.15</v>
      </c>
      <c r="AZ17" s="206">
        <v>0.07</v>
      </c>
      <c r="BA17" s="206">
        <v>0.04</v>
      </c>
      <c r="BB17" s="206">
        <v>0.02</v>
      </c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</row>
    <row r="18" ht="15.75" customHeight="1">
      <c r="A18" s="43" t="s">
        <v>67</v>
      </c>
      <c r="B18" s="205"/>
      <c r="C18" s="205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6">
        <v>0.89</v>
      </c>
      <c r="P18" s="206">
        <v>0.1</v>
      </c>
      <c r="Q18" s="206">
        <v>0.01</v>
      </c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8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6">
        <v>0.14</v>
      </c>
      <c r="AX18" s="206">
        <v>0.33</v>
      </c>
      <c r="AY18" s="206">
        <v>0.25</v>
      </c>
      <c r="AZ18" s="206">
        <v>0.15</v>
      </c>
      <c r="BA18" s="206">
        <v>0.07</v>
      </c>
      <c r="BB18" s="206">
        <v>0.04</v>
      </c>
      <c r="BC18" s="206">
        <v>0.02</v>
      </c>
      <c r="BD18" s="207"/>
      <c r="BE18" s="207"/>
      <c r="BF18" s="207"/>
      <c r="BG18" s="207"/>
      <c r="BH18" s="207"/>
      <c r="BI18" s="207"/>
      <c r="BJ18" s="207"/>
      <c r="BK18" s="207"/>
      <c r="BL18" s="207"/>
    </row>
    <row r="19" ht="15.75" customHeight="1">
      <c r="A19" s="43" t="s">
        <v>68</v>
      </c>
      <c r="B19" s="205"/>
      <c r="C19" s="205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6">
        <v>0.89</v>
      </c>
      <c r="Q19" s="206">
        <v>0.1</v>
      </c>
      <c r="R19" s="206">
        <v>0.01</v>
      </c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8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6">
        <v>0.14</v>
      </c>
      <c r="AY19" s="206">
        <v>0.33</v>
      </c>
      <c r="AZ19" s="206">
        <v>0.25</v>
      </c>
      <c r="BA19" s="206">
        <v>0.15</v>
      </c>
      <c r="BB19" s="206">
        <v>0.07</v>
      </c>
      <c r="BC19" s="206">
        <v>0.04</v>
      </c>
      <c r="BD19" s="206">
        <v>0.02</v>
      </c>
      <c r="BE19" s="207"/>
      <c r="BF19" s="207"/>
      <c r="BG19" s="207"/>
      <c r="BH19" s="207"/>
      <c r="BI19" s="207"/>
      <c r="BJ19" s="207"/>
      <c r="BK19" s="207"/>
      <c r="BL19" s="207"/>
    </row>
    <row r="20" ht="15.75" customHeight="1">
      <c r="A20" s="43" t="s">
        <v>69</v>
      </c>
      <c r="B20" s="205"/>
      <c r="C20" s="205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6">
        <v>0.89</v>
      </c>
      <c r="R20" s="206">
        <v>0.1</v>
      </c>
      <c r="S20" s="206">
        <v>0.01</v>
      </c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8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6">
        <v>0.14</v>
      </c>
      <c r="AZ20" s="206">
        <v>0.33</v>
      </c>
      <c r="BA20" s="206">
        <v>0.25</v>
      </c>
      <c r="BB20" s="206">
        <v>0.15</v>
      </c>
      <c r="BC20" s="206">
        <v>0.07</v>
      </c>
      <c r="BD20" s="206">
        <v>0.04</v>
      </c>
      <c r="BE20" s="206">
        <v>0.02</v>
      </c>
      <c r="BF20" s="207"/>
      <c r="BG20" s="207"/>
      <c r="BH20" s="207"/>
      <c r="BI20" s="207"/>
      <c r="BJ20" s="207"/>
      <c r="BK20" s="207"/>
      <c r="BL20" s="207"/>
    </row>
    <row r="21" ht="15.75" customHeight="1">
      <c r="A21" s="43" t="s">
        <v>70</v>
      </c>
      <c r="B21" s="205"/>
      <c r="C21" s="205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6">
        <v>0.89</v>
      </c>
      <c r="S21" s="206">
        <v>0.1</v>
      </c>
      <c r="T21" s="206">
        <v>0.01</v>
      </c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8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6">
        <v>0.14</v>
      </c>
      <c r="BA21" s="206">
        <v>0.33</v>
      </c>
      <c r="BB21" s="206">
        <v>0.25</v>
      </c>
      <c r="BC21" s="206">
        <v>0.15</v>
      </c>
      <c r="BD21" s="206">
        <v>0.07</v>
      </c>
      <c r="BE21" s="206">
        <v>0.04</v>
      </c>
      <c r="BF21" s="206">
        <v>0.02</v>
      </c>
      <c r="BG21" s="207"/>
      <c r="BH21" s="207"/>
      <c r="BI21" s="207"/>
      <c r="BJ21" s="207"/>
      <c r="BK21" s="207"/>
      <c r="BL21" s="207"/>
    </row>
    <row r="22" ht="15.75" customHeight="1">
      <c r="A22" s="43" t="s">
        <v>71</v>
      </c>
      <c r="B22" s="205"/>
      <c r="C22" s="205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6">
        <f>227/255</f>
        <v>0.8901960784</v>
      </c>
      <c r="T22" s="206">
        <v>0.1</v>
      </c>
      <c r="U22" s="206">
        <v>0.01</v>
      </c>
      <c r="V22" s="207"/>
      <c r="W22" s="207"/>
      <c r="X22" s="207"/>
      <c r="Y22" s="207"/>
      <c r="Z22" s="207"/>
      <c r="AA22" s="207"/>
      <c r="AB22" s="207"/>
      <c r="AC22" s="207"/>
      <c r="AD22" s="207"/>
      <c r="AE22" s="208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6">
        <v>0.14</v>
      </c>
      <c r="BB22" s="206">
        <v>0.33</v>
      </c>
      <c r="BC22" s="206">
        <v>0.25</v>
      </c>
      <c r="BD22" s="206">
        <v>0.15</v>
      </c>
      <c r="BE22" s="206">
        <v>0.07</v>
      </c>
      <c r="BF22" s="206">
        <v>0.04</v>
      </c>
      <c r="BG22" s="206">
        <v>0.02</v>
      </c>
      <c r="BH22" s="207"/>
      <c r="BI22" s="207"/>
      <c r="BJ22" s="207"/>
      <c r="BK22" s="207"/>
      <c r="BL22" s="207"/>
    </row>
    <row r="23" ht="15.75" customHeight="1">
      <c r="A23" s="43" t="s">
        <v>72</v>
      </c>
      <c r="B23" s="205"/>
      <c r="C23" s="205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6">
        <f>227/255</f>
        <v>0.8901960784</v>
      </c>
      <c r="U23" s="206">
        <v>0.1</v>
      </c>
      <c r="V23" s="206">
        <v>0.01</v>
      </c>
      <c r="W23" s="207"/>
      <c r="X23" s="207"/>
      <c r="Y23" s="207"/>
      <c r="Z23" s="207"/>
      <c r="AA23" s="207"/>
      <c r="AB23" s="207"/>
      <c r="AC23" s="207"/>
      <c r="AD23" s="207"/>
      <c r="AE23" s="208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6">
        <v>0.14</v>
      </c>
      <c r="BC23" s="206">
        <v>0.33</v>
      </c>
      <c r="BD23" s="206">
        <v>0.25</v>
      </c>
      <c r="BE23" s="206">
        <v>0.15</v>
      </c>
      <c r="BF23" s="206">
        <v>0.07</v>
      </c>
      <c r="BG23" s="206">
        <v>0.04</v>
      </c>
      <c r="BH23" s="206">
        <v>0.02</v>
      </c>
      <c r="BI23" s="207"/>
      <c r="BJ23" s="207"/>
      <c r="BK23" s="207"/>
      <c r="BL23" s="207"/>
    </row>
    <row r="24" ht="15.75" customHeight="1">
      <c r="A24" s="43" t="s">
        <v>73</v>
      </c>
      <c r="B24" s="205"/>
      <c r="C24" s="205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6">
        <f>227/255</f>
        <v>0.8901960784</v>
      </c>
      <c r="V24" s="206">
        <v>0.1</v>
      </c>
      <c r="W24" s="206">
        <v>0.01</v>
      </c>
      <c r="X24" s="207"/>
      <c r="Y24" s="207"/>
      <c r="Z24" s="207"/>
      <c r="AA24" s="207"/>
      <c r="AB24" s="207"/>
      <c r="AC24" s="207"/>
      <c r="AD24" s="207"/>
      <c r="AE24" s="208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6">
        <v>0.14</v>
      </c>
      <c r="BD24" s="206">
        <v>0.33</v>
      </c>
      <c r="BE24" s="206">
        <v>0.25</v>
      </c>
      <c r="BF24" s="206">
        <v>0.15</v>
      </c>
      <c r="BG24" s="206">
        <v>0.07</v>
      </c>
      <c r="BH24" s="206">
        <v>0.04</v>
      </c>
      <c r="BI24" s="206">
        <v>0.02</v>
      </c>
      <c r="BJ24" s="207"/>
      <c r="BK24" s="207"/>
      <c r="BL24" s="207"/>
    </row>
    <row r="25" ht="15.75" customHeight="1">
      <c r="A25" s="43" t="s">
        <v>74</v>
      </c>
      <c r="B25" s="205"/>
      <c r="C25" s="205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6">
        <f>227/255</f>
        <v>0.8901960784</v>
      </c>
      <c r="W25" s="206">
        <v>0.1</v>
      </c>
      <c r="X25" s="206">
        <v>0.01</v>
      </c>
      <c r="Y25" s="207"/>
      <c r="Z25" s="207"/>
      <c r="AA25" s="207"/>
      <c r="AB25" s="207"/>
      <c r="AC25" s="207"/>
      <c r="AD25" s="207"/>
      <c r="AE25" s="208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6">
        <v>0.14</v>
      </c>
      <c r="BE25" s="206">
        <v>0.33</v>
      </c>
      <c r="BF25" s="206">
        <v>0.25</v>
      </c>
      <c r="BG25" s="206">
        <v>0.15</v>
      </c>
      <c r="BH25" s="206">
        <v>0.07</v>
      </c>
      <c r="BI25" s="206">
        <v>0.04</v>
      </c>
      <c r="BJ25" s="206">
        <v>0.02</v>
      </c>
      <c r="BK25" s="207"/>
      <c r="BL25" s="207"/>
    </row>
    <row r="26" ht="15.75" customHeight="1">
      <c r="A26" s="43" t="s">
        <v>75</v>
      </c>
      <c r="B26" s="205"/>
      <c r="C26" s="205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6">
        <f>227/255</f>
        <v>0.8901960784</v>
      </c>
      <c r="X26" s="206">
        <v>0.1</v>
      </c>
      <c r="Y26" s="206">
        <v>0.01</v>
      </c>
      <c r="Z26" s="207"/>
      <c r="AA26" s="207"/>
      <c r="AB26" s="207"/>
      <c r="AC26" s="207"/>
      <c r="AD26" s="207"/>
      <c r="AE26" s="208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6">
        <v>0.14</v>
      </c>
      <c r="BF26" s="206">
        <v>0.33</v>
      </c>
      <c r="BG26" s="206">
        <v>0.25</v>
      </c>
      <c r="BH26" s="206">
        <v>0.15</v>
      </c>
      <c r="BI26" s="206">
        <v>0.07</v>
      </c>
      <c r="BJ26" s="206">
        <v>0.04</v>
      </c>
      <c r="BK26" s="206">
        <v>0.02</v>
      </c>
      <c r="BL26" s="207"/>
    </row>
    <row r="27" ht="15.75" customHeight="1">
      <c r="A27" s="43" t="s">
        <v>76</v>
      </c>
      <c r="B27" s="205"/>
      <c r="C27" s="205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6">
        <f>227/255</f>
        <v>0.8901960784</v>
      </c>
      <c r="Y27" s="206">
        <v>0.1</v>
      </c>
      <c r="Z27" s="206">
        <v>0.01</v>
      </c>
      <c r="AA27" s="207"/>
      <c r="AB27" s="207"/>
      <c r="AC27" s="207"/>
      <c r="AD27" s="207"/>
      <c r="AE27" s="208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6">
        <v>0.14</v>
      </c>
      <c r="BG27" s="206">
        <v>0.33</v>
      </c>
      <c r="BH27" s="206">
        <v>0.25</v>
      </c>
      <c r="BI27" s="206">
        <v>0.15</v>
      </c>
      <c r="BJ27" s="206">
        <v>0.07</v>
      </c>
      <c r="BK27" s="206">
        <v>0.04</v>
      </c>
      <c r="BL27" s="206">
        <v>0.02</v>
      </c>
    </row>
    <row r="28" ht="15.75" customHeight="1">
      <c r="A28" s="43" t="s">
        <v>77</v>
      </c>
      <c r="B28" s="205"/>
      <c r="C28" s="205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6">
        <f>227/255</f>
        <v>0.8901960784</v>
      </c>
      <c r="Z28" s="206">
        <v>0.1</v>
      </c>
      <c r="AA28" s="206">
        <v>0.01</v>
      </c>
      <c r="AB28" s="207"/>
      <c r="AC28" s="207"/>
      <c r="AD28" s="207"/>
      <c r="AE28" s="208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6">
        <v>0.14</v>
      </c>
      <c r="BH28" s="206">
        <v>0.33</v>
      </c>
      <c r="BI28" s="206">
        <v>0.25</v>
      </c>
      <c r="BJ28" s="206">
        <v>0.15</v>
      </c>
      <c r="BK28" s="206">
        <v>0.07</v>
      </c>
      <c r="BL28" s="206">
        <v>0.04</v>
      </c>
    </row>
    <row r="29" ht="15.75" customHeight="1">
      <c r="A29" s="43" t="s">
        <v>78</v>
      </c>
      <c r="B29" s="205"/>
      <c r="C29" s="205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6">
        <v>0.89</v>
      </c>
      <c r="AA29" s="206">
        <v>0.1</v>
      </c>
      <c r="AB29" s="206">
        <v>0.01</v>
      </c>
      <c r="AC29" s="207"/>
      <c r="AD29" s="207"/>
      <c r="AE29" s="208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6">
        <v>0.14</v>
      </c>
      <c r="BI29" s="206">
        <v>0.33</v>
      </c>
      <c r="BJ29" s="206">
        <v>0.25</v>
      </c>
      <c r="BK29" s="206">
        <v>0.15</v>
      </c>
      <c r="BL29" s="206">
        <v>0.07</v>
      </c>
    </row>
    <row r="30" ht="15.75" customHeight="1">
      <c r="A30" s="43" t="s">
        <v>79</v>
      </c>
      <c r="B30" s="205"/>
      <c r="C30" s="205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6">
        <v>0.89</v>
      </c>
      <c r="AB30" s="206">
        <v>0.1</v>
      </c>
      <c r="AC30" s="206">
        <v>0.01</v>
      </c>
      <c r="AD30" s="207"/>
      <c r="AE30" s="208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6">
        <v>0.14</v>
      </c>
      <c r="BJ30" s="206">
        <v>0.33</v>
      </c>
      <c r="BK30" s="206">
        <v>0.25</v>
      </c>
      <c r="BL30" s="206">
        <v>0.15</v>
      </c>
    </row>
    <row r="31" ht="15.75" customHeight="1">
      <c r="A31" s="43" t="s">
        <v>80</v>
      </c>
      <c r="B31" s="205"/>
      <c r="C31" s="205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6">
        <v>0.89</v>
      </c>
      <c r="AC31" s="206">
        <v>0.1</v>
      </c>
      <c r="AD31" s="206">
        <v>0.01</v>
      </c>
      <c r="AE31" s="208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6">
        <v>0.14</v>
      </c>
      <c r="BK31" s="206">
        <v>0.33</v>
      </c>
      <c r="BL31" s="206">
        <v>0.25</v>
      </c>
    </row>
    <row r="32" ht="15.75" customHeight="1">
      <c r="A32" s="43" t="s">
        <v>81</v>
      </c>
      <c r="B32" s="205"/>
      <c r="C32" s="205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6">
        <v>0.89</v>
      </c>
      <c r="AD32" s="206">
        <v>0.1</v>
      </c>
      <c r="AE32" s="208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6">
        <v>0.14</v>
      </c>
      <c r="BL32" s="206">
        <v>0.33</v>
      </c>
    </row>
    <row r="33" ht="15.75" customHeight="1">
      <c r="A33" s="43" t="s">
        <v>82</v>
      </c>
      <c r="B33" s="205"/>
      <c r="C33" s="205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6">
        <v>0.89</v>
      </c>
      <c r="AE33" s="208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6">
        <v>0.14</v>
      </c>
    </row>
    <row r="34" ht="15.75" customHeight="1">
      <c r="A34" s="205"/>
      <c r="B34" s="209" t="s">
        <v>54</v>
      </c>
      <c r="C34" s="209" t="s">
        <v>170</v>
      </c>
      <c r="D34" s="209" t="s">
        <v>7</v>
      </c>
      <c r="E34" s="209" t="s">
        <v>8</v>
      </c>
      <c r="F34" s="209" t="s">
        <v>9</v>
      </c>
      <c r="G34" s="209" t="s">
        <v>10</v>
      </c>
      <c r="H34" s="209" t="s">
        <v>11</v>
      </c>
      <c r="I34" s="209" t="s">
        <v>12</v>
      </c>
      <c r="J34" s="209" t="s">
        <v>13</v>
      </c>
      <c r="K34" s="209" t="s">
        <v>63</v>
      </c>
      <c r="L34" s="209" t="s">
        <v>64</v>
      </c>
      <c r="M34" s="209" t="s">
        <v>65</v>
      </c>
      <c r="N34" s="209" t="s">
        <v>66</v>
      </c>
      <c r="O34" s="209" t="s">
        <v>67</v>
      </c>
      <c r="P34" s="209" t="s">
        <v>68</v>
      </c>
      <c r="Q34" s="209" t="s">
        <v>69</v>
      </c>
      <c r="R34" s="209" t="s">
        <v>70</v>
      </c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04"/>
      <c r="AF34" s="209" t="s">
        <v>14</v>
      </c>
      <c r="AG34" s="209" t="s">
        <v>2</v>
      </c>
      <c r="AH34" s="209" t="s">
        <v>3</v>
      </c>
      <c r="AI34" s="209" t="s">
        <v>4</v>
      </c>
      <c r="AJ34" s="209" t="s">
        <v>5</v>
      </c>
      <c r="AK34" s="209" t="s">
        <v>6</v>
      </c>
      <c r="AL34" s="209" t="s">
        <v>7</v>
      </c>
      <c r="AM34" s="209" t="s">
        <v>8</v>
      </c>
      <c r="AN34" s="209" t="s">
        <v>9</v>
      </c>
      <c r="AO34" s="209" t="s">
        <v>10</v>
      </c>
      <c r="AP34" s="209" t="s">
        <v>11</v>
      </c>
      <c r="AQ34" s="209" t="s">
        <v>12</v>
      </c>
      <c r="AR34" s="209" t="s">
        <v>13</v>
      </c>
      <c r="AS34" s="209" t="s">
        <v>63</v>
      </c>
      <c r="AT34" s="209" t="s">
        <v>64</v>
      </c>
      <c r="AU34" s="209" t="s">
        <v>65</v>
      </c>
      <c r="AV34" s="209" t="s">
        <v>66</v>
      </c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</row>
    <row r="35" ht="15.75" customHeight="1">
      <c r="A35" s="209" t="s">
        <v>2</v>
      </c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04"/>
      <c r="AF35" s="212">
        <v>0.0</v>
      </c>
      <c r="AG35" s="53">
        <f t="shared" ref="AG35:AM35" si="1">$AF35*AG2</f>
        <v>0</v>
      </c>
      <c r="AH35" s="53">
        <f t="shared" si="1"/>
        <v>0</v>
      </c>
      <c r="AI35" s="53">
        <f t="shared" si="1"/>
        <v>0</v>
      </c>
      <c r="AJ35" s="53">
        <f t="shared" si="1"/>
        <v>0</v>
      </c>
      <c r="AK35" s="53">
        <f t="shared" si="1"/>
        <v>0</v>
      </c>
      <c r="AL35" s="53">
        <f t="shared" si="1"/>
        <v>0</v>
      </c>
      <c r="AM35" s="53">
        <f t="shared" si="1"/>
        <v>0</v>
      </c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</row>
    <row r="36" ht="15.75" customHeight="1">
      <c r="A36" s="209" t="s">
        <v>3</v>
      </c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04"/>
      <c r="AF36" s="212">
        <v>0.0</v>
      </c>
      <c r="AG36" s="211"/>
      <c r="AH36" s="53">
        <f t="shared" ref="AH36:AN36" si="2">$AF36*AH3</f>
        <v>0</v>
      </c>
      <c r="AI36" s="53">
        <f t="shared" si="2"/>
        <v>0</v>
      </c>
      <c r="AJ36" s="53">
        <f t="shared" si="2"/>
        <v>0</v>
      </c>
      <c r="AK36" s="53">
        <f t="shared" si="2"/>
        <v>0</v>
      </c>
      <c r="AL36" s="53">
        <f t="shared" si="2"/>
        <v>0</v>
      </c>
      <c r="AM36" s="53">
        <f t="shared" si="2"/>
        <v>0</v>
      </c>
      <c r="AN36" s="53">
        <f t="shared" si="2"/>
        <v>0</v>
      </c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</row>
    <row r="37" ht="15.75" customHeight="1">
      <c r="A37" s="209" t="s">
        <v>4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04"/>
      <c r="AF37" s="212">
        <v>0.0</v>
      </c>
      <c r="AG37" s="207"/>
      <c r="AH37" s="211"/>
      <c r="AI37" s="53">
        <f t="shared" ref="AI37:AO37" si="3">$AF37*AI4</f>
        <v>0</v>
      </c>
      <c r="AJ37" s="53">
        <f t="shared" si="3"/>
        <v>0</v>
      </c>
      <c r="AK37" s="53">
        <f t="shared" si="3"/>
        <v>0</v>
      </c>
      <c r="AL37" s="53">
        <f t="shared" si="3"/>
        <v>0</v>
      </c>
      <c r="AM37" s="53">
        <f t="shared" si="3"/>
        <v>0</v>
      </c>
      <c r="AN37" s="53">
        <f t="shared" si="3"/>
        <v>0</v>
      </c>
      <c r="AO37" s="53">
        <f t="shared" si="3"/>
        <v>0</v>
      </c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</row>
    <row r="38" ht="15.75" customHeight="1">
      <c r="A38" s="209" t="s">
        <v>5</v>
      </c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04"/>
      <c r="AF38" s="212">
        <v>0.0</v>
      </c>
      <c r="AG38" s="207"/>
      <c r="AH38" s="211"/>
      <c r="AI38" s="211"/>
      <c r="AJ38" s="53">
        <f t="shared" ref="AJ38:AP38" si="4">$AF38*AJ5</f>
        <v>0</v>
      </c>
      <c r="AK38" s="53">
        <f t="shared" si="4"/>
        <v>0</v>
      </c>
      <c r="AL38" s="53">
        <f t="shared" si="4"/>
        <v>0</v>
      </c>
      <c r="AM38" s="53">
        <f t="shared" si="4"/>
        <v>0</v>
      </c>
      <c r="AN38" s="53">
        <f t="shared" si="4"/>
        <v>0</v>
      </c>
      <c r="AO38" s="53">
        <f t="shared" si="4"/>
        <v>0</v>
      </c>
      <c r="AP38" s="53">
        <f t="shared" si="4"/>
        <v>0</v>
      </c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</row>
    <row r="39" ht="15.75" customHeight="1">
      <c r="A39" s="209" t="s">
        <v>6</v>
      </c>
      <c r="B39" s="159"/>
      <c r="C39" s="159"/>
      <c r="D39" s="53">
        <f>$B39*D6</f>
        <v>0</v>
      </c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04"/>
      <c r="AF39" s="212">
        <v>0.0</v>
      </c>
      <c r="AG39" s="207"/>
      <c r="AH39" s="211"/>
      <c r="AI39" s="211"/>
      <c r="AJ39" s="211"/>
      <c r="AK39" s="53">
        <f t="shared" ref="AK39:AQ39" si="5">$AF39*AK6</f>
        <v>0</v>
      </c>
      <c r="AL39" s="53">
        <f t="shared" si="5"/>
        <v>0</v>
      </c>
      <c r="AM39" s="53">
        <f t="shared" si="5"/>
        <v>0</v>
      </c>
      <c r="AN39" s="53">
        <f t="shared" si="5"/>
        <v>0</v>
      </c>
      <c r="AO39" s="53">
        <f t="shared" si="5"/>
        <v>0</v>
      </c>
      <c r="AP39" s="53">
        <f t="shared" si="5"/>
        <v>0</v>
      </c>
      <c r="AQ39" s="53">
        <f t="shared" si="5"/>
        <v>0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</row>
    <row r="40" ht="15.75" customHeight="1">
      <c r="A40" s="209" t="s">
        <v>7</v>
      </c>
      <c r="B40" s="205"/>
      <c r="C40" s="207"/>
      <c r="D40" s="53">
        <f t="shared" ref="D40:F40" si="6">$B40*D7*$C40</f>
        <v>0</v>
      </c>
      <c r="E40" s="53">
        <f t="shared" si="6"/>
        <v>0</v>
      </c>
      <c r="F40" s="53">
        <f t="shared" si="6"/>
        <v>0</v>
      </c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5"/>
      <c r="AF40" s="216">
        <f t="array" ref="AF40:AF66">transpose(D67:AD67)</f>
        <v>0</v>
      </c>
      <c r="AG40" s="207"/>
      <c r="AH40" s="211"/>
      <c r="AI40" s="211"/>
      <c r="AJ40" s="211"/>
      <c r="AK40" s="211"/>
      <c r="AL40" s="53">
        <f t="shared" ref="AL40:AR40" si="7">$AF40*AL7</f>
        <v>0</v>
      </c>
      <c r="AM40" s="53">
        <f t="shared" si="7"/>
        <v>0</v>
      </c>
      <c r="AN40" s="53">
        <f t="shared" si="7"/>
        <v>0</v>
      </c>
      <c r="AO40" s="53">
        <f t="shared" si="7"/>
        <v>0</v>
      </c>
      <c r="AP40" s="53">
        <f t="shared" si="7"/>
        <v>0</v>
      </c>
      <c r="AQ40" s="53">
        <f t="shared" si="7"/>
        <v>0</v>
      </c>
      <c r="AR40" s="53">
        <f t="shared" si="7"/>
        <v>0</v>
      </c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</row>
    <row r="41" ht="15.75" customHeight="1">
      <c r="A41" s="209" t="s">
        <v>8</v>
      </c>
      <c r="B41" s="205"/>
      <c r="C41" s="207"/>
      <c r="D41" s="211"/>
      <c r="E41" s="53">
        <f t="shared" ref="E41:G41" si="8">$B41*E8*$C41</f>
        <v>0</v>
      </c>
      <c r="F41" s="53">
        <f t="shared" si="8"/>
        <v>0</v>
      </c>
      <c r="G41" s="53">
        <f t="shared" si="8"/>
        <v>0</v>
      </c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7"/>
      <c r="AF41" s="53">
        <v>0.0</v>
      </c>
      <c r="AG41" s="207"/>
      <c r="AH41" s="211"/>
      <c r="AI41" s="211"/>
      <c r="AJ41" s="211"/>
      <c r="AK41" s="211"/>
      <c r="AL41" s="211"/>
      <c r="AM41" s="53">
        <f t="shared" ref="AM41:AS41" si="9">$AF41*AM8</f>
        <v>0</v>
      </c>
      <c r="AN41" s="53">
        <f t="shared" si="9"/>
        <v>0</v>
      </c>
      <c r="AO41" s="53">
        <f t="shared" si="9"/>
        <v>0</v>
      </c>
      <c r="AP41" s="53">
        <f t="shared" si="9"/>
        <v>0</v>
      </c>
      <c r="AQ41" s="53">
        <f t="shared" si="9"/>
        <v>0</v>
      </c>
      <c r="AR41" s="53">
        <f t="shared" si="9"/>
        <v>0</v>
      </c>
      <c r="AS41" s="53">
        <f t="shared" si="9"/>
        <v>0</v>
      </c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</row>
    <row r="42" ht="15.75" customHeight="1">
      <c r="A42" s="209" t="s">
        <v>9</v>
      </c>
      <c r="B42" s="205"/>
      <c r="C42" s="207"/>
      <c r="D42" s="205"/>
      <c r="E42" s="211"/>
      <c r="F42" s="53">
        <f t="shared" ref="F42:H42" si="10">$B42*F9*$C42</f>
        <v>0</v>
      </c>
      <c r="G42" s="53">
        <f t="shared" si="10"/>
        <v>0</v>
      </c>
      <c r="H42" s="53">
        <f t="shared" si="10"/>
        <v>0</v>
      </c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7"/>
      <c r="AF42" s="53">
        <v>0.0</v>
      </c>
      <c r="AG42" s="207"/>
      <c r="AH42" s="211"/>
      <c r="AI42" s="211"/>
      <c r="AJ42" s="211"/>
      <c r="AK42" s="211"/>
      <c r="AL42" s="211"/>
      <c r="AM42" s="211"/>
      <c r="AN42" s="53">
        <f t="shared" ref="AN42:AT42" si="11">$AF42*AN9</f>
        <v>0</v>
      </c>
      <c r="AO42" s="53">
        <f t="shared" si="11"/>
        <v>0</v>
      </c>
      <c r="AP42" s="53">
        <f t="shared" si="11"/>
        <v>0</v>
      </c>
      <c r="AQ42" s="53">
        <f t="shared" si="11"/>
        <v>0</v>
      </c>
      <c r="AR42" s="53">
        <f t="shared" si="11"/>
        <v>0</v>
      </c>
      <c r="AS42" s="53">
        <f t="shared" si="11"/>
        <v>0</v>
      </c>
      <c r="AT42" s="53">
        <f t="shared" si="11"/>
        <v>0</v>
      </c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</row>
    <row r="43" ht="15.75" customHeight="1">
      <c r="A43" s="209" t="s">
        <v>10</v>
      </c>
      <c r="B43" s="213">
        <v>5.0</v>
      </c>
      <c r="C43" s="214">
        <v>0.4</v>
      </c>
      <c r="D43" s="205"/>
      <c r="E43" s="205"/>
      <c r="F43" s="211"/>
      <c r="G43" s="53">
        <f t="shared" ref="G43:I43" si="12">$B43*G10*$C43</f>
        <v>1.780392157</v>
      </c>
      <c r="H43" s="53">
        <f t="shared" si="12"/>
        <v>0.2</v>
      </c>
      <c r="I43" s="53">
        <f t="shared" si="12"/>
        <v>0.02</v>
      </c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7"/>
      <c r="AF43" s="53">
        <v>1.7803921568627452</v>
      </c>
      <c r="AG43" s="207"/>
      <c r="AH43" s="211"/>
      <c r="AI43" s="211"/>
      <c r="AJ43" s="211"/>
      <c r="AK43" s="211"/>
      <c r="AL43" s="211"/>
      <c r="AM43" s="211"/>
      <c r="AN43" s="211"/>
      <c r="AO43" s="53">
        <f t="shared" ref="AO43:AU43" si="13">$AF43*AO10</f>
        <v>0.249254902</v>
      </c>
      <c r="AP43" s="53">
        <f t="shared" si="13"/>
        <v>0.5875294118</v>
      </c>
      <c r="AQ43" s="53">
        <f t="shared" si="13"/>
        <v>0.4450980392</v>
      </c>
      <c r="AR43" s="53">
        <f t="shared" si="13"/>
        <v>0.2670588235</v>
      </c>
      <c r="AS43" s="53">
        <f t="shared" si="13"/>
        <v>0.124627451</v>
      </c>
      <c r="AT43" s="53">
        <f t="shared" si="13"/>
        <v>0.07121568627</v>
      </c>
      <c r="AU43" s="53">
        <f t="shared" si="13"/>
        <v>0.03560784314</v>
      </c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</row>
    <row r="44" ht="15.75" customHeight="1">
      <c r="A44" s="209" t="s">
        <v>11</v>
      </c>
      <c r="B44" s="213">
        <v>5.0</v>
      </c>
      <c r="C44" s="214">
        <v>0.4</v>
      </c>
      <c r="D44" s="205"/>
      <c r="E44" s="205"/>
      <c r="F44" s="205"/>
      <c r="G44" s="205"/>
      <c r="H44" s="53">
        <f t="shared" ref="H44:J44" si="14">$B44*H11*$C44</f>
        <v>1.780392157</v>
      </c>
      <c r="I44" s="53">
        <f t="shared" si="14"/>
        <v>0.2</v>
      </c>
      <c r="J44" s="53">
        <f t="shared" si="14"/>
        <v>0.02</v>
      </c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7"/>
      <c r="AF44" s="53">
        <v>1.9803921568627452</v>
      </c>
      <c r="AG44" s="207"/>
      <c r="AH44" s="211"/>
      <c r="AI44" s="211"/>
      <c r="AJ44" s="211"/>
      <c r="AK44" s="211"/>
      <c r="AL44" s="211"/>
      <c r="AM44" s="211"/>
      <c r="AN44" s="211"/>
      <c r="AO44" s="211"/>
      <c r="AP44" s="53">
        <f t="shared" ref="AP44:AV44" si="15">$AF44*AP11</f>
        <v>0.277254902</v>
      </c>
      <c r="AQ44" s="53">
        <f t="shared" si="15"/>
        <v>0.6535294118</v>
      </c>
      <c r="AR44" s="53">
        <f t="shared" si="15"/>
        <v>0.4950980392</v>
      </c>
      <c r="AS44" s="53">
        <f t="shared" si="15"/>
        <v>0.2970588235</v>
      </c>
      <c r="AT44" s="53">
        <f t="shared" si="15"/>
        <v>0.138627451</v>
      </c>
      <c r="AU44" s="53">
        <f t="shared" si="15"/>
        <v>0.07921568627</v>
      </c>
      <c r="AV44" s="53">
        <f t="shared" si="15"/>
        <v>0.03960784314</v>
      </c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</row>
    <row r="45" ht="15.75" customHeight="1">
      <c r="A45" s="209" t="s">
        <v>12</v>
      </c>
      <c r="B45" s="213">
        <v>5.0</v>
      </c>
      <c r="C45" s="214">
        <v>0.4</v>
      </c>
      <c r="D45" s="205"/>
      <c r="E45" s="205"/>
      <c r="F45" s="205"/>
      <c r="G45" s="205"/>
      <c r="H45" s="205"/>
      <c r="I45" s="53">
        <f t="shared" ref="I45:K45" si="16">$B45*I12*$C45</f>
        <v>1.780392157</v>
      </c>
      <c r="J45" s="53">
        <f t="shared" si="16"/>
        <v>0.2</v>
      </c>
      <c r="K45" s="53">
        <f t="shared" si="16"/>
        <v>0.02</v>
      </c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7"/>
      <c r="AF45" s="53">
        <v>2.000392156862745</v>
      </c>
      <c r="AG45" s="207"/>
      <c r="AH45" s="211"/>
      <c r="AI45" s="211"/>
      <c r="AJ45" s="211"/>
      <c r="AK45" s="211"/>
      <c r="AL45" s="211"/>
      <c r="AM45" s="211"/>
      <c r="AN45" s="211"/>
      <c r="AO45" s="211"/>
      <c r="AP45" s="211"/>
      <c r="AQ45" s="53">
        <f t="shared" ref="AQ45:AW45" si="17">$AF45*AQ12</f>
        <v>0.280054902</v>
      </c>
      <c r="AR45" s="53">
        <f t="shared" si="17"/>
        <v>0.6601294118</v>
      </c>
      <c r="AS45" s="53">
        <f t="shared" si="17"/>
        <v>0.5000980392</v>
      </c>
      <c r="AT45" s="53">
        <f t="shared" si="17"/>
        <v>0.3000588235</v>
      </c>
      <c r="AU45" s="53">
        <f t="shared" si="17"/>
        <v>0.140027451</v>
      </c>
      <c r="AV45" s="53">
        <f t="shared" si="17"/>
        <v>0.08001568627</v>
      </c>
      <c r="AW45" s="53">
        <f t="shared" si="17"/>
        <v>0.04000784314</v>
      </c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</row>
    <row r="46" ht="15.75" customHeight="1">
      <c r="A46" s="209" t="s">
        <v>13</v>
      </c>
      <c r="B46" s="213">
        <v>5.0</v>
      </c>
      <c r="C46" s="214">
        <v>0.4</v>
      </c>
      <c r="D46" s="205"/>
      <c r="E46" s="205"/>
      <c r="F46" s="205"/>
      <c r="G46" s="205"/>
      <c r="H46" s="205"/>
      <c r="I46" s="205"/>
      <c r="J46" s="53">
        <f t="shared" ref="J46:L46" si="18">$B46*J13*$C46</f>
        <v>1.780392157</v>
      </c>
      <c r="K46" s="53">
        <f t="shared" si="18"/>
        <v>0.2</v>
      </c>
      <c r="L46" s="53">
        <f t="shared" si="18"/>
        <v>0.02</v>
      </c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7"/>
      <c r="AF46" s="53">
        <v>2.000392156862745</v>
      </c>
      <c r="AG46" s="207"/>
      <c r="AH46" s="211"/>
      <c r="AI46" s="211"/>
      <c r="AJ46" s="211"/>
      <c r="AK46" s="211"/>
      <c r="AL46" s="211"/>
      <c r="AM46" s="211"/>
      <c r="AN46" s="211"/>
      <c r="AO46" s="211"/>
      <c r="AP46" s="207"/>
      <c r="AQ46" s="211"/>
      <c r="AR46" s="53">
        <f t="shared" ref="AR46:AX46" si="19">$AF46*AR13</f>
        <v>0.280054902</v>
      </c>
      <c r="AS46" s="53">
        <f t="shared" si="19"/>
        <v>0.6601294118</v>
      </c>
      <c r="AT46" s="53">
        <f t="shared" si="19"/>
        <v>0.5000980392</v>
      </c>
      <c r="AU46" s="53">
        <f t="shared" si="19"/>
        <v>0.3000588235</v>
      </c>
      <c r="AV46" s="53">
        <f t="shared" si="19"/>
        <v>0.140027451</v>
      </c>
      <c r="AW46" s="53">
        <f t="shared" si="19"/>
        <v>0.08001568627</v>
      </c>
      <c r="AX46" s="53">
        <f t="shared" si="19"/>
        <v>0.04000784314</v>
      </c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</row>
    <row r="47" ht="15.75" customHeight="1">
      <c r="A47" s="209" t="s">
        <v>63</v>
      </c>
      <c r="B47" s="213">
        <v>12.0</v>
      </c>
      <c r="C47" s="214">
        <v>0.45</v>
      </c>
      <c r="D47" s="205"/>
      <c r="E47" s="205"/>
      <c r="F47" s="205"/>
      <c r="G47" s="205"/>
      <c r="H47" s="205"/>
      <c r="I47" s="205"/>
      <c r="J47" s="211"/>
      <c r="K47" s="53">
        <f t="shared" ref="K47:M47" si="20">$B47*K14*$C47</f>
        <v>4.807058824</v>
      </c>
      <c r="L47" s="53">
        <f t="shared" si="20"/>
        <v>0.54</v>
      </c>
      <c r="M47" s="53">
        <f t="shared" si="20"/>
        <v>0.054</v>
      </c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7"/>
      <c r="AF47" s="53">
        <v>5.027058823529411</v>
      </c>
      <c r="AG47" s="207"/>
      <c r="AH47" s="211"/>
      <c r="AI47" s="211"/>
      <c r="AJ47" s="211"/>
      <c r="AK47" s="211"/>
      <c r="AL47" s="211"/>
      <c r="AM47" s="211"/>
      <c r="AN47" s="211"/>
      <c r="AO47" s="211"/>
      <c r="AP47" s="207"/>
      <c r="AQ47" s="211"/>
      <c r="AR47" s="211"/>
      <c r="AS47" s="53">
        <f t="shared" ref="AS47:AY47" si="21">$AF47*AS14</f>
        <v>0.7037882353</v>
      </c>
      <c r="AT47" s="53">
        <f t="shared" si="21"/>
        <v>1.658929412</v>
      </c>
      <c r="AU47" s="53">
        <f t="shared" si="21"/>
        <v>1.256764706</v>
      </c>
      <c r="AV47" s="53">
        <f t="shared" si="21"/>
        <v>0.7540588235</v>
      </c>
      <c r="AW47" s="53">
        <f t="shared" si="21"/>
        <v>0.3518941176</v>
      </c>
      <c r="AX47" s="53">
        <f t="shared" si="21"/>
        <v>0.2010823529</v>
      </c>
      <c r="AY47" s="53">
        <f t="shared" si="21"/>
        <v>0.1005411765</v>
      </c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</row>
    <row r="48" ht="15.75" customHeight="1">
      <c r="A48" s="209" t="s">
        <v>64</v>
      </c>
      <c r="B48" s="213">
        <v>15.0</v>
      </c>
      <c r="C48" s="214">
        <v>0.45</v>
      </c>
      <c r="D48" s="205"/>
      <c r="E48" s="205"/>
      <c r="F48" s="205"/>
      <c r="G48" s="205"/>
      <c r="H48" s="205"/>
      <c r="I48" s="205"/>
      <c r="J48" s="211"/>
      <c r="K48" s="211"/>
      <c r="L48" s="53">
        <f t="shared" ref="L48:N48" si="22">$B48*L15*$C48</f>
        <v>6.008823529</v>
      </c>
      <c r="M48" s="53">
        <f t="shared" si="22"/>
        <v>0.675</v>
      </c>
      <c r="N48" s="53">
        <f t="shared" si="22"/>
        <v>0.0675</v>
      </c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7"/>
      <c r="AF48" s="53">
        <v>6.568823529411765</v>
      </c>
      <c r="AG48" s="207"/>
      <c r="AH48" s="211"/>
      <c r="AI48" s="211"/>
      <c r="AJ48" s="211"/>
      <c r="AK48" s="211"/>
      <c r="AL48" s="211"/>
      <c r="AM48" s="211"/>
      <c r="AN48" s="211"/>
      <c r="AO48" s="211"/>
      <c r="AP48" s="207"/>
      <c r="AQ48" s="211"/>
      <c r="AR48" s="211"/>
      <c r="AS48" s="211"/>
      <c r="AT48" s="53">
        <f t="shared" ref="AT48:AZ48" si="23">$AF48*AT15</f>
        <v>0.9196352941</v>
      </c>
      <c r="AU48" s="53">
        <f t="shared" si="23"/>
        <v>2.167711765</v>
      </c>
      <c r="AV48" s="53">
        <f t="shared" si="23"/>
        <v>1.642205882</v>
      </c>
      <c r="AW48" s="53">
        <f t="shared" si="23"/>
        <v>0.9853235294</v>
      </c>
      <c r="AX48" s="53">
        <f t="shared" si="23"/>
        <v>0.4598176471</v>
      </c>
      <c r="AY48" s="53">
        <f t="shared" si="23"/>
        <v>0.2627529412</v>
      </c>
      <c r="AZ48" s="53">
        <f t="shared" si="23"/>
        <v>0.1313764706</v>
      </c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</row>
    <row r="49" ht="15.75" customHeight="1">
      <c r="A49" s="209" t="s">
        <v>65</v>
      </c>
      <c r="B49" s="213">
        <v>19.0</v>
      </c>
      <c r="C49" s="214">
        <v>0.45</v>
      </c>
      <c r="D49" s="205"/>
      <c r="E49" s="205"/>
      <c r="F49" s="205"/>
      <c r="G49" s="205"/>
      <c r="H49" s="205"/>
      <c r="I49" s="205"/>
      <c r="J49" s="211"/>
      <c r="K49" s="211"/>
      <c r="L49" s="211"/>
      <c r="M49" s="53">
        <f t="shared" ref="M49:O49" si="24">$B49*M16*$C49</f>
        <v>7.611176471</v>
      </c>
      <c r="N49" s="53">
        <f t="shared" si="24"/>
        <v>0.855</v>
      </c>
      <c r="O49" s="53">
        <f t="shared" si="24"/>
        <v>0.0855</v>
      </c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7"/>
      <c r="AF49" s="53">
        <v>8.340176470588236</v>
      </c>
      <c r="AG49" s="207"/>
      <c r="AH49" s="211"/>
      <c r="AI49" s="211"/>
      <c r="AJ49" s="211"/>
      <c r="AK49" s="211"/>
      <c r="AL49" s="211"/>
      <c r="AM49" s="211"/>
      <c r="AN49" s="211"/>
      <c r="AO49" s="211"/>
      <c r="AP49" s="207"/>
      <c r="AQ49" s="211"/>
      <c r="AR49" s="211"/>
      <c r="AS49" s="211"/>
      <c r="AT49" s="211"/>
      <c r="AU49" s="53">
        <f t="shared" ref="AU49:BA49" si="25">$AF49*AU16</f>
        <v>1.167624706</v>
      </c>
      <c r="AV49" s="53">
        <f t="shared" si="25"/>
        <v>2.752258235</v>
      </c>
      <c r="AW49" s="53">
        <f t="shared" si="25"/>
        <v>2.085044118</v>
      </c>
      <c r="AX49" s="53">
        <f t="shared" si="25"/>
        <v>1.251026471</v>
      </c>
      <c r="AY49" s="53">
        <f t="shared" si="25"/>
        <v>0.5838123529</v>
      </c>
      <c r="AZ49" s="53">
        <f t="shared" si="25"/>
        <v>0.3336070588</v>
      </c>
      <c r="BA49" s="53">
        <f t="shared" si="25"/>
        <v>0.1668035294</v>
      </c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</row>
    <row r="50" ht="15.75" customHeight="1">
      <c r="A50" s="209" t="s">
        <v>66</v>
      </c>
      <c r="B50" s="213">
        <v>19.0</v>
      </c>
      <c r="C50" s="214">
        <v>0.45</v>
      </c>
      <c r="D50" s="205"/>
      <c r="E50" s="205"/>
      <c r="F50" s="205"/>
      <c r="G50" s="205"/>
      <c r="H50" s="205"/>
      <c r="I50" s="205"/>
      <c r="J50" s="211"/>
      <c r="K50" s="211"/>
      <c r="L50" s="211"/>
      <c r="M50" s="211"/>
      <c r="N50" s="53">
        <f t="shared" ref="N50:P50" si="26">$B50*N17*$C50</f>
        <v>7.6095</v>
      </c>
      <c r="O50" s="53">
        <f t="shared" si="26"/>
        <v>0.855</v>
      </c>
      <c r="P50" s="53">
        <f t="shared" si="26"/>
        <v>0.0855</v>
      </c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7"/>
      <c r="AF50" s="53">
        <v>8.532</v>
      </c>
      <c r="AG50" s="207"/>
      <c r="AH50" s="211"/>
      <c r="AI50" s="211"/>
      <c r="AJ50" s="211"/>
      <c r="AK50" s="211"/>
      <c r="AL50" s="211"/>
      <c r="AM50" s="211"/>
      <c r="AN50" s="211"/>
      <c r="AO50" s="211"/>
      <c r="AP50" s="207"/>
      <c r="AQ50" s="211"/>
      <c r="AR50" s="211"/>
      <c r="AS50" s="211"/>
      <c r="AT50" s="211"/>
      <c r="AU50" s="211"/>
      <c r="AV50" s="53">
        <f t="shared" ref="AV50:BB50" si="27">$AF50*AV17</f>
        <v>1.19448</v>
      </c>
      <c r="AW50" s="53">
        <f t="shared" si="27"/>
        <v>2.81556</v>
      </c>
      <c r="AX50" s="53">
        <f t="shared" si="27"/>
        <v>2.133</v>
      </c>
      <c r="AY50" s="53">
        <f t="shared" si="27"/>
        <v>1.2798</v>
      </c>
      <c r="AZ50" s="53">
        <f t="shared" si="27"/>
        <v>0.59724</v>
      </c>
      <c r="BA50" s="53">
        <f t="shared" si="27"/>
        <v>0.34128</v>
      </c>
      <c r="BB50" s="53">
        <f t="shared" si="27"/>
        <v>0.17064</v>
      </c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</row>
    <row r="51" ht="15.75" customHeight="1">
      <c r="A51" s="209" t="s">
        <v>67</v>
      </c>
      <c r="B51" s="213">
        <v>19.0</v>
      </c>
      <c r="C51" s="214">
        <v>0.45</v>
      </c>
      <c r="D51" s="205"/>
      <c r="E51" s="205"/>
      <c r="F51" s="205"/>
      <c r="G51" s="205"/>
      <c r="H51" s="205"/>
      <c r="I51" s="205"/>
      <c r="J51" s="211"/>
      <c r="K51" s="211"/>
      <c r="L51" s="211"/>
      <c r="M51" s="211"/>
      <c r="N51" s="211"/>
      <c r="O51" s="53">
        <f t="shared" ref="O51:Q51" si="28">$B51*O18*$C51</f>
        <v>7.6095</v>
      </c>
      <c r="P51" s="53">
        <f t="shared" si="28"/>
        <v>0.855</v>
      </c>
      <c r="Q51" s="53">
        <f t="shared" si="28"/>
        <v>0.0855</v>
      </c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7"/>
      <c r="AF51" s="53">
        <v>8.55</v>
      </c>
      <c r="AG51" s="207"/>
      <c r="AH51" s="211"/>
      <c r="AI51" s="211"/>
      <c r="AJ51" s="211"/>
      <c r="AK51" s="211"/>
      <c r="AL51" s="211"/>
      <c r="AM51" s="211"/>
      <c r="AN51" s="211"/>
      <c r="AO51" s="211"/>
      <c r="AP51" s="207"/>
      <c r="AQ51" s="211"/>
      <c r="AR51" s="211"/>
      <c r="AS51" s="211"/>
      <c r="AT51" s="211"/>
      <c r="AU51" s="211"/>
      <c r="AV51" s="211"/>
      <c r="AW51" s="53">
        <f t="shared" ref="AW51:BC51" si="29">$AF51*AW18</f>
        <v>1.197</v>
      </c>
      <c r="AX51" s="53">
        <f t="shared" si="29"/>
        <v>2.8215</v>
      </c>
      <c r="AY51" s="53">
        <f t="shared" si="29"/>
        <v>2.1375</v>
      </c>
      <c r="AZ51" s="53">
        <f t="shared" si="29"/>
        <v>1.2825</v>
      </c>
      <c r="BA51" s="53">
        <f t="shared" si="29"/>
        <v>0.5985</v>
      </c>
      <c r="BB51" s="53">
        <f t="shared" si="29"/>
        <v>0.342</v>
      </c>
      <c r="BC51" s="53">
        <f t="shared" si="29"/>
        <v>0.171</v>
      </c>
      <c r="BD51" s="211"/>
      <c r="BE51" s="211"/>
      <c r="BF51" s="211"/>
      <c r="BG51" s="211"/>
      <c r="BH51" s="211"/>
      <c r="BI51" s="211"/>
      <c r="BJ51" s="211"/>
      <c r="BK51" s="211"/>
      <c r="BL51" s="211"/>
    </row>
    <row r="52" ht="15.75" customHeight="1">
      <c r="A52" s="209" t="s">
        <v>68</v>
      </c>
      <c r="B52" s="213">
        <v>21.0</v>
      </c>
      <c r="C52" s="214">
        <v>0.45</v>
      </c>
      <c r="D52" s="205"/>
      <c r="E52" s="205"/>
      <c r="F52" s="205"/>
      <c r="G52" s="205"/>
      <c r="H52" s="205"/>
      <c r="I52" s="205"/>
      <c r="J52" s="211"/>
      <c r="K52" s="211"/>
      <c r="L52" s="211"/>
      <c r="M52" s="211"/>
      <c r="N52" s="211"/>
      <c r="O52" s="211"/>
      <c r="P52" s="53">
        <f t="shared" ref="P52:R52" si="30">$B52*P19*$C52</f>
        <v>8.4105</v>
      </c>
      <c r="Q52" s="53">
        <f t="shared" si="30"/>
        <v>0.945</v>
      </c>
      <c r="R52" s="53">
        <f t="shared" si="30"/>
        <v>0.0945</v>
      </c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7"/>
      <c r="AF52" s="53">
        <v>9.351</v>
      </c>
      <c r="AG52" s="211"/>
      <c r="AH52" s="211"/>
      <c r="AI52" s="211"/>
      <c r="AJ52" s="211"/>
      <c r="AK52" s="211"/>
      <c r="AL52" s="211"/>
      <c r="AM52" s="211"/>
      <c r="AN52" s="211"/>
      <c r="AO52" s="211"/>
      <c r="AP52" s="207"/>
      <c r="AQ52" s="211"/>
      <c r="AR52" s="211"/>
      <c r="AS52" s="211"/>
      <c r="AT52" s="211"/>
      <c r="AU52" s="211"/>
      <c r="AV52" s="211"/>
      <c r="AW52" s="211"/>
      <c r="AX52" s="53">
        <f t="shared" ref="AX52:BD52" si="31">$AF52*AX19</f>
        <v>1.30914</v>
      </c>
      <c r="AY52" s="53">
        <f t="shared" si="31"/>
        <v>3.08583</v>
      </c>
      <c r="AZ52" s="53">
        <f t="shared" si="31"/>
        <v>2.33775</v>
      </c>
      <c r="BA52" s="53">
        <f t="shared" si="31"/>
        <v>1.40265</v>
      </c>
      <c r="BB52" s="53">
        <f t="shared" si="31"/>
        <v>0.65457</v>
      </c>
      <c r="BC52" s="53">
        <f t="shared" si="31"/>
        <v>0.37404</v>
      </c>
      <c r="BD52" s="53">
        <f t="shared" si="31"/>
        <v>0.18702</v>
      </c>
      <c r="BE52" s="211"/>
      <c r="BF52" s="211"/>
      <c r="BG52" s="211"/>
      <c r="BH52" s="211"/>
      <c r="BI52" s="211"/>
      <c r="BJ52" s="211"/>
      <c r="BK52" s="211"/>
      <c r="BL52" s="211"/>
    </row>
    <row r="53" ht="15.75" customHeight="1">
      <c r="A53" s="209" t="s">
        <v>69</v>
      </c>
      <c r="B53" s="213">
        <f>average($B$51:$B$52)</f>
        <v>20</v>
      </c>
      <c r="C53" s="214">
        <v>0.45</v>
      </c>
      <c r="D53" s="205"/>
      <c r="E53" s="205"/>
      <c r="F53" s="205"/>
      <c r="G53" s="205"/>
      <c r="H53" s="205"/>
      <c r="I53" s="205"/>
      <c r="J53" s="211"/>
      <c r="K53" s="211"/>
      <c r="L53" s="211"/>
      <c r="M53" s="211"/>
      <c r="N53" s="211"/>
      <c r="O53" s="211"/>
      <c r="P53" s="211"/>
      <c r="Q53" s="53">
        <f t="shared" ref="Q53:S53" si="32">$B53*Q20*$C53</f>
        <v>8.01</v>
      </c>
      <c r="R53" s="53">
        <f t="shared" si="32"/>
        <v>0.9</v>
      </c>
      <c r="S53" s="53">
        <f t="shared" si="32"/>
        <v>0.09</v>
      </c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7"/>
      <c r="AF53" s="53">
        <v>9.0405</v>
      </c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53">
        <f t="shared" ref="AY53:BE53" si="33">$AF53*AY20</f>
        <v>1.26567</v>
      </c>
      <c r="AZ53" s="53">
        <f t="shared" si="33"/>
        <v>2.983365</v>
      </c>
      <c r="BA53" s="53">
        <f t="shared" si="33"/>
        <v>2.260125</v>
      </c>
      <c r="BB53" s="53">
        <f t="shared" si="33"/>
        <v>1.356075</v>
      </c>
      <c r="BC53" s="53">
        <f t="shared" si="33"/>
        <v>0.632835</v>
      </c>
      <c r="BD53" s="53">
        <f t="shared" si="33"/>
        <v>0.36162</v>
      </c>
      <c r="BE53" s="53">
        <f t="shared" si="33"/>
        <v>0.18081</v>
      </c>
      <c r="BF53" s="211"/>
      <c r="BG53" s="211"/>
      <c r="BH53" s="211"/>
      <c r="BI53" s="211"/>
      <c r="BJ53" s="211"/>
      <c r="BK53" s="211"/>
      <c r="BL53" s="211"/>
    </row>
    <row r="54" ht="15.75" customHeight="1">
      <c r="A54" s="218" t="s">
        <v>70</v>
      </c>
      <c r="B54" s="213">
        <f t="shared" ref="B54:B55" si="36">average($B$51:$B$52)*1.3</f>
        <v>26</v>
      </c>
      <c r="C54" s="214">
        <v>0.45</v>
      </c>
      <c r="D54" s="205"/>
      <c r="E54" s="205"/>
      <c r="F54" s="205"/>
      <c r="G54" s="205"/>
      <c r="H54" s="205"/>
      <c r="I54" s="205"/>
      <c r="J54" s="211"/>
      <c r="K54" s="211"/>
      <c r="L54" s="211"/>
      <c r="M54" s="211"/>
      <c r="N54" s="211"/>
      <c r="O54" s="211"/>
      <c r="P54" s="211"/>
      <c r="Q54" s="211"/>
      <c r="R54" s="53">
        <f t="shared" ref="R54:T54" si="34">$B54*R21*$C54</f>
        <v>10.413</v>
      </c>
      <c r="S54" s="53">
        <f t="shared" si="34"/>
        <v>1.17</v>
      </c>
      <c r="T54" s="53">
        <f t="shared" si="34"/>
        <v>0.117</v>
      </c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7"/>
      <c r="AF54" s="53">
        <v>11.4075</v>
      </c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53">
        <f t="shared" ref="AZ54:BF54" si="35">$AF54*AZ21</f>
        <v>1.59705</v>
      </c>
      <c r="BA54" s="53">
        <f t="shared" si="35"/>
        <v>3.764475</v>
      </c>
      <c r="BB54" s="53">
        <f t="shared" si="35"/>
        <v>2.851875</v>
      </c>
      <c r="BC54" s="53">
        <f t="shared" si="35"/>
        <v>1.711125</v>
      </c>
      <c r="BD54" s="53">
        <f t="shared" si="35"/>
        <v>0.798525</v>
      </c>
      <c r="BE54" s="53">
        <f t="shared" si="35"/>
        <v>0.4563</v>
      </c>
      <c r="BF54" s="53">
        <f t="shared" si="35"/>
        <v>0.22815</v>
      </c>
      <c r="BG54" s="211"/>
      <c r="BH54" s="211"/>
      <c r="BI54" s="211"/>
      <c r="BJ54" s="211"/>
      <c r="BK54" s="211"/>
      <c r="BL54" s="211"/>
    </row>
    <row r="55" ht="15.75" customHeight="1">
      <c r="A55" s="209" t="s">
        <v>71</v>
      </c>
      <c r="B55" s="213">
        <f t="shared" si="36"/>
        <v>26</v>
      </c>
      <c r="C55" s="214">
        <v>0.45</v>
      </c>
      <c r="D55" s="205"/>
      <c r="E55" s="205"/>
      <c r="F55" s="205"/>
      <c r="G55" s="205"/>
      <c r="H55" s="205"/>
      <c r="I55" s="205"/>
      <c r="J55" s="211"/>
      <c r="K55" s="211"/>
      <c r="L55" s="211"/>
      <c r="M55" s="211"/>
      <c r="N55" s="211"/>
      <c r="O55" s="211"/>
      <c r="P55" s="211"/>
      <c r="Q55" s="211"/>
      <c r="R55" s="211"/>
      <c r="S55" s="53">
        <f t="shared" ref="S55:U55" si="37">$B55*S22*$C55</f>
        <v>10.41529412</v>
      </c>
      <c r="T55" s="53">
        <f t="shared" si="37"/>
        <v>1.17</v>
      </c>
      <c r="U55" s="53">
        <f t="shared" si="37"/>
        <v>0.117</v>
      </c>
      <c r="V55" s="211"/>
      <c r="W55" s="211"/>
      <c r="X55" s="211"/>
      <c r="Y55" s="211"/>
      <c r="Z55" s="211"/>
      <c r="AA55" s="211"/>
      <c r="AB55" s="211"/>
      <c r="AC55" s="211"/>
      <c r="AD55" s="211"/>
      <c r="AE55" s="217"/>
      <c r="AF55" s="53">
        <v>11.67529411764706</v>
      </c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07"/>
      <c r="AZ55" s="211"/>
      <c r="BA55" s="53">
        <f t="shared" ref="BA55:BG55" si="38">$AF55*BA22</f>
        <v>1.634541176</v>
      </c>
      <c r="BB55" s="53">
        <f t="shared" si="38"/>
        <v>3.852847059</v>
      </c>
      <c r="BC55" s="53">
        <f t="shared" si="38"/>
        <v>2.918823529</v>
      </c>
      <c r="BD55" s="53">
        <f t="shared" si="38"/>
        <v>1.751294118</v>
      </c>
      <c r="BE55" s="53">
        <f t="shared" si="38"/>
        <v>0.8172705882</v>
      </c>
      <c r="BF55" s="53">
        <f t="shared" si="38"/>
        <v>0.4670117647</v>
      </c>
      <c r="BG55" s="53">
        <f t="shared" si="38"/>
        <v>0.2335058824</v>
      </c>
      <c r="BH55" s="211"/>
      <c r="BI55" s="211"/>
      <c r="BJ55" s="211"/>
      <c r="BK55" s="211"/>
      <c r="BL55" s="211"/>
    </row>
    <row r="56" ht="15.75" customHeight="1">
      <c r="A56" s="209" t="s">
        <v>72</v>
      </c>
      <c r="B56" s="213">
        <f t="shared" ref="B56:B57" si="41">average($B$51:$B$52)*1.5</f>
        <v>30</v>
      </c>
      <c r="C56" s="214">
        <v>0.45</v>
      </c>
      <c r="D56" s="205"/>
      <c r="E56" s="205"/>
      <c r="F56" s="205"/>
      <c r="G56" s="205"/>
      <c r="H56" s="205"/>
      <c r="I56" s="205"/>
      <c r="J56" s="211"/>
      <c r="K56" s="211"/>
      <c r="L56" s="211"/>
      <c r="M56" s="211"/>
      <c r="N56" s="211"/>
      <c r="O56" s="211"/>
      <c r="P56" s="211"/>
      <c r="Q56" s="211"/>
      <c r="R56" s="211"/>
      <c r="S56" s="205"/>
      <c r="T56" s="53">
        <f t="shared" ref="T56:V56" si="39">$B56*T23*$C56</f>
        <v>12.01764706</v>
      </c>
      <c r="U56" s="53">
        <f t="shared" si="39"/>
        <v>1.35</v>
      </c>
      <c r="V56" s="53">
        <f t="shared" si="39"/>
        <v>0.135</v>
      </c>
      <c r="W56" s="211"/>
      <c r="X56" s="211"/>
      <c r="Y56" s="211"/>
      <c r="Z56" s="211"/>
      <c r="AA56" s="211"/>
      <c r="AB56" s="211"/>
      <c r="AC56" s="211"/>
      <c r="AD56" s="211"/>
      <c r="AE56" s="217"/>
      <c r="AF56" s="53">
        <v>13.30464705882353</v>
      </c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07"/>
      <c r="AZ56" s="211"/>
      <c r="BA56" s="211"/>
      <c r="BB56" s="53">
        <f t="shared" ref="BB56:BH56" si="40">$AF56*BB23</f>
        <v>1.862650588</v>
      </c>
      <c r="BC56" s="53">
        <f t="shared" si="40"/>
        <v>4.390533529</v>
      </c>
      <c r="BD56" s="53">
        <f t="shared" si="40"/>
        <v>3.326161765</v>
      </c>
      <c r="BE56" s="53">
        <f t="shared" si="40"/>
        <v>1.995697059</v>
      </c>
      <c r="BF56" s="53">
        <f t="shared" si="40"/>
        <v>0.9313252941</v>
      </c>
      <c r="BG56" s="53">
        <f t="shared" si="40"/>
        <v>0.5321858824</v>
      </c>
      <c r="BH56" s="53">
        <f t="shared" si="40"/>
        <v>0.2660929412</v>
      </c>
      <c r="BI56" s="211"/>
      <c r="BJ56" s="211"/>
      <c r="BK56" s="211"/>
      <c r="BL56" s="211"/>
    </row>
    <row r="57" ht="15.75" customHeight="1">
      <c r="A57" s="209" t="s">
        <v>73</v>
      </c>
      <c r="B57" s="213">
        <f t="shared" si="41"/>
        <v>30</v>
      </c>
      <c r="C57" s="214">
        <v>0.45</v>
      </c>
      <c r="D57" s="205"/>
      <c r="E57" s="205"/>
      <c r="F57" s="205"/>
      <c r="G57" s="205"/>
      <c r="H57" s="205"/>
      <c r="I57" s="205"/>
      <c r="J57" s="211"/>
      <c r="K57" s="211"/>
      <c r="L57" s="211"/>
      <c r="M57" s="211"/>
      <c r="N57" s="211"/>
      <c r="O57" s="211"/>
      <c r="P57" s="211"/>
      <c r="Q57" s="211"/>
      <c r="R57" s="211"/>
      <c r="S57" s="205"/>
      <c r="T57" s="205"/>
      <c r="U57" s="53">
        <f t="shared" ref="U57:W57" si="42">$B57*U24*$C57</f>
        <v>12.01764706</v>
      </c>
      <c r="V57" s="53">
        <f t="shared" si="42"/>
        <v>1.35</v>
      </c>
      <c r="W57" s="53">
        <f t="shared" si="42"/>
        <v>0.135</v>
      </c>
      <c r="X57" s="211"/>
      <c r="Y57" s="211"/>
      <c r="Z57" s="211"/>
      <c r="AA57" s="211"/>
      <c r="AB57" s="211"/>
      <c r="AC57" s="211"/>
      <c r="AD57" s="211"/>
      <c r="AE57" s="217"/>
      <c r="AF57" s="53">
        <v>13.48464705882353</v>
      </c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07"/>
      <c r="AZ57" s="211"/>
      <c r="BA57" s="211"/>
      <c r="BB57" s="211"/>
      <c r="BC57" s="53">
        <f t="shared" ref="BC57:BI57" si="43">$AF57*BC24</f>
        <v>1.887850588</v>
      </c>
      <c r="BD57" s="53">
        <f t="shared" si="43"/>
        <v>4.449933529</v>
      </c>
      <c r="BE57" s="53">
        <f t="shared" si="43"/>
        <v>3.371161765</v>
      </c>
      <c r="BF57" s="53">
        <f t="shared" si="43"/>
        <v>2.022697059</v>
      </c>
      <c r="BG57" s="53">
        <f t="shared" si="43"/>
        <v>0.9439252941</v>
      </c>
      <c r="BH57" s="53">
        <f t="shared" si="43"/>
        <v>0.5393858824</v>
      </c>
      <c r="BI57" s="53">
        <f t="shared" si="43"/>
        <v>0.2696929412</v>
      </c>
      <c r="BJ57" s="211"/>
      <c r="BK57" s="211"/>
      <c r="BL57" s="211"/>
    </row>
    <row r="58" ht="15.75" customHeight="1">
      <c r="A58" s="209" t="s">
        <v>74</v>
      </c>
      <c r="B58" s="213">
        <f t="shared" ref="B58:B66" si="46">average($B$51:$B$52)*1.7</f>
        <v>34</v>
      </c>
      <c r="C58" s="214">
        <v>0.45</v>
      </c>
      <c r="D58" s="205"/>
      <c r="E58" s="205"/>
      <c r="F58" s="205"/>
      <c r="G58" s="205"/>
      <c r="H58" s="205"/>
      <c r="I58" s="205"/>
      <c r="J58" s="211"/>
      <c r="K58" s="211"/>
      <c r="L58" s="211"/>
      <c r="M58" s="211"/>
      <c r="N58" s="211"/>
      <c r="O58" s="211"/>
      <c r="P58" s="211"/>
      <c r="Q58" s="211"/>
      <c r="R58" s="211"/>
      <c r="S58" s="205"/>
      <c r="T58" s="205"/>
      <c r="U58" s="205"/>
      <c r="V58" s="53">
        <f t="shared" ref="V58:X58" si="44">$B58*V25*$C58</f>
        <v>13.62</v>
      </c>
      <c r="W58" s="53">
        <f t="shared" si="44"/>
        <v>1.53</v>
      </c>
      <c r="X58" s="53">
        <f t="shared" si="44"/>
        <v>0.153</v>
      </c>
      <c r="Y58" s="211"/>
      <c r="Z58" s="211"/>
      <c r="AA58" s="211"/>
      <c r="AB58" s="211"/>
      <c r="AC58" s="211"/>
      <c r="AD58" s="211"/>
      <c r="AE58" s="217"/>
      <c r="AF58" s="53">
        <v>15.104999999999999</v>
      </c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07"/>
      <c r="AZ58" s="211"/>
      <c r="BA58" s="211"/>
      <c r="BB58" s="211"/>
      <c r="BC58" s="211"/>
      <c r="BD58" s="53">
        <f t="shared" ref="BD58:BJ58" si="45">$AF58*BD25</f>
        <v>2.1147</v>
      </c>
      <c r="BE58" s="53">
        <f t="shared" si="45"/>
        <v>4.98465</v>
      </c>
      <c r="BF58" s="53">
        <f t="shared" si="45"/>
        <v>3.77625</v>
      </c>
      <c r="BG58" s="53">
        <f t="shared" si="45"/>
        <v>2.26575</v>
      </c>
      <c r="BH58" s="53">
        <f t="shared" si="45"/>
        <v>1.05735</v>
      </c>
      <c r="BI58" s="53">
        <f t="shared" si="45"/>
        <v>0.6042</v>
      </c>
      <c r="BJ58" s="53">
        <f t="shared" si="45"/>
        <v>0.3021</v>
      </c>
      <c r="BK58" s="211"/>
      <c r="BL58" s="211"/>
    </row>
    <row r="59" ht="15.75" customHeight="1">
      <c r="A59" s="209" t="s">
        <v>75</v>
      </c>
      <c r="B59" s="213">
        <f t="shared" si="46"/>
        <v>34</v>
      </c>
      <c r="C59" s="214">
        <v>0.45</v>
      </c>
      <c r="D59" s="205"/>
      <c r="E59" s="205"/>
      <c r="F59" s="205"/>
      <c r="G59" s="205"/>
      <c r="H59" s="205"/>
      <c r="I59" s="205"/>
      <c r="J59" s="211"/>
      <c r="K59" s="211"/>
      <c r="L59" s="211"/>
      <c r="M59" s="211"/>
      <c r="N59" s="211"/>
      <c r="O59" s="211"/>
      <c r="P59" s="211"/>
      <c r="Q59" s="211"/>
      <c r="R59" s="211"/>
      <c r="S59" s="205"/>
      <c r="T59" s="205"/>
      <c r="U59" s="205"/>
      <c r="V59" s="211"/>
      <c r="W59" s="53">
        <f t="shared" ref="W59:Y59" si="47">$B59*W26*$C59</f>
        <v>13.62</v>
      </c>
      <c r="X59" s="53">
        <f t="shared" si="47"/>
        <v>1.53</v>
      </c>
      <c r="Y59" s="53">
        <f t="shared" si="47"/>
        <v>0.153</v>
      </c>
      <c r="Z59" s="211"/>
      <c r="AA59" s="211"/>
      <c r="AB59" s="211"/>
      <c r="AC59" s="211"/>
      <c r="AD59" s="211"/>
      <c r="AE59" s="217"/>
      <c r="AF59" s="53">
        <v>15.285</v>
      </c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07"/>
      <c r="AZ59" s="211"/>
      <c r="BA59" s="211"/>
      <c r="BB59" s="211"/>
      <c r="BC59" s="211"/>
      <c r="BD59" s="211"/>
      <c r="BE59" s="53">
        <f t="shared" ref="BE59:BK59" si="48">$AF59*BE26</f>
        <v>2.1399</v>
      </c>
      <c r="BF59" s="53">
        <f t="shared" si="48"/>
        <v>5.04405</v>
      </c>
      <c r="BG59" s="53">
        <f t="shared" si="48"/>
        <v>3.82125</v>
      </c>
      <c r="BH59" s="53">
        <f t="shared" si="48"/>
        <v>2.29275</v>
      </c>
      <c r="BI59" s="53">
        <f t="shared" si="48"/>
        <v>1.06995</v>
      </c>
      <c r="BJ59" s="53">
        <f t="shared" si="48"/>
        <v>0.6114</v>
      </c>
      <c r="BK59" s="53">
        <f t="shared" si="48"/>
        <v>0.3057</v>
      </c>
      <c r="BL59" s="211"/>
    </row>
    <row r="60" ht="15.75" customHeight="1">
      <c r="A60" s="209" t="s">
        <v>76</v>
      </c>
      <c r="B60" s="213">
        <f t="shared" si="46"/>
        <v>34</v>
      </c>
      <c r="C60" s="214">
        <v>0.45</v>
      </c>
      <c r="D60" s="205"/>
      <c r="E60" s="205"/>
      <c r="F60" s="205"/>
      <c r="G60" s="205"/>
      <c r="H60" s="205"/>
      <c r="I60" s="205"/>
      <c r="J60" s="211"/>
      <c r="K60" s="211"/>
      <c r="L60" s="211"/>
      <c r="M60" s="211"/>
      <c r="N60" s="211"/>
      <c r="O60" s="211"/>
      <c r="P60" s="211"/>
      <c r="Q60" s="211"/>
      <c r="R60" s="211"/>
      <c r="S60" s="205"/>
      <c r="T60" s="205"/>
      <c r="U60" s="205"/>
      <c r="V60" s="211"/>
      <c r="W60" s="211"/>
      <c r="X60" s="53">
        <f t="shared" ref="X60:Z60" si="49">$B60*X27*$C60</f>
        <v>13.62</v>
      </c>
      <c r="Y60" s="53">
        <f t="shared" si="49"/>
        <v>1.53</v>
      </c>
      <c r="Z60" s="53">
        <f t="shared" si="49"/>
        <v>0.153</v>
      </c>
      <c r="AA60" s="211"/>
      <c r="AB60" s="211"/>
      <c r="AC60" s="211"/>
      <c r="AD60" s="211"/>
      <c r="AE60" s="217"/>
      <c r="AF60" s="53">
        <v>15.302999999999999</v>
      </c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07"/>
      <c r="AZ60" s="211"/>
      <c r="BA60" s="211"/>
      <c r="BB60" s="211"/>
      <c r="BC60" s="211"/>
      <c r="BD60" s="211"/>
      <c r="BE60" s="211"/>
      <c r="BF60" s="53">
        <f t="shared" ref="BF60:BL60" si="50">$AF60*BF27</f>
        <v>2.14242</v>
      </c>
      <c r="BG60" s="53">
        <f t="shared" si="50"/>
        <v>5.04999</v>
      </c>
      <c r="BH60" s="53">
        <f t="shared" si="50"/>
        <v>3.82575</v>
      </c>
      <c r="BI60" s="53">
        <f t="shared" si="50"/>
        <v>2.29545</v>
      </c>
      <c r="BJ60" s="53">
        <f t="shared" si="50"/>
        <v>1.07121</v>
      </c>
      <c r="BK60" s="53">
        <f t="shared" si="50"/>
        <v>0.61212</v>
      </c>
      <c r="BL60" s="53">
        <f t="shared" si="50"/>
        <v>0.30606</v>
      </c>
    </row>
    <row r="61" ht="15.75" customHeight="1">
      <c r="A61" s="209" t="s">
        <v>77</v>
      </c>
      <c r="B61" s="213">
        <f t="shared" si="46"/>
        <v>34</v>
      </c>
      <c r="C61" s="214">
        <v>0.45</v>
      </c>
      <c r="D61" s="205"/>
      <c r="E61" s="205"/>
      <c r="F61" s="205"/>
      <c r="G61" s="205"/>
      <c r="H61" s="205"/>
      <c r="I61" s="205"/>
      <c r="J61" s="211"/>
      <c r="K61" s="211"/>
      <c r="L61" s="211"/>
      <c r="M61" s="211"/>
      <c r="N61" s="211"/>
      <c r="O61" s="211"/>
      <c r="P61" s="211"/>
      <c r="Q61" s="211"/>
      <c r="R61" s="211"/>
      <c r="S61" s="205"/>
      <c r="T61" s="205"/>
      <c r="U61" s="205"/>
      <c r="V61" s="211"/>
      <c r="W61" s="211"/>
      <c r="X61" s="211"/>
      <c r="Y61" s="53">
        <f t="shared" ref="Y61:AA61" si="51">$B61*Y28*$C61</f>
        <v>13.62</v>
      </c>
      <c r="Z61" s="53">
        <f t="shared" si="51"/>
        <v>1.53</v>
      </c>
      <c r="AA61" s="53">
        <f t="shared" si="51"/>
        <v>0.153</v>
      </c>
      <c r="AB61" s="211"/>
      <c r="AC61" s="211"/>
      <c r="AD61" s="211"/>
      <c r="AE61" s="217"/>
      <c r="AF61" s="53">
        <v>15.302999999999999</v>
      </c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07"/>
      <c r="AZ61" s="211"/>
      <c r="BA61" s="211"/>
      <c r="BB61" s="211"/>
      <c r="BC61" s="211"/>
      <c r="BD61" s="211"/>
      <c r="BE61" s="211"/>
      <c r="BF61" s="211"/>
      <c r="BG61" s="53">
        <f t="shared" ref="BG61:BL61" si="52">$AF61*BG28</f>
        <v>2.14242</v>
      </c>
      <c r="BH61" s="53">
        <f t="shared" si="52"/>
        <v>5.04999</v>
      </c>
      <c r="BI61" s="53">
        <f t="shared" si="52"/>
        <v>3.82575</v>
      </c>
      <c r="BJ61" s="53">
        <f t="shared" si="52"/>
        <v>2.29545</v>
      </c>
      <c r="BK61" s="53">
        <f t="shared" si="52"/>
        <v>1.07121</v>
      </c>
      <c r="BL61" s="53">
        <f t="shared" si="52"/>
        <v>0.61212</v>
      </c>
    </row>
    <row r="62" ht="15.75" customHeight="1">
      <c r="A62" s="209" t="s">
        <v>78</v>
      </c>
      <c r="B62" s="213">
        <f t="shared" si="46"/>
        <v>34</v>
      </c>
      <c r="C62" s="214">
        <v>0.45</v>
      </c>
      <c r="D62" s="205"/>
      <c r="E62" s="205"/>
      <c r="F62" s="205"/>
      <c r="G62" s="205"/>
      <c r="H62" s="205"/>
      <c r="I62" s="205"/>
      <c r="J62" s="211"/>
      <c r="K62" s="211"/>
      <c r="L62" s="211"/>
      <c r="M62" s="211"/>
      <c r="N62" s="211"/>
      <c r="O62" s="211"/>
      <c r="P62" s="211"/>
      <c r="Q62" s="211"/>
      <c r="R62" s="211"/>
      <c r="S62" s="205"/>
      <c r="T62" s="205"/>
      <c r="U62" s="205"/>
      <c r="V62" s="211"/>
      <c r="W62" s="211"/>
      <c r="X62" s="211"/>
      <c r="Y62" s="211"/>
      <c r="Z62" s="53">
        <f t="shared" ref="Z62:AB62" si="53">$B62*Z29*$C62</f>
        <v>13.617</v>
      </c>
      <c r="AA62" s="53">
        <f t="shared" si="53"/>
        <v>1.53</v>
      </c>
      <c r="AB62" s="53">
        <f t="shared" si="53"/>
        <v>0.153</v>
      </c>
      <c r="AC62" s="211"/>
      <c r="AD62" s="211"/>
      <c r="AE62" s="217"/>
      <c r="AF62" s="53">
        <v>15.3</v>
      </c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53">
        <f t="shared" ref="BH62:BL62" si="54">$AF62*BH29</f>
        <v>2.142</v>
      </c>
      <c r="BI62" s="53">
        <f t="shared" si="54"/>
        <v>5.049</v>
      </c>
      <c r="BJ62" s="53">
        <f t="shared" si="54"/>
        <v>3.825</v>
      </c>
      <c r="BK62" s="53">
        <f t="shared" si="54"/>
        <v>2.295</v>
      </c>
      <c r="BL62" s="53">
        <f t="shared" si="54"/>
        <v>1.071</v>
      </c>
    </row>
    <row r="63" ht="15.75" customHeight="1">
      <c r="A63" s="209" t="s">
        <v>79</v>
      </c>
      <c r="B63" s="213">
        <f t="shared" si="46"/>
        <v>34</v>
      </c>
      <c r="C63" s="214">
        <v>0.45</v>
      </c>
      <c r="D63" s="205"/>
      <c r="E63" s="205"/>
      <c r="F63" s="205"/>
      <c r="G63" s="205"/>
      <c r="H63" s="205"/>
      <c r="I63" s="205"/>
      <c r="J63" s="211"/>
      <c r="K63" s="211"/>
      <c r="L63" s="211"/>
      <c r="M63" s="211"/>
      <c r="N63" s="211"/>
      <c r="O63" s="211"/>
      <c r="P63" s="211"/>
      <c r="Q63" s="211"/>
      <c r="R63" s="211"/>
      <c r="S63" s="205"/>
      <c r="T63" s="205"/>
      <c r="U63" s="205"/>
      <c r="V63" s="211"/>
      <c r="W63" s="211"/>
      <c r="X63" s="211"/>
      <c r="Y63" s="211"/>
      <c r="Z63" s="211"/>
      <c r="AA63" s="53">
        <f t="shared" ref="AA63:AC63" si="55">$B63*AA30*$C63</f>
        <v>13.617</v>
      </c>
      <c r="AB63" s="53">
        <f t="shared" si="55"/>
        <v>1.53</v>
      </c>
      <c r="AC63" s="53">
        <f t="shared" si="55"/>
        <v>0.153</v>
      </c>
      <c r="AD63" s="211"/>
      <c r="AE63" s="217"/>
      <c r="AF63" s="53">
        <v>15.3</v>
      </c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53">
        <f t="shared" ref="BI63:BL63" si="56">$AF63*BI30</f>
        <v>2.142</v>
      </c>
      <c r="BJ63" s="53">
        <f t="shared" si="56"/>
        <v>5.049</v>
      </c>
      <c r="BK63" s="53">
        <f t="shared" si="56"/>
        <v>3.825</v>
      </c>
      <c r="BL63" s="53">
        <f t="shared" si="56"/>
        <v>2.295</v>
      </c>
    </row>
    <row r="64" ht="15.75" customHeight="1">
      <c r="A64" s="209" t="s">
        <v>80</v>
      </c>
      <c r="B64" s="213">
        <f t="shared" si="46"/>
        <v>34</v>
      </c>
      <c r="C64" s="214">
        <v>0.45</v>
      </c>
      <c r="D64" s="205"/>
      <c r="E64" s="205"/>
      <c r="F64" s="205"/>
      <c r="G64" s="205"/>
      <c r="H64" s="205"/>
      <c r="I64" s="205"/>
      <c r="J64" s="211"/>
      <c r="K64" s="211"/>
      <c r="L64" s="211"/>
      <c r="M64" s="211"/>
      <c r="N64" s="211"/>
      <c r="O64" s="211"/>
      <c r="P64" s="211"/>
      <c r="Q64" s="211"/>
      <c r="R64" s="211"/>
      <c r="S64" s="205"/>
      <c r="T64" s="205"/>
      <c r="U64" s="205"/>
      <c r="V64" s="211"/>
      <c r="W64" s="211"/>
      <c r="X64" s="211"/>
      <c r="Y64" s="211"/>
      <c r="Z64" s="211"/>
      <c r="AA64" s="211"/>
      <c r="AB64" s="53">
        <f t="shared" ref="AB64:AD64" si="57">$B64*AB31*$C64</f>
        <v>13.617</v>
      </c>
      <c r="AC64" s="53">
        <f t="shared" si="57"/>
        <v>1.53</v>
      </c>
      <c r="AD64" s="53">
        <f t="shared" si="57"/>
        <v>0.153</v>
      </c>
      <c r="AE64" s="217"/>
      <c r="AF64" s="53">
        <v>15.3</v>
      </c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53">
        <f t="shared" ref="BJ64:BL64" si="58">$AF64*BJ31</f>
        <v>2.142</v>
      </c>
      <c r="BK64" s="53">
        <f t="shared" si="58"/>
        <v>5.049</v>
      </c>
      <c r="BL64" s="53">
        <f t="shared" si="58"/>
        <v>3.825</v>
      </c>
    </row>
    <row r="65" ht="15.75" customHeight="1">
      <c r="A65" s="209" t="s">
        <v>81</v>
      </c>
      <c r="B65" s="213">
        <f t="shared" si="46"/>
        <v>34</v>
      </c>
      <c r="C65" s="214">
        <v>0.45</v>
      </c>
      <c r="D65" s="205"/>
      <c r="E65" s="205"/>
      <c r="F65" s="205"/>
      <c r="G65" s="205"/>
      <c r="H65" s="205"/>
      <c r="I65" s="205"/>
      <c r="J65" s="211"/>
      <c r="K65" s="211"/>
      <c r="L65" s="211"/>
      <c r="M65" s="211"/>
      <c r="N65" s="211"/>
      <c r="O65" s="211"/>
      <c r="P65" s="211"/>
      <c r="Q65" s="211"/>
      <c r="R65" s="211"/>
      <c r="S65" s="205"/>
      <c r="T65" s="205"/>
      <c r="U65" s="205"/>
      <c r="V65" s="211"/>
      <c r="W65" s="211"/>
      <c r="X65" s="211"/>
      <c r="Y65" s="211"/>
      <c r="Z65" s="211"/>
      <c r="AA65" s="211"/>
      <c r="AB65" s="211"/>
      <c r="AC65" s="53">
        <f t="shared" ref="AC65:AD65" si="59">$B65*AC32*$C65</f>
        <v>13.617</v>
      </c>
      <c r="AD65" s="53">
        <f t="shared" si="59"/>
        <v>1.53</v>
      </c>
      <c r="AE65" s="217"/>
      <c r="AF65" s="53">
        <v>15.3</v>
      </c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53">
        <f t="shared" ref="BK65:BL65" si="60">$AF65*BK32</f>
        <v>2.142</v>
      </c>
      <c r="BL65" s="53">
        <f t="shared" si="60"/>
        <v>5.049</v>
      </c>
    </row>
    <row r="66" ht="15.75" customHeight="1">
      <c r="A66" s="209" t="s">
        <v>82</v>
      </c>
      <c r="B66" s="213">
        <f t="shared" si="46"/>
        <v>34</v>
      </c>
      <c r="C66" s="214">
        <v>0.45</v>
      </c>
      <c r="D66" s="219"/>
      <c r="E66" s="219"/>
      <c r="F66" s="219"/>
      <c r="G66" s="219"/>
      <c r="H66" s="219"/>
      <c r="I66" s="219"/>
      <c r="J66" s="220"/>
      <c r="K66" s="220"/>
      <c r="L66" s="220"/>
      <c r="M66" s="220"/>
      <c r="N66" s="220"/>
      <c r="O66" s="221"/>
      <c r="P66" s="221"/>
      <c r="Q66" s="221"/>
      <c r="R66" s="221"/>
      <c r="S66" s="205"/>
      <c r="T66" s="205"/>
      <c r="U66" s="205"/>
      <c r="V66" s="211"/>
      <c r="W66" s="211"/>
      <c r="X66" s="211"/>
      <c r="Y66" s="211"/>
      <c r="Z66" s="211"/>
      <c r="AA66" s="211"/>
      <c r="AB66" s="211"/>
      <c r="AC66" s="211"/>
      <c r="AD66" s="53">
        <f>$B66*AD33*$C66</f>
        <v>13.617</v>
      </c>
      <c r="AE66" s="222"/>
      <c r="AF66" s="53">
        <v>15.3</v>
      </c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3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53">
        <f>$AF66*BL33</f>
        <v>2.142</v>
      </c>
    </row>
    <row r="67" ht="15.75" customHeight="1">
      <c r="A67" s="224" t="s">
        <v>171</v>
      </c>
      <c r="B67" s="225"/>
      <c r="C67" s="225"/>
      <c r="D67" s="118">
        <f t="shared" ref="D67:AD67" si="61">sum(D39:D66)</f>
        <v>0</v>
      </c>
      <c r="E67" s="118">
        <f t="shared" si="61"/>
        <v>0</v>
      </c>
      <c r="F67" s="118">
        <f t="shared" si="61"/>
        <v>0</v>
      </c>
      <c r="G67" s="118">
        <f t="shared" si="61"/>
        <v>1.780392157</v>
      </c>
      <c r="H67" s="118">
        <f t="shared" si="61"/>
        <v>1.980392157</v>
      </c>
      <c r="I67" s="118">
        <f t="shared" si="61"/>
        <v>2.000392157</v>
      </c>
      <c r="J67" s="118">
        <f t="shared" si="61"/>
        <v>2.000392157</v>
      </c>
      <c r="K67" s="118">
        <f t="shared" si="61"/>
        <v>5.027058824</v>
      </c>
      <c r="L67" s="118">
        <f t="shared" si="61"/>
        <v>6.568823529</v>
      </c>
      <c r="M67" s="118">
        <f t="shared" si="61"/>
        <v>8.340176471</v>
      </c>
      <c r="N67" s="118">
        <f t="shared" si="61"/>
        <v>8.532</v>
      </c>
      <c r="O67" s="118">
        <f t="shared" si="61"/>
        <v>8.55</v>
      </c>
      <c r="P67" s="118">
        <f t="shared" si="61"/>
        <v>9.351</v>
      </c>
      <c r="Q67" s="118">
        <f t="shared" si="61"/>
        <v>9.0405</v>
      </c>
      <c r="R67" s="118">
        <f t="shared" si="61"/>
        <v>11.4075</v>
      </c>
      <c r="S67" s="118">
        <f t="shared" si="61"/>
        <v>11.67529412</v>
      </c>
      <c r="T67" s="118">
        <f t="shared" si="61"/>
        <v>13.30464706</v>
      </c>
      <c r="U67" s="118">
        <f t="shared" si="61"/>
        <v>13.48464706</v>
      </c>
      <c r="V67" s="118">
        <f t="shared" si="61"/>
        <v>15.105</v>
      </c>
      <c r="W67" s="118">
        <f t="shared" si="61"/>
        <v>15.285</v>
      </c>
      <c r="X67" s="118">
        <f t="shared" si="61"/>
        <v>15.303</v>
      </c>
      <c r="Y67" s="118">
        <f t="shared" si="61"/>
        <v>15.303</v>
      </c>
      <c r="Z67" s="118">
        <f t="shared" si="61"/>
        <v>15.3</v>
      </c>
      <c r="AA67" s="118">
        <f t="shared" si="61"/>
        <v>15.3</v>
      </c>
      <c r="AB67" s="118">
        <f t="shared" si="61"/>
        <v>15.3</v>
      </c>
      <c r="AC67" s="118">
        <f t="shared" si="61"/>
        <v>15.3</v>
      </c>
      <c r="AD67" s="118">
        <f t="shared" si="61"/>
        <v>15.3</v>
      </c>
      <c r="AE67" s="226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7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9"/>
    </row>
    <row r="68" ht="15.75" customHeight="1">
      <c r="A68" s="230" t="s">
        <v>172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2"/>
      <c r="AF68" s="231"/>
      <c r="AG68" s="60">
        <f t="shared" ref="AG68:BL68" si="62">sum(AG35:AG66)</f>
        <v>0</v>
      </c>
      <c r="AH68" s="60">
        <f t="shared" si="62"/>
        <v>0</v>
      </c>
      <c r="AI68" s="60">
        <f t="shared" si="62"/>
        <v>0</v>
      </c>
      <c r="AJ68" s="60">
        <f t="shared" si="62"/>
        <v>0</v>
      </c>
      <c r="AK68" s="60">
        <f t="shared" si="62"/>
        <v>0</v>
      </c>
      <c r="AL68" s="60">
        <f t="shared" si="62"/>
        <v>0</v>
      </c>
      <c r="AM68" s="60">
        <f t="shared" si="62"/>
        <v>0</v>
      </c>
      <c r="AN68" s="60">
        <f t="shared" si="62"/>
        <v>0</v>
      </c>
      <c r="AO68" s="60">
        <f t="shared" si="62"/>
        <v>0.249254902</v>
      </c>
      <c r="AP68" s="60">
        <f t="shared" si="62"/>
        <v>0.8647843137</v>
      </c>
      <c r="AQ68" s="60">
        <f t="shared" si="62"/>
        <v>1.378682353</v>
      </c>
      <c r="AR68" s="60">
        <f t="shared" si="62"/>
        <v>1.702341176</v>
      </c>
      <c r="AS68" s="60">
        <f t="shared" si="62"/>
        <v>2.285701961</v>
      </c>
      <c r="AT68" s="60">
        <f t="shared" si="62"/>
        <v>3.588564706</v>
      </c>
      <c r="AU68" s="60">
        <f t="shared" si="62"/>
        <v>5.14701098</v>
      </c>
      <c r="AV68" s="60">
        <f t="shared" si="62"/>
        <v>6.602653922</v>
      </c>
      <c r="AW68" s="60">
        <f t="shared" si="62"/>
        <v>7.554845294</v>
      </c>
      <c r="AX68" s="60">
        <f t="shared" si="62"/>
        <v>8.215574314</v>
      </c>
      <c r="AY68" s="60">
        <f t="shared" si="62"/>
        <v>8.715906471</v>
      </c>
      <c r="AZ68" s="60">
        <f t="shared" si="62"/>
        <v>9.262888529</v>
      </c>
      <c r="BA68" s="60">
        <f t="shared" si="62"/>
        <v>10.16837471</v>
      </c>
      <c r="BB68" s="60">
        <f t="shared" si="62"/>
        <v>11.09065765</v>
      </c>
      <c r="BC68" s="60">
        <f t="shared" si="62"/>
        <v>12.08620765</v>
      </c>
      <c r="BD68" s="60">
        <f t="shared" si="62"/>
        <v>12.98925441</v>
      </c>
      <c r="BE68" s="60">
        <f t="shared" si="62"/>
        <v>13.94578941</v>
      </c>
      <c r="BF68" s="60">
        <f t="shared" si="62"/>
        <v>14.61190412</v>
      </c>
      <c r="BG68" s="60">
        <f t="shared" si="62"/>
        <v>14.98902706</v>
      </c>
      <c r="BH68" s="60">
        <f t="shared" si="62"/>
        <v>15.17331882</v>
      </c>
      <c r="BI68" s="60">
        <f t="shared" si="62"/>
        <v>15.25604294</v>
      </c>
      <c r="BJ68" s="60">
        <f t="shared" si="62"/>
        <v>15.29616</v>
      </c>
      <c r="BK68" s="60">
        <f t="shared" si="62"/>
        <v>15.30003</v>
      </c>
      <c r="BL68" s="60">
        <f t="shared" si="62"/>
        <v>15.30018</v>
      </c>
    </row>
    <row r="69" ht="15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233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234">
        <v>11.0</v>
      </c>
      <c r="AX69" s="234">
        <v>7.0</v>
      </c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</row>
    <row r="70" ht="15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233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</row>
    <row r="71" ht="15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233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</row>
    <row r="72" ht="15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23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233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</row>
    <row r="73" ht="15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23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233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</row>
    <row r="74" ht="15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23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233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233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233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</row>
    <row r="77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233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</row>
    <row r="78" ht="15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233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</row>
    <row r="79" ht="15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233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</row>
    <row r="80" ht="15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233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</row>
    <row r="81" ht="15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233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</row>
    <row r="82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233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</row>
    <row r="83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233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</row>
    <row r="84" ht="15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233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</row>
    <row r="85" ht="15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233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</row>
    <row r="86" ht="15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233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</row>
    <row r="87" ht="15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233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</row>
    <row r="88" ht="15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233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</row>
    <row r="89" ht="15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233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</row>
    <row r="90" ht="15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233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</row>
    <row r="91" ht="15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233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</row>
    <row r="92" ht="15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233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</row>
    <row r="93" ht="15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233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</row>
    <row r="94" ht="15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233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</row>
    <row r="95" ht="15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233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</row>
    <row r="96" ht="15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233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</row>
    <row r="97" ht="15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233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</row>
    <row r="98" ht="15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233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</row>
    <row r="99" ht="15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233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</row>
    <row r="100" ht="15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233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</row>
    <row r="101" ht="15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233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</row>
    <row r="102" ht="15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233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</row>
    <row r="103" ht="15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233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</row>
    <row r="104" ht="15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233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</row>
    <row r="105" ht="15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233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</row>
    <row r="106" ht="15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233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</row>
    <row r="107" ht="15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233"/>
      <c r="AF107" s="185"/>
      <c r="AG107" s="185"/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</row>
    <row r="108" ht="15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233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</row>
    <row r="109" ht="15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233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</row>
    <row r="110" ht="15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233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</row>
    <row r="111" ht="15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233"/>
      <c r="AF111" s="185"/>
      <c r="AG111" s="185"/>
      <c r="AH111" s="185"/>
      <c r="AI111" s="185"/>
      <c r="AJ111" s="185"/>
      <c r="AK111" s="185"/>
      <c r="AL111" s="185"/>
      <c r="AM111" s="185"/>
      <c r="AN111" s="185"/>
      <c r="AO111" s="185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</row>
    <row r="112" ht="15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233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</row>
    <row r="113" ht="15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233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</row>
    <row r="114" ht="15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233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</row>
    <row r="115" ht="15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233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185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</row>
    <row r="116" ht="15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233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</row>
    <row r="117" ht="15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233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185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</row>
    <row r="118" ht="15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233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185"/>
      <c r="BI118" s="185"/>
      <c r="BJ118" s="185"/>
      <c r="BK118" s="185"/>
      <c r="BL118" s="185"/>
    </row>
    <row r="119" ht="15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233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5"/>
      <c r="BL119" s="185"/>
    </row>
    <row r="120" ht="15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233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  <c r="BK120" s="185"/>
      <c r="BL120" s="185"/>
    </row>
    <row r="121" ht="15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233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</row>
    <row r="122" ht="15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233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  <c r="BH122" s="185"/>
      <c r="BI122" s="185"/>
      <c r="BJ122" s="185"/>
      <c r="BK122" s="185"/>
      <c r="BL122" s="185"/>
    </row>
    <row r="123" ht="15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233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</row>
    <row r="124" ht="15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233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  <c r="BH124" s="185"/>
      <c r="BI124" s="185"/>
      <c r="BJ124" s="185"/>
      <c r="BK124" s="185"/>
      <c r="BL124" s="185"/>
    </row>
    <row r="125" ht="15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233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</row>
    <row r="126" ht="15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233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</row>
    <row r="127" ht="15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233"/>
      <c r="AF127" s="185"/>
      <c r="AG127" s="185"/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5"/>
    </row>
    <row r="128" ht="15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233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  <c r="BD128" s="185"/>
      <c r="BE128" s="185"/>
      <c r="BF128" s="185"/>
      <c r="BG128" s="185"/>
      <c r="BH128" s="185"/>
      <c r="BI128" s="185"/>
      <c r="BJ128" s="185"/>
      <c r="BK128" s="185"/>
      <c r="BL128" s="185"/>
    </row>
    <row r="129" ht="15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233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5"/>
      <c r="BF129" s="185"/>
      <c r="BG129" s="185"/>
      <c r="BH129" s="185"/>
      <c r="BI129" s="185"/>
      <c r="BJ129" s="185"/>
      <c r="BK129" s="185"/>
      <c r="BL129" s="185"/>
    </row>
    <row r="130" ht="15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233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233"/>
      <c r="AF131" s="185"/>
      <c r="AG131" s="185"/>
      <c r="AH131" s="185"/>
      <c r="AI131" s="185"/>
      <c r="AJ131" s="185"/>
      <c r="AK131" s="185"/>
      <c r="AL131" s="185"/>
      <c r="AM131" s="185"/>
      <c r="AN131" s="185"/>
      <c r="AO131" s="185"/>
      <c r="AP131" s="185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  <c r="BA131" s="185"/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233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  <c r="AP132" s="185"/>
      <c r="AQ132" s="185"/>
      <c r="AR132" s="185"/>
      <c r="AS132" s="185"/>
      <c r="AT132" s="185"/>
      <c r="AU132" s="185"/>
      <c r="AV132" s="185"/>
      <c r="AW132" s="185"/>
      <c r="AX132" s="185"/>
      <c r="AY132" s="185"/>
      <c r="AZ132" s="185"/>
      <c r="BA132" s="185"/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233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233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233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233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5"/>
      <c r="AP136" s="185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233"/>
      <c r="AF137" s="185"/>
      <c r="AG137" s="185"/>
      <c r="AH137" s="185"/>
      <c r="AI137" s="185"/>
      <c r="AJ137" s="185"/>
      <c r="AK137" s="185"/>
      <c r="AL137" s="185"/>
      <c r="AM137" s="185"/>
      <c r="AN137" s="185"/>
      <c r="AO137" s="185"/>
      <c r="AP137" s="185"/>
      <c r="AQ137" s="185"/>
      <c r="AR137" s="185"/>
      <c r="AS137" s="185"/>
      <c r="AT137" s="185"/>
      <c r="AU137" s="185"/>
      <c r="AV137" s="185"/>
      <c r="AW137" s="185"/>
      <c r="AX137" s="185"/>
      <c r="AY137" s="185"/>
      <c r="AZ137" s="185"/>
      <c r="BA137" s="185"/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233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/>
      <c r="AT138" s="185"/>
      <c r="AU138" s="185"/>
      <c r="AV138" s="185"/>
      <c r="AW138" s="185"/>
      <c r="AX138" s="185"/>
      <c r="AY138" s="185"/>
      <c r="AZ138" s="185"/>
      <c r="BA138" s="185"/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233"/>
      <c r="AF139" s="185"/>
      <c r="AG139" s="185"/>
      <c r="AH139" s="185"/>
      <c r="AI139" s="185"/>
      <c r="AJ139" s="185"/>
      <c r="AK139" s="185"/>
      <c r="AL139" s="185"/>
      <c r="AM139" s="185"/>
      <c r="AN139" s="185"/>
      <c r="AO139" s="185"/>
      <c r="AP139" s="185"/>
      <c r="AQ139" s="185"/>
      <c r="AR139" s="185"/>
      <c r="AS139" s="185"/>
      <c r="AT139" s="185"/>
      <c r="AU139" s="185"/>
      <c r="AV139" s="185"/>
      <c r="AW139" s="185"/>
      <c r="AX139" s="185"/>
      <c r="AY139" s="185"/>
      <c r="AZ139" s="185"/>
      <c r="BA139" s="185"/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233"/>
      <c r="AF140" s="185"/>
      <c r="AG140" s="185"/>
      <c r="AH140" s="185"/>
      <c r="AI140" s="185"/>
      <c r="AJ140" s="185"/>
      <c r="AK140" s="185"/>
      <c r="AL140" s="185"/>
      <c r="AM140" s="185"/>
      <c r="AN140" s="185"/>
      <c r="AO140" s="185"/>
      <c r="AP140" s="185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233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233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233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  <c r="AP143" s="185"/>
      <c r="AQ143" s="185"/>
      <c r="AR143" s="185"/>
      <c r="AS143" s="185"/>
      <c r="AT143" s="185"/>
      <c r="AU143" s="185"/>
      <c r="AV143" s="185"/>
      <c r="AW143" s="185"/>
      <c r="AX143" s="185"/>
      <c r="AY143" s="185"/>
      <c r="AZ143" s="185"/>
      <c r="BA143" s="185"/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233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  <c r="AP144" s="185"/>
      <c r="AQ144" s="185"/>
      <c r="AR144" s="185"/>
      <c r="AS144" s="185"/>
      <c r="AT144" s="185"/>
      <c r="AU144" s="185"/>
      <c r="AV144" s="185"/>
      <c r="AW144" s="185"/>
      <c r="AX144" s="185"/>
      <c r="AY144" s="185"/>
      <c r="AZ144" s="185"/>
      <c r="BA144" s="185"/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233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/>
      <c r="AT145" s="185"/>
      <c r="AU145" s="185"/>
      <c r="AV145" s="185"/>
      <c r="AW145" s="185"/>
      <c r="AX145" s="185"/>
      <c r="AY145" s="185"/>
      <c r="AZ145" s="185"/>
      <c r="BA145" s="185"/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233"/>
      <c r="AF146" s="185"/>
      <c r="AG146" s="185"/>
      <c r="AH146" s="185"/>
      <c r="AI146" s="185"/>
      <c r="AJ146" s="185"/>
      <c r="AK146" s="185"/>
      <c r="AL146" s="185"/>
      <c r="AM146" s="185"/>
      <c r="AN146" s="185"/>
      <c r="AO146" s="185"/>
      <c r="AP146" s="185"/>
      <c r="AQ146" s="185"/>
      <c r="AR146" s="185"/>
      <c r="AS146" s="185"/>
      <c r="AT146" s="185"/>
      <c r="AU146" s="185"/>
      <c r="AV146" s="185"/>
      <c r="AW146" s="185"/>
      <c r="AX146" s="185"/>
      <c r="AY146" s="185"/>
      <c r="AZ146" s="185"/>
      <c r="BA146" s="185"/>
      <c r="BB146" s="185"/>
      <c r="BC146" s="185"/>
      <c r="BD146" s="185"/>
      <c r="BE146" s="185"/>
      <c r="BF146" s="185"/>
      <c r="BG146" s="185"/>
      <c r="BH146" s="185"/>
      <c r="BI146" s="185"/>
      <c r="BJ146" s="185"/>
      <c r="BK146" s="185"/>
      <c r="BL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233"/>
      <c r="AF147" s="185"/>
      <c r="AG147" s="185"/>
      <c r="AH147" s="185"/>
      <c r="AI147" s="185"/>
      <c r="AJ147" s="185"/>
      <c r="AK147" s="185"/>
      <c r="AL147" s="185"/>
      <c r="AM147" s="185"/>
      <c r="AN147" s="185"/>
      <c r="AO147" s="185"/>
      <c r="AP147" s="185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  <c r="BA147" s="185"/>
      <c r="BB147" s="185"/>
      <c r="BC147" s="185"/>
      <c r="BD147" s="185"/>
      <c r="BE147" s="185"/>
      <c r="BF147" s="185"/>
      <c r="BG147" s="185"/>
      <c r="BH147" s="185"/>
      <c r="BI147" s="185"/>
      <c r="BJ147" s="185"/>
      <c r="BK147" s="185"/>
      <c r="BL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233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  <c r="AP148" s="185"/>
      <c r="AQ148" s="185"/>
      <c r="AR148" s="185"/>
      <c r="AS148" s="185"/>
      <c r="AT148" s="185"/>
      <c r="AU148" s="185"/>
      <c r="AV148" s="185"/>
      <c r="AW148" s="185"/>
      <c r="AX148" s="185"/>
      <c r="AY148" s="185"/>
      <c r="AZ148" s="185"/>
      <c r="BA148" s="185"/>
      <c r="BB148" s="185"/>
      <c r="BC148" s="185"/>
      <c r="BD148" s="185"/>
      <c r="BE148" s="185"/>
      <c r="BF148" s="185"/>
      <c r="BG148" s="185"/>
      <c r="BH148" s="185"/>
      <c r="BI148" s="185"/>
      <c r="BJ148" s="185"/>
      <c r="BK148" s="185"/>
      <c r="BL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233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185"/>
      <c r="BD149" s="185"/>
      <c r="BE149" s="185"/>
      <c r="BF149" s="185"/>
      <c r="BG149" s="185"/>
      <c r="BH149" s="185"/>
      <c r="BI149" s="185"/>
      <c r="BJ149" s="185"/>
      <c r="BK149" s="185"/>
      <c r="BL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233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185"/>
      <c r="BE150" s="185"/>
      <c r="BF150" s="185"/>
      <c r="BG150" s="185"/>
      <c r="BH150" s="185"/>
      <c r="BI150" s="185"/>
      <c r="BJ150" s="185"/>
      <c r="BK150" s="185"/>
      <c r="BL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233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5"/>
      <c r="BF151" s="185"/>
      <c r="BG151" s="185"/>
      <c r="BH151" s="185"/>
      <c r="BI151" s="185"/>
      <c r="BJ151" s="185"/>
      <c r="BK151" s="185"/>
      <c r="BL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233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185"/>
      <c r="BE152" s="185"/>
      <c r="BF152" s="185"/>
      <c r="BG152" s="185"/>
      <c r="BH152" s="185"/>
      <c r="BI152" s="185"/>
      <c r="BJ152" s="185"/>
      <c r="BK152" s="185"/>
      <c r="BL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233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185"/>
      <c r="BE153" s="185"/>
      <c r="BF153" s="185"/>
      <c r="BG153" s="185"/>
      <c r="BH153" s="185"/>
      <c r="BI153" s="185"/>
      <c r="BJ153" s="185"/>
      <c r="BK153" s="185"/>
      <c r="BL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233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185"/>
      <c r="BE154" s="185"/>
      <c r="BF154" s="185"/>
      <c r="BG154" s="185"/>
      <c r="BH154" s="185"/>
      <c r="BI154" s="185"/>
      <c r="BJ154" s="185"/>
      <c r="BK154" s="185"/>
      <c r="BL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233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185"/>
      <c r="BE155" s="185"/>
      <c r="BF155" s="185"/>
      <c r="BG155" s="185"/>
      <c r="BH155" s="185"/>
      <c r="BI155" s="185"/>
      <c r="BJ155" s="185"/>
      <c r="BK155" s="185"/>
      <c r="BL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233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233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185"/>
      <c r="BE157" s="185"/>
      <c r="BF157" s="185"/>
      <c r="BG157" s="185"/>
      <c r="BH157" s="185"/>
      <c r="BI157" s="185"/>
      <c r="BJ157" s="185"/>
      <c r="BK157" s="185"/>
      <c r="BL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233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185"/>
      <c r="BE158" s="185"/>
      <c r="BF158" s="185"/>
      <c r="BG158" s="185"/>
      <c r="BH158" s="185"/>
      <c r="BI158" s="185"/>
      <c r="BJ158" s="185"/>
      <c r="BK158" s="185"/>
      <c r="BL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233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185"/>
      <c r="BE159" s="185"/>
      <c r="BF159" s="185"/>
      <c r="BG159" s="185"/>
      <c r="BH159" s="185"/>
      <c r="BI159" s="185"/>
      <c r="BJ159" s="185"/>
      <c r="BK159" s="185"/>
      <c r="BL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233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185"/>
      <c r="BE160" s="185"/>
      <c r="BF160" s="185"/>
      <c r="BG160" s="185"/>
      <c r="BH160" s="185"/>
      <c r="BI160" s="185"/>
      <c r="BJ160" s="185"/>
      <c r="BK160" s="185"/>
      <c r="BL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233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5"/>
      <c r="BF161" s="185"/>
      <c r="BG161" s="185"/>
      <c r="BH161" s="185"/>
      <c r="BI161" s="185"/>
      <c r="BJ161" s="185"/>
      <c r="BK161" s="185"/>
      <c r="BL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233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233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233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233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233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233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233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233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233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233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233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233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233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233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233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233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233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185"/>
      <c r="BE178" s="185"/>
      <c r="BF178" s="185"/>
      <c r="BG178" s="185"/>
      <c r="BH178" s="185"/>
      <c r="BI178" s="185"/>
      <c r="BJ178" s="185"/>
      <c r="BK178" s="185"/>
      <c r="BL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233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185"/>
      <c r="BI179" s="185"/>
      <c r="BJ179" s="185"/>
      <c r="BK179" s="185"/>
      <c r="BL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233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185"/>
      <c r="BI180" s="185"/>
      <c r="BJ180" s="185"/>
      <c r="BK180" s="185"/>
      <c r="BL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233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5"/>
      <c r="BF181" s="185"/>
      <c r="BG181" s="185"/>
      <c r="BH181" s="185"/>
      <c r="BI181" s="185"/>
      <c r="BJ181" s="185"/>
      <c r="BK181" s="185"/>
      <c r="BL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233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185"/>
      <c r="BI182" s="185"/>
      <c r="BJ182" s="185"/>
      <c r="BK182" s="185"/>
      <c r="BL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233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185"/>
      <c r="BI183" s="185"/>
      <c r="BJ183" s="185"/>
      <c r="BK183" s="185"/>
      <c r="BL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233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185"/>
      <c r="BI184" s="185"/>
      <c r="BJ184" s="185"/>
      <c r="BK184" s="185"/>
      <c r="BL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233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233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233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185"/>
      <c r="BE187" s="185"/>
      <c r="BF187" s="185"/>
      <c r="BG187" s="185"/>
      <c r="BH187" s="185"/>
      <c r="BI187" s="185"/>
      <c r="BJ187" s="185"/>
      <c r="BK187" s="185"/>
      <c r="BL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233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185"/>
      <c r="BE188" s="185"/>
      <c r="BF188" s="185"/>
      <c r="BG188" s="185"/>
      <c r="BH188" s="185"/>
      <c r="BI188" s="185"/>
      <c r="BJ188" s="185"/>
      <c r="BK188" s="185"/>
      <c r="BL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233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185"/>
      <c r="BE189" s="185"/>
      <c r="BF189" s="185"/>
      <c r="BG189" s="185"/>
      <c r="BH189" s="185"/>
      <c r="BI189" s="185"/>
      <c r="BJ189" s="185"/>
      <c r="BK189" s="185"/>
      <c r="BL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233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185"/>
      <c r="BE190" s="185"/>
      <c r="BF190" s="185"/>
      <c r="BG190" s="185"/>
      <c r="BH190" s="185"/>
      <c r="BI190" s="185"/>
      <c r="BJ190" s="185"/>
      <c r="BK190" s="185"/>
      <c r="BL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233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5"/>
      <c r="BF191" s="185"/>
      <c r="BG191" s="185"/>
      <c r="BH191" s="185"/>
      <c r="BI191" s="185"/>
      <c r="BJ191" s="185"/>
      <c r="BK191" s="185"/>
      <c r="BL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233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185"/>
      <c r="BE192" s="185"/>
      <c r="BF192" s="185"/>
      <c r="BG192" s="185"/>
      <c r="BH192" s="185"/>
      <c r="BI192" s="185"/>
      <c r="BJ192" s="185"/>
      <c r="BK192" s="185"/>
      <c r="BL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233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185"/>
      <c r="BE193" s="185"/>
      <c r="BF193" s="185"/>
      <c r="BG193" s="185"/>
      <c r="BH193" s="185"/>
      <c r="BI193" s="185"/>
      <c r="BJ193" s="185"/>
      <c r="BK193" s="185"/>
      <c r="BL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233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233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233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233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233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233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233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</row>
    <row r="201" ht="15.75" customHeight="1">
      <c r="A201" s="246"/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  <c r="AF201" s="246"/>
      <c r="AG201" s="246"/>
      <c r="AH201" s="246"/>
      <c r="AI201" s="246"/>
      <c r="AJ201" s="246"/>
      <c r="AK201" s="246"/>
      <c r="AL201" s="246"/>
      <c r="AM201" s="246"/>
      <c r="AN201" s="246"/>
      <c r="AO201" s="246"/>
      <c r="AP201" s="246"/>
      <c r="AQ201" s="246"/>
      <c r="AR201" s="246"/>
      <c r="AS201" s="246"/>
      <c r="AT201" s="246"/>
      <c r="AU201" s="246"/>
      <c r="AV201" s="246"/>
      <c r="AW201" s="246"/>
      <c r="AX201" s="246"/>
      <c r="AY201" s="246"/>
      <c r="AZ201" s="246"/>
      <c r="BA201" s="246"/>
      <c r="BB201" s="246"/>
      <c r="BC201" s="246"/>
      <c r="BD201" s="246"/>
      <c r="BE201" s="246"/>
      <c r="BF201" s="246"/>
      <c r="BG201" s="246"/>
      <c r="BH201" s="246"/>
      <c r="BI201" s="246"/>
      <c r="BJ201" s="246"/>
      <c r="BK201" s="246"/>
      <c r="BL201" s="246"/>
    </row>
    <row r="202" ht="15.75" customHeight="1">
      <c r="A202" s="246"/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  <c r="AD202" s="246"/>
      <c r="AE202" s="246"/>
      <c r="AF202" s="246"/>
      <c r="AG202" s="246"/>
      <c r="AH202" s="246"/>
      <c r="AI202" s="246"/>
      <c r="AJ202" s="246"/>
      <c r="AK202" s="246"/>
      <c r="AL202" s="246"/>
      <c r="AM202" s="246"/>
      <c r="AN202" s="246"/>
      <c r="AO202" s="246"/>
      <c r="AP202" s="246"/>
      <c r="AQ202" s="246"/>
      <c r="AR202" s="246"/>
      <c r="AS202" s="246"/>
      <c r="AT202" s="246"/>
      <c r="AU202" s="246"/>
      <c r="AV202" s="246"/>
      <c r="AW202" s="246"/>
      <c r="AX202" s="246"/>
      <c r="AY202" s="246"/>
      <c r="AZ202" s="246"/>
      <c r="BA202" s="246"/>
      <c r="BB202" s="246"/>
      <c r="BC202" s="246"/>
      <c r="BD202" s="246"/>
      <c r="BE202" s="246"/>
      <c r="BF202" s="246"/>
      <c r="BG202" s="246"/>
      <c r="BH202" s="246"/>
      <c r="BI202" s="246"/>
      <c r="BJ202" s="246"/>
      <c r="BK202" s="246"/>
      <c r="BL202" s="246"/>
    </row>
    <row r="203" ht="15.75" customHeight="1">
      <c r="A203" s="246"/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  <c r="AF203" s="246"/>
      <c r="AG203" s="246"/>
      <c r="AH203" s="246"/>
      <c r="AI203" s="246"/>
      <c r="AJ203" s="246"/>
      <c r="AK203" s="246"/>
      <c r="AL203" s="246"/>
      <c r="AM203" s="246"/>
      <c r="AN203" s="246"/>
      <c r="AO203" s="246"/>
      <c r="AP203" s="246"/>
      <c r="AQ203" s="246"/>
      <c r="AR203" s="246"/>
      <c r="AS203" s="246"/>
      <c r="AT203" s="246"/>
      <c r="AU203" s="246"/>
      <c r="AV203" s="246"/>
      <c r="AW203" s="246"/>
      <c r="AX203" s="246"/>
      <c r="AY203" s="246"/>
      <c r="AZ203" s="246"/>
      <c r="BA203" s="246"/>
      <c r="BB203" s="246"/>
      <c r="BC203" s="246"/>
      <c r="BD203" s="246"/>
      <c r="BE203" s="246"/>
      <c r="BF203" s="246"/>
      <c r="BG203" s="246"/>
      <c r="BH203" s="246"/>
      <c r="BI203" s="246"/>
      <c r="BJ203" s="246"/>
      <c r="BK203" s="246"/>
      <c r="BL203" s="246"/>
    </row>
    <row r="204" ht="15.75" customHeight="1">
      <c r="A204" s="246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  <c r="AD204" s="246"/>
      <c r="AE204" s="246"/>
      <c r="AF204" s="246"/>
      <c r="AG204" s="246"/>
      <c r="AH204" s="246"/>
      <c r="AI204" s="246"/>
      <c r="AJ204" s="246"/>
      <c r="AK204" s="246"/>
      <c r="AL204" s="246"/>
      <c r="AM204" s="246"/>
      <c r="AN204" s="246"/>
      <c r="AO204" s="246"/>
      <c r="AP204" s="246"/>
      <c r="AQ204" s="246"/>
      <c r="AR204" s="246"/>
      <c r="AS204" s="246"/>
      <c r="AT204" s="246"/>
      <c r="AU204" s="246"/>
      <c r="AV204" s="246"/>
      <c r="AW204" s="246"/>
      <c r="AX204" s="246"/>
      <c r="AY204" s="246"/>
      <c r="AZ204" s="246"/>
      <c r="BA204" s="246"/>
      <c r="BB204" s="246"/>
      <c r="BC204" s="246"/>
      <c r="BD204" s="246"/>
      <c r="BE204" s="246"/>
      <c r="BF204" s="246"/>
      <c r="BG204" s="246"/>
      <c r="BH204" s="246"/>
      <c r="BI204" s="246"/>
      <c r="BJ204" s="246"/>
      <c r="BK204" s="246"/>
      <c r="BL204" s="246"/>
    </row>
    <row r="205" ht="15.75" customHeight="1">
      <c r="A205" s="246"/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  <c r="AF205" s="246"/>
      <c r="AG205" s="246"/>
      <c r="AH205" s="246"/>
      <c r="AI205" s="246"/>
      <c r="AJ205" s="246"/>
      <c r="AK205" s="246"/>
      <c r="AL205" s="246"/>
      <c r="AM205" s="246"/>
      <c r="AN205" s="246"/>
      <c r="AO205" s="246"/>
      <c r="AP205" s="246"/>
      <c r="AQ205" s="246"/>
      <c r="AR205" s="246"/>
      <c r="AS205" s="246"/>
      <c r="AT205" s="246"/>
      <c r="AU205" s="246"/>
      <c r="AV205" s="246"/>
      <c r="AW205" s="246"/>
      <c r="AX205" s="246"/>
      <c r="AY205" s="246"/>
      <c r="AZ205" s="246"/>
      <c r="BA205" s="246"/>
      <c r="BB205" s="246"/>
      <c r="BC205" s="246"/>
      <c r="BD205" s="246"/>
      <c r="BE205" s="246"/>
      <c r="BF205" s="246"/>
      <c r="BG205" s="246"/>
      <c r="BH205" s="246"/>
      <c r="BI205" s="246"/>
      <c r="BJ205" s="246"/>
      <c r="BK205" s="246"/>
      <c r="BL205" s="246"/>
    </row>
    <row r="206" ht="15.75" customHeight="1">
      <c r="A206" s="246"/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  <c r="AD206" s="246"/>
      <c r="AE206" s="246"/>
      <c r="AF206" s="246"/>
      <c r="AG206" s="246"/>
      <c r="AH206" s="246"/>
      <c r="AI206" s="246"/>
      <c r="AJ206" s="246"/>
      <c r="AK206" s="246"/>
      <c r="AL206" s="246"/>
      <c r="AM206" s="246"/>
      <c r="AN206" s="246"/>
      <c r="AO206" s="246"/>
      <c r="AP206" s="246"/>
      <c r="AQ206" s="246"/>
      <c r="AR206" s="246"/>
      <c r="AS206" s="246"/>
      <c r="AT206" s="246"/>
      <c r="AU206" s="246"/>
      <c r="AV206" s="246"/>
      <c r="AW206" s="246"/>
      <c r="AX206" s="246"/>
      <c r="AY206" s="246"/>
      <c r="AZ206" s="246"/>
      <c r="BA206" s="246"/>
      <c r="BB206" s="246"/>
      <c r="BC206" s="246"/>
      <c r="BD206" s="246"/>
      <c r="BE206" s="246"/>
      <c r="BF206" s="246"/>
      <c r="BG206" s="246"/>
      <c r="BH206" s="246"/>
      <c r="BI206" s="246"/>
      <c r="BJ206" s="246"/>
      <c r="BK206" s="246"/>
      <c r="BL206" s="246"/>
    </row>
    <row r="207" ht="15.75" customHeight="1">
      <c r="A207" s="246"/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  <c r="AF207" s="246"/>
      <c r="AG207" s="246"/>
      <c r="AH207" s="246"/>
      <c r="AI207" s="246"/>
      <c r="AJ207" s="246"/>
      <c r="AK207" s="246"/>
      <c r="AL207" s="246"/>
      <c r="AM207" s="246"/>
      <c r="AN207" s="246"/>
      <c r="AO207" s="246"/>
      <c r="AP207" s="246"/>
      <c r="AQ207" s="246"/>
      <c r="AR207" s="246"/>
      <c r="AS207" s="246"/>
      <c r="AT207" s="246"/>
      <c r="AU207" s="246"/>
      <c r="AV207" s="246"/>
      <c r="AW207" s="246"/>
      <c r="AX207" s="246"/>
      <c r="AY207" s="246"/>
      <c r="AZ207" s="246"/>
      <c r="BA207" s="246"/>
      <c r="BB207" s="246"/>
      <c r="BC207" s="246"/>
      <c r="BD207" s="246"/>
      <c r="BE207" s="246"/>
      <c r="BF207" s="246"/>
      <c r="BG207" s="246"/>
      <c r="BH207" s="246"/>
      <c r="BI207" s="246"/>
      <c r="BJ207" s="246"/>
      <c r="BK207" s="246"/>
      <c r="BL207" s="246"/>
    </row>
    <row r="208" ht="15.75" customHeight="1">
      <c r="A208" s="246"/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  <c r="AD208" s="246"/>
      <c r="AE208" s="246"/>
      <c r="AF208" s="246"/>
      <c r="AG208" s="246"/>
      <c r="AH208" s="246"/>
      <c r="AI208" s="246"/>
      <c r="AJ208" s="246"/>
      <c r="AK208" s="246"/>
      <c r="AL208" s="246"/>
      <c r="AM208" s="246"/>
      <c r="AN208" s="246"/>
      <c r="AO208" s="246"/>
      <c r="AP208" s="246"/>
      <c r="AQ208" s="246"/>
      <c r="AR208" s="246"/>
      <c r="AS208" s="246"/>
      <c r="AT208" s="246"/>
      <c r="AU208" s="246"/>
      <c r="AV208" s="246"/>
      <c r="AW208" s="246"/>
      <c r="AX208" s="246"/>
      <c r="AY208" s="246"/>
      <c r="AZ208" s="246"/>
      <c r="BA208" s="246"/>
      <c r="BB208" s="246"/>
      <c r="BC208" s="246"/>
      <c r="BD208" s="246"/>
      <c r="BE208" s="246"/>
      <c r="BF208" s="246"/>
      <c r="BG208" s="246"/>
      <c r="BH208" s="246"/>
      <c r="BI208" s="246"/>
      <c r="BJ208" s="246"/>
      <c r="BK208" s="246"/>
      <c r="BL208" s="246"/>
    </row>
    <row r="209" ht="15.75" customHeight="1">
      <c r="A209" s="246"/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6"/>
      <c r="AG209" s="246"/>
      <c r="AH209" s="246"/>
      <c r="AI209" s="246"/>
      <c r="AJ209" s="246"/>
      <c r="AK209" s="246"/>
      <c r="AL209" s="246"/>
      <c r="AM209" s="246"/>
      <c r="AN209" s="246"/>
      <c r="AO209" s="246"/>
      <c r="AP209" s="246"/>
      <c r="AQ209" s="246"/>
      <c r="AR209" s="246"/>
      <c r="AS209" s="246"/>
      <c r="AT209" s="246"/>
      <c r="AU209" s="246"/>
      <c r="AV209" s="246"/>
      <c r="AW209" s="246"/>
      <c r="AX209" s="246"/>
      <c r="AY209" s="246"/>
      <c r="AZ209" s="246"/>
      <c r="BA209" s="246"/>
      <c r="BB209" s="246"/>
      <c r="BC209" s="246"/>
      <c r="BD209" s="246"/>
      <c r="BE209" s="246"/>
      <c r="BF209" s="246"/>
      <c r="BG209" s="246"/>
      <c r="BH209" s="246"/>
      <c r="BI209" s="246"/>
      <c r="BJ209" s="246"/>
      <c r="BK209" s="246"/>
      <c r="BL209" s="246"/>
    </row>
    <row r="210" ht="15.75" customHeight="1">
      <c r="A210" s="246"/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6"/>
      <c r="AG210" s="246"/>
      <c r="AH210" s="246"/>
      <c r="AI210" s="246"/>
      <c r="AJ210" s="246"/>
      <c r="AK210" s="246"/>
      <c r="AL210" s="246"/>
      <c r="AM210" s="246"/>
      <c r="AN210" s="246"/>
      <c r="AO210" s="246"/>
      <c r="AP210" s="246"/>
      <c r="AQ210" s="246"/>
      <c r="AR210" s="246"/>
      <c r="AS210" s="246"/>
      <c r="AT210" s="246"/>
      <c r="AU210" s="246"/>
      <c r="AV210" s="246"/>
      <c r="AW210" s="246"/>
      <c r="AX210" s="246"/>
      <c r="AY210" s="246"/>
      <c r="AZ210" s="246"/>
      <c r="BA210" s="246"/>
      <c r="BB210" s="246"/>
      <c r="BC210" s="246"/>
      <c r="BD210" s="246"/>
      <c r="BE210" s="246"/>
      <c r="BF210" s="246"/>
      <c r="BG210" s="246"/>
      <c r="BH210" s="246"/>
      <c r="BI210" s="246"/>
      <c r="BJ210" s="246"/>
      <c r="BK210" s="246"/>
      <c r="BL210" s="246"/>
    </row>
    <row r="211" ht="15.75" customHeight="1">
      <c r="A211" s="246"/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6"/>
      <c r="AG211" s="246"/>
      <c r="AH211" s="246"/>
      <c r="AI211" s="246"/>
      <c r="AJ211" s="246"/>
      <c r="AK211" s="246"/>
      <c r="AL211" s="246"/>
      <c r="AM211" s="246"/>
      <c r="AN211" s="246"/>
      <c r="AO211" s="246"/>
      <c r="AP211" s="246"/>
      <c r="AQ211" s="246"/>
      <c r="AR211" s="246"/>
      <c r="AS211" s="246"/>
      <c r="AT211" s="246"/>
      <c r="AU211" s="246"/>
      <c r="AV211" s="246"/>
      <c r="AW211" s="246"/>
      <c r="AX211" s="246"/>
      <c r="AY211" s="246"/>
      <c r="AZ211" s="246"/>
      <c r="BA211" s="246"/>
      <c r="BB211" s="246"/>
      <c r="BC211" s="246"/>
      <c r="BD211" s="246"/>
      <c r="BE211" s="246"/>
      <c r="BF211" s="246"/>
      <c r="BG211" s="246"/>
      <c r="BH211" s="246"/>
      <c r="BI211" s="246"/>
      <c r="BJ211" s="246"/>
      <c r="BK211" s="246"/>
      <c r="BL211" s="246"/>
    </row>
    <row r="212" ht="15.75" customHeight="1">
      <c r="A212" s="246"/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  <c r="AF212" s="246"/>
      <c r="AG212" s="246"/>
      <c r="AH212" s="246"/>
      <c r="AI212" s="246"/>
      <c r="AJ212" s="246"/>
      <c r="AK212" s="246"/>
      <c r="AL212" s="246"/>
      <c r="AM212" s="246"/>
      <c r="AN212" s="246"/>
      <c r="AO212" s="246"/>
      <c r="AP212" s="246"/>
      <c r="AQ212" s="246"/>
      <c r="AR212" s="246"/>
      <c r="AS212" s="246"/>
      <c r="AT212" s="246"/>
      <c r="AU212" s="246"/>
      <c r="AV212" s="246"/>
      <c r="AW212" s="246"/>
      <c r="AX212" s="246"/>
      <c r="AY212" s="246"/>
      <c r="AZ212" s="246"/>
      <c r="BA212" s="246"/>
      <c r="BB212" s="246"/>
      <c r="BC212" s="246"/>
      <c r="BD212" s="246"/>
      <c r="BE212" s="246"/>
      <c r="BF212" s="246"/>
      <c r="BG212" s="246"/>
      <c r="BH212" s="246"/>
      <c r="BI212" s="246"/>
      <c r="BJ212" s="246"/>
      <c r="BK212" s="246"/>
      <c r="BL212" s="246"/>
    </row>
    <row r="213" ht="15.75" customHeight="1">
      <c r="A213" s="246"/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  <c r="AF213" s="246"/>
      <c r="AG213" s="246"/>
      <c r="AH213" s="246"/>
      <c r="AI213" s="246"/>
      <c r="AJ213" s="246"/>
      <c r="AK213" s="246"/>
      <c r="AL213" s="246"/>
      <c r="AM213" s="246"/>
      <c r="AN213" s="246"/>
      <c r="AO213" s="246"/>
      <c r="AP213" s="246"/>
      <c r="AQ213" s="246"/>
      <c r="AR213" s="246"/>
      <c r="AS213" s="246"/>
      <c r="AT213" s="246"/>
      <c r="AU213" s="246"/>
      <c r="AV213" s="246"/>
      <c r="AW213" s="246"/>
      <c r="AX213" s="246"/>
      <c r="AY213" s="246"/>
      <c r="AZ213" s="246"/>
      <c r="BA213" s="246"/>
      <c r="BB213" s="246"/>
      <c r="BC213" s="246"/>
      <c r="BD213" s="246"/>
      <c r="BE213" s="246"/>
      <c r="BF213" s="246"/>
      <c r="BG213" s="246"/>
      <c r="BH213" s="246"/>
      <c r="BI213" s="246"/>
      <c r="BJ213" s="246"/>
      <c r="BK213" s="246"/>
      <c r="BL213" s="246"/>
    </row>
    <row r="214" ht="15.75" customHeight="1">
      <c r="A214" s="246"/>
      <c r="B214" s="246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  <c r="AD214" s="246"/>
      <c r="AE214" s="246"/>
      <c r="AF214" s="246"/>
      <c r="AG214" s="246"/>
      <c r="AH214" s="246"/>
      <c r="AI214" s="246"/>
      <c r="AJ214" s="246"/>
      <c r="AK214" s="246"/>
      <c r="AL214" s="246"/>
      <c r="AM214" s="246"/>
      <c r="AN214" s="246"/>
      <c r="AO214" s="246"/>
      <c r="AP214" s="246"/>
      <c r="AQ214" s="246"/>
      <c r="AR214" s="246"/>
      <c r="AS214" s="246"/>
      <c r="AT214" s="246"/>
      <c r="AU214" s="246"/>
      <c r="AV214" s="246"/>
      <c r="AW214" s="246"/>
      <c r="AX214" s="246"/>
      <c r="AY214" s="246"/>
      <c r="AZ214" s="246"/>
      <c r="BA214" s="246"/>
      <c r="BB214" s="246"/>
      <c r="BC214" s="246"/>
      <c r="BD214" s="246"/>
      <c r="BE214" s="246"/>
      <c r="BF214" s="246"/>
      <c r="BG214" s="246"/>
      <c r="BH214" s="246"/>
      <c r="BI214" s="246"/>
      <c r="BJ214" s="246"/>
      <c r="BK214" s="246"/>
      <c r="BL214" s="246"/>
    </row>
    <row r="215" ht="15.75" customHeight="1">
      <c r="A215" s="246"/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  <c r="AF215" s="246"/>
      <c r="AG215" s="246"/>
      <c r="AH215" s="246"/>
      <c r="AI215" s="246"/>
      <c r="AJ215" s="246"/>
      <c r="AK215" s="246"/>
      <c r="AL215" s="246"/>
      <c r="AM215" s="246"/>
      <c r="AN215" s="246"/>
      <c r="AO215" s="246"/>
      <c r="AP215" s="246"/>
      <c r="AQ215" s="246"/>
      <c r="AR215" s="246"/>
      <c r="AS215" s="246"/>
      <c r="AT215" s="246"/>
      <c r="AU215" s="246"/>
      <c r="AV215" s="246"/>
      <c r="AW215" s="246"/>
      <c r="AX215" s="246"/>
      <c r="AY215" s="246"/>
      <c r="AZ215" s="246"/>
      <c r="BA215" s="246"/>
      <c r="BB215" s="246"/>
      <c r="BC215" s="246"/>
      <c r="BD215" s="246"/>
      <c r="BE215" s="246"/>
      <c r="BF215" s="246"/>
      <c r="BG215" s="246"/>
      <c r="BH215" s="246"/>
      <c r="BI215" s="246"/>
      <c r="BJ215" s="246"/>
      <c r="BK215" s="246"/>
      <c r="BL215" s="246"/>
    </row>
    <row r="216" ht="15.75" customHeight="1">
      <c r="A216" s="246"/>
      <c r="B216" s="246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  <c r="AD216" s="246"/>
      <c r="AE216" s="246"/>
      <c r="AF216" s="246"/>
      <c r="AG216" s="246"/>
      <c r="AH216" s="246"/>
      <c r="AI216" s="246"/>
      <c r="AJ216" s="246"/>
      <c r="AK216" s="246"/>
      <c r="AL216" s="246"/>
      <c r="AM216" s="246"/>
      <c r="AN216" s="246"/>
      <c r="AO216" s="246"/>
      <c r="AP216" s="246"/>
      <c r="AQ216" s="246"/>
      <c r="AR216" s="246"/>
      <c r="AS216" s="246"/>
      <c r="AT216" s="246"/>
      <c r="AU216" s="246"/>
      <c r="AV216" s="246"/>
      <c r="AW216" s="246"/>
      <c r="AX216" s="246"/>
      <c r="AY216" s="246"/>
      <c r="AZ216" s="246"/>
      <c r="BA216" s="246"/>
      <c r="BB216" s="246"/>
      <c r="BC216" s="246"/>
      <c r="BD216" s="246"/>
      <c r="BE216" s="246"/>
      <c r="BF216" s="246"/>
      <c r="BG216" s="246"/>
      <c r="BH216" s="246"/>
      <c r="BI216" s="246"/>
      <c r="BJ216" s="246"/>
      <c r="BK216" s="246"/>
      <c r="BL216" s="246"/>
    </row>
    <row r="217" ht="15.75" customHeight="1">
      <c r="A217" s="246"/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  <c r="AF217" s="246"/>
      <c r="AG217" s="246"/>
      <c r="AH217" s="246"/>
      <c r="AI217" s="246"/>
      <c r="AJ217" s="246"/>
      <c r="AK217" s="246"/>
      <c r="AL217" s="246"/>
      <c r="AM217" s="246"/>
      <c r="AN217" s="246"/>
      <c r="AO217" s="246"/>
      <c r="AP217" s="246"/>
      <c r="AQ217" s="246"/>
      <c r="AR217" s="246"/>
      <c r="AS217" s="246"/>
      <c r="AT217" s="246"/>
      <c r="AU217" s="246"/>
      <c r="AV217" s="246"/>
      <c r="AW217" s="246"/>
      <c r="AX217" s="246"/>
      <c r="AY217" s="246"/>
      <c r="AZ217" s="246"/>
      <c r="BA217" s="246"/>
      <c r="BB217" s="246"/>
      <c r="BC217" s="246"/>
      <c r="BD217" s="246"/>
      <c r="BE217" s="246"/>
      <c r="BF217" s="246"/>
      <c r="BG217" s="246"/>
      <c r="BH217" s="246"/>
      <c r="BI217" s="246"/>
      <c r="BJ217" s="246"/>
      <c r="BK217" s="246"/>
      <c r="BL217" s="246"/>
    </row>
    <row r="218" ht="15.75" customHeight="1">
      <c r="A218" s="246"/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  <c r="AD218" s="246"/>
      <c r="AE218" s="246"/>
      <c r="AF218" s="246"/>
      <c r="AG218" s="246"/>
      <c r="AH218" s="246"/>
      <c r="AI218" s="246"/>
      <c r="AJ218" s="246"/>
      <c r="AK218" s="246"/>
      <c r="AL218" s="246"/>
      <c r="AM218" s="246"/>
      <c r="AN218" s="246"/>
      <c r="AO218" s="246"/>
      <c r="AP218" s="246"/>
      <c r="AQ218" s="246"/>
      <c r="AR218" s="246"/>
      <c r="AS218" s="246"/>
      <c r="AT218" s="246"/>
      <c r="AU218" s="246"/>
      <c r="AV218" s="246"/>
      <c r="AW218" s="246"/>
      <c r="AX218" s="246"/>
      <c r="AY218" s="246"/>
      <c r="AZ218" s="246"/>
      <c r="BA218" s="246"/>
      <c r="BB218" s="246"/>
      <c r="BC218" s="246"/>
      <c r="BD218" s="246"/>
      <c r="BE218" s="246"/>
      <c r="BF218" s="246"/>
      <c r="BG218" s="246"/>
      <c r="BH218" s="246"/>
      <c r="BI218" s="246"/>
      <c r="BJ218" s="246"/>
      <c r="BK218" s="246"/>
      <c r="BL218" s="246"/>
    </row>
    <row r="219" ht="15.75" customHeight="1">
      <c r="A219" s="246"/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  <c r="AF219" s="246"/>
      <c r="AG219" s="246"/>
      <c r="AH219" s="246"/>
      <c r="AI219" s="246"/>
      <c r="AJ219" s="246"/>
      <c r="AK219" s="246"/>
      <c r="AL219" s="246"/>
      <c r="AM219" s="246"/>
      <c r="AN219" s="246"/>
      <c r="AO219" s="246"/>
      <c r="AP219" s="246"/>
      <c r="AQ219" s="246"/>
      <c r="AR219" s="246"/>
      <c r="AS219" s="246"/>
      <c r="AT219" s="246"/>
      <c r="AU219" s="246"/>
      <c r="AV219" s="246"/>
      <c r="AW219" s="246"/>
      <c r="AX219" s="246"/>
      <c r="AY219" s="246"/>
      <c r="AZ219" s="246"/>
      <c r="BA219" s="246"/>
      <c r="BB219" s="246"/>
      <c r="BC219" s="246"/>
      <c r="BD219" s="246"/>
      <c r="BE219" s="246"/>
      <c r="BF219" s="246"/>
      <c r="BG219" s="246"/>
      <c r="BH219" s="246"/>
      <c r="BI219" s="246"/>
      <c r="BJ219" s="246"/>
      <c r="BK219" s="246"/>
      <c r="BL219" s="246"/>
    </row>
    <row r="220" ht="15.75" customHeight="1">
      <c r="A220" s="246"/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  <c r="AF220" s="246"/>
      <c r="AG220" s="246"/>
      <c r="AH220" s="246"/>
      <c r="AI220" s="246"/>
      <c r="AJ220" s="246"/>
      <c r="AK220" s="246"/>
      <c r="AL220" s="246"/>
      <c r="AM220" s="246"/>
      <c r="AN220" s="246"/>
      <c r="AO220" s="246"/>
      <c r="AP220" s="246"/>
      <c r="AQ220" s="246"/>
      <c r="AR220" s="246"/>
      <c r="AS220" s="246"/>
      <c r="AT220" s="246"/>
      <c r="AU220" s="246"/>
      <c r="AV220" s="246"/>
      <c r="AW220" s="246"/>
      <c r="AX220" s="246"/>
      <c r="AY220" s="246"/>
      <c r="AZ220" s="246"/>
      <c r="BA220" s="246"/>
      <c r="BB220" s="246"/>
      <c r="BC220" s="246"/>
      <c r="BD220" s="246"/>
      <c r="BE220" s="246"/>
      <c r="BF220" s="246"/>
      <c r="BG220" s="246"/>
      <c r="BH220" s="246"/>
      <c r="BI220" s="246"/>
      <c r="BJ220" s="246"/>
      <c r="BK220" s="246"/>
      <c r="BL220" s="246"/>
    </row>
    <row r="221" ht="15.75" customHeight="1">
      <c r="A221" s="246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  <c r="AF221" s="246"/>
      <c r="AG221" s="246"/>
      <c r="AH221" s="246"/>
      <c r="AI221" s="246"/>
      <c r="AJ221" s="246"/>
      <c r="AK221" s="246"/>
      <c r="AL221" s="246"/>
      <c r="AM221" s="246"/>
      <c r="AN221" s="246"/>
      <c r="AO221" s="246"/>
      <c r="AP221" s="246"/>
      <c r="AQ221" s="246"/>
      <c r="AR221" s="246"/>
      <c r="AS221" s="246"/>
      <c r="AT221" s="246"/>
      <c r="AU221" s="246"/>
      <c r="AV221" s="246"/>
      <c r="AW221" s="246"/>
      <c r="AX221" s="246"/>
      <c r="AY221" s="246"/>
      <c r="AZ221" s="246"/>
      <c r="BA221" s="246"/>
      <c r="BB221" s="246"/>
      <c r="BC221" s="246"/>
      <c r="BD221" s="246"/>
      <c r="BE221" s="246"/>
      <c r="BF221" s="246"/>
      <c r="BG221" s="246"/>
      <c r="BH221" s="246"/>
      <c r="BI221" s="246"/>
      <c r="BJ221" s="246"/>
      <c r="BK221" s="246"/>
      <c r="BL221" s="246"/>
    </row>
    <row r="222" ht="15.75" customHeight="1">
      <c r="A222" s="246"/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  <c r="AF222" s="246"/>
      <c r="AG222" s="246"/>
      <c r="AH222" s="246"/>
      <c r="AI222" s="246"/>
      <c r="AJ222" s="246"/>
      <c r="AK222" s="246"/>
      <c r="AL222" s="246"/>
      <c r="AM222" s="246"/>
      <c r="AN222" s="246"/>
      <c r="AO222" s="246"/>
      <c r="AP222" s="246"/>
      <c r="AQ222" s="246"/>
      <c r="AR222" s="246"/>
      <c r="AS222" s="246"/>
      <c r="AT222" s="246"/>
      <c r="AU222" s="246"/>
      <c r="AV222" s="246"/>
      <c r="AW222" s="246"/>
      <c r="AX222" s="246"/>
      <c r="AY222" s="246"/>
      <c r="AZ222" s="246"/>
      <c r="BA222" s="246"/>
      <c r="BB222" s="246"/>
      <c r="BC222" s="246"/>
      <c r="BD222" s="246"/>
      <c r="BE222" s="246"/>
      <c r="BF222" s="246"/>
      <c r="BG222" s="246"/>
      <c r="BH222" s="246"/>
      <c r="BI222" s="246"/>
      <c r="BJ222" s="246"/>
      <c r="BK222" s="246"/>
      <c r="BL222" s="246"/>
    </row>
    <row r="223" ht="15.75" customHeight="1">
      <c r="A223" s="246"/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  <c r="AF223" s="246"/>
      <c r="AG223" s="246"/>
      <c r="AH223" s="246"/>
      <c r="AI223" s="246"/>
      <c r="AJ223" s="246"/>
      <c r="AK223" s="246"/>
      <c r="AL223" s="246"/>
      <c r="AM223" s="246"/>
      <c r="AN223" s="246"/>
      <c r="AO223" s="246"/>
      <c r="AP223" s="246"/>
      <c r="AQ223" s="246"/>
      <c r="AR223" s="246"/>
      <c r="AS223" s="246"/>
      <c r="AT223" s="246"/>
      <c r="AU223" s="246"/>
      <c r="AV223" s="246"/>
      <c r="AW223" s="246"/>
      <c r="AX223" s="246"/>
      <c r="AY223" s="246"/>
      <c r="AZ223" s="246"/>
      <c r="BA223" s="246"/>
      <c r="BB223" s="246"/>
      <c r="BC223" s="246"/>
      <c r="BD223" s="246"/>
      <c r="BE223" s="246"/>
      <c r="BF223" s="246"/>
      <c r="BG223" s="246"/>
      <c r="BH223" s="246"/>
      <c r="BI223" s="246"/>
      <c r="BJ223" s="246"/>
      <c r="BK223" s="246"/>
      <c r="BL223" s="246"/>
    </row>
    <row r="224" ht="15.75" customHeight="1">
      <c r="A224" s="246"/>
      <c r="B224" s="246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  <c r="AF224" s="246"/>
      <c r="AG224" s="246"/>
      <c r="AH224" s="246"/>
      <c r="AI224" s="246"/>
      <c r="AJ224" s="246"/>
      <c r="AK224" s="246"/>
      <c r="AL224" s="246"/>
      <c r="AM224" s="246"/>
      <c r="AN224" s="246"/>
      <c r="AO224" s="246"/>
      <c r="AP224" s="246"/>
      <c r="AQ224" s="246"/>
      <c r="AR224" s="246"/>
      <c r="AS224" s="246"/>
      <c r="AT224" s="246"/>
      <c r="AU224" s="246"/>
      <c r="AV224" s="246"/>
      <c r="AW224" s="246"/>
      <c r="AX224" s="246"/>
      <c r="AY224" s="246"/>
      <c r="AZ224" s="246"/>
      <c r="BA224" s="246"/>
      <c r="BB224" s="246"/>
      <c r="BC224" s="246"/>
      <c r="BD224" s="246"/>
      <c r="BE224" s="246"/>
      <c r="BF224" s="246"/>
      <c r="BG224" s="246"/>
      <c r="BH224" s="246"/>
      <c r="BI224" s="246"/>
      <c r="BJ224" s="246"/>
      <c r="BK224" s="246"/>
      <c r="BL224" s="246"/>
    </row>
    <row r="225" ht="15.75" customHeight="1">
      <c r="A225" s="246"/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  <c r="AF225" s="246"/>
      <c r="AG225" s="246"/>
      <c r="AH225" s="246"/>
      <c r="AI225" s="246"/>
      <c r="AJ225" s="246"/>
      <c r="AK225" s="246"/>
      <c r="AL225" s="246"/>
      <c r="AM225" s="246"/>
      <c r="AN225" s="246"/>
      <c r="AO225" s="246"/>
      <c r="AP225" s="246"/>
      <c r="AQ225" s="246"/>
      <c r="AR225" s="246"/>
      <c r="AS225" s="246"/>
      <c r="AT225" s="246"/>
      <c r="AU225" s="246"/>
      <c r="AV225" s="246"/>
      <c r="AW225" s="246"/>
      <c r="AX225" s="246"/>
      <c r="AY225" s="246"/>
      <c r="AZ225" s="246"/>
      <c r="BA225" s="246"/>
      <c r="BB225" s="246"/>
      <c r="BC225" s="246"/>
      <c r="BD225" s="246"/>
      <c r="BE225" s="246"/>
      <c r="BF225" s="246"/>
      <c r="BG225" s="246"/>
      <c r="BH225" s="246"/>
      <c r="BI225" s="246"/>
      <c r="BJ225" s="246"/>
      <c r="BK225" s="246"/>
      <c r="BL225" s="246"/>
    </row>
    <row r="226" ht="15.75" customHeight="1">
      <c r="A226" s="246"/>
      <c r="B226" s="246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  <c r="AB226" s="246"/>
      <c r="AC226" s="246"/>
      <c r="AD226" s="246"/>
      <c r="AE226" s="246"/>
      <c r="AF226" s="246"/>
      <c r="AG226" s="246"/>
      <c r="AH226" s="246"/>
      <c r="AI226" s="246"/>
      <c r="AJ226" s="246"/>
      <c r="AK226" s="246"/>
      <c r="AL226" s="246"/>
      <c r="AM226" s="246"/>
      <c r="AN226" s="246"/>
      <c r="AO226" s="246"/>
      <c r="AP226" s="246"/>
      <c r="AQ226" s="246"/>
      <c r="AR226" s="246"/>
      <c r="AS226" s="246"/>
      <c r="AT226" s="246"/>
      <c r="AU226" s="246"/>
      <c r="AV226" s="246"/>
      <c r="AW226" s="246"/>
      <c r="AX226" s="246"/>
      <c r="AY226" s="246"/>
      <c r="AZ226" s="246"/>
      <c r="BA226" s="246"/>
      <c r="BB226" s="246"/>
      <c r="BC226" s="246"/>
      <c r="BD226" s="246"/>
      <c r="BE226" s="246"/>
      <c r="BF226" s="246"/>
      <c r="BG226" s="246"/>
      <c r="BH226" s="246"/>
      <c r="BI226" s="246"/>
      <c r="BJ226" s="246"/>
      <c r="BK226" s="246"/>
      <c r="BL226" s="246"/>
    </row>
    <row r="227" ht="15.75" customHeight="1">
      <c r="A227" s="246"/>
      <c r="B227" s="246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  <c r="AD227" s="246"/>
      <c r="AE227" s="246"/>
      <c r="AF227" s="246"/>
      <c r="AG227" s="246"/>
      <c r="AH227" s="246"/>
      <c r="AI227" s="246"/>
      <c r="AJ227" s="246"/>
      <c r="AK227" s="246"/>
      <c r="AL227" s="246"/>
      <c r="AM227" s="246"/>
      <c r="AN227" s="246"/>
      <c r="AO227" s="246"/>
      <c r="AP227" s="246"/>
      <c r="AQ227" s="246"/>
      <c r="AR227" s="246"/>
      <c r="AS227" s="246"/>
      <c r="AT227" s="246"/>
      <c r="AU227" s="246"/>
      <c r="AV227" s="246"/>
      <c r="AW227" s="246"/>
      <c r="AX227" s="246"/>
      <c r="AY227" s="246"/>
      <c r="AZ227" s="246"/>
      <c r="BA227" s="246"/>
      <c r="BB227" s="246"/>
      <c r="BC227" s="246"/>
      <c r="BD227" s="246"/>
      <c r="BE227" s="246"/>
      <c r="BF227" s="246"/>
      <c r="BG227" s="246"/>
      <c r="BH227" s="246"/>
      <c r="BI227" s="246"/>
      <c r="BJ227" s="246"/>
      <c r="BK227" s="246"/>
      <c r="BL227" s="246"/>
    </row>
    <row r="228" ht="15.75" customHeight="1">
      <c r="A228" s="246"/>
      <c r="B228" s="246"/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  <c r="AF228" s="246"/>
      <c r="AG228" s="246"/>
      <c r="AH228" s="246"/>
      <c r="AI228" s="246"/>
      <c r="AJ228" s="246"/>
      <c r="AK228" s="246"/>
      <c r="AL228" s="246"/>
      <c r="AM228" s="246"/>
      <c r="AN228" s="246"/>
      <c r="AO228" s="246"/>
      <c r="AP228" s="246"/>
      <c r="AQ228" s="246"/>
      <c r="AR228" s="246"/>
      <c r="AS228" s="246"/>
      <c r="AT228" s="246"/>
      <c r="AU228" s="246"/>
      <c r="AV228" s="246"/>
      <c r="AW228" s="246"/>
      <c r="AX228" s="246"/>
      <c r="AY228" s="246"/>
      <c r="AZ228" s="246"/>
      <c r="BA228" s="246"/>
      <c r="BB228" s="246"/>
      <c r="BC228" s="246"/>
      <c r="BD228" s="246"/>
      <c r="BE228" s="246"/>
      <c r="BF228" s="246"/>
      <c r="BG228" s="246"/>
      <c r="BH228" s="246"/>
      <c r="BI228" s="246"/>
      <c r="BJ228" s="246"/>
      <c r="BK228" s="246"/>
      <c r="BL228" s="246"/>
    </row>
    <row r="229" ht="15.75" customHeight="1">
      <c r="A229" s="246"/>
      <c r="B229" s="246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  <c r="AF229" s="246"/>
      <c r="AG229" s="246"/>
      <c r="AH229" s="246"/>
      <c r="AI229" s="246"/>
      <c r="AJ229" s="246"/>
      <c r="AK229" s="246"/>
      <c r="AL229" s="246"/>
      <c r="AM229" s="246"/>
      <c r="AN229" s="246"/>
      <c r="AO229" s="246"/>
      <c r="AP229" s="246"/>
      <c r="AQ229" s="246"/>
      <c r="AR229" s="246"/>
      <c r="AS229" s="246"/>
      <c r="AT229" s="246"/>
      <c r="AU229" s="246"/>
      <c r="AV229" s="246"/>
      <c r="AW229" s="246"/>
      <c r="AX229" s="246"/>
      <c r="AY229" s="246"/>
      <c r="AZ229" s="246"/>
      <c r="BA229" s="246"/>
      <c r="BB229" s="246"/>
      <c r="BC229" s="246"/>
      <c r="BD229" s="246"/>
      <c r="BE229" s="246"/>
      <c r="BF229" s="246"/>
      <c r="BG229" s="246"/>
      <c r="BH229" s="246"/>
      <c r="BI229" s="246"/>
      <c r="BJ229" s="246"/>
      <c r="BK229" s="246"/>
      <c r="BL229" s="246"/>
    </row>
    <row r="230" ht="15.75" customHeight="1">
      <c r="A230" s="246"/>
      <c r="B230" s="246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  <c r="AB230" s="246"/>
      <c r="AC230" s="246"/>
      <c r="AD230" s="246"/>
      <c r="AE230" s="246"/>
      <c r="AF230" s="246"/>
      <c r="AG230" s="246"/>
      <c r="AH230" s="246"/>
      <c r="AI230" s="246"/>
      <c r="AJ230" s="246"/>
      <c r="AK230" s="246"/>
      <c r="AL230" s="246"/>
      <c r="AM230" s="246"/>
      <c r="AN230" s="246"/>
      <c r="AO230" s="246"/>
      <c r="AP230" s="246"/>
      <c r="AQ230" s="246"/>
      <c r="AR230" s="246"/>
      <c r="AS230" s="246"/>
      <c r="AT230" s="246"/>
      <c r="AU230" s="246"/>
      <c r="AV230" s="246"/>
      <c r="AW230" s="246"/>
      <c r="AX230" s="246"/>
      <c r="AY230" s="246"/>
      <c r="AZ230" s="246"/>
      <c r="BA230" s="246"/>
      <c r="BB230" s="246"/>
      <c r="BC230" s="246"/>
      <c r="BD230" s="246"/>
      <c r="BE230" s="246"/>
      <c r="BF230" s="246"/>
      <c r="BG230" s="246"/>
      <c r="BH230" s="246"/>
      <c r="BI230" s="246"/>
      <c r="BJ230" s="246"/>
      <c r="BK230" s="246"/>
      <c r="BL230" s="246"/>
    </row>
    <row r="231" ht="15.75" customHeight="1">
      <c r="A231" s="246"/>
      <c r="B231" s="246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  <c r="AD231" s="246"/>
      <c r="AE231" s="246"/>
      <c r="AF231" s="246"/>
      <c r="AG231" s="246"/>
      <c r="AH231" s="246"/>
      <c r="AI231" s="246"/>
      <c r="AJ231" s="246"/>
      <c r="AK231" s="246"/>
      <c r="AL231" s="246"/>
      <c r="AM231" s="246"/>
      <c r="AN231" s="246"/>
      <c r="AO231" s="246"/>
      <c r="AP231" s="246"/>
      <c r="AQ231" s="246"/>
      <c r="AR231" s="246"/>
      <c r="AS231" s="246"/>
      <c r="AT231" s="246"/>
      <c r="AU231" s="246"/>
      <c r="AV231" s="246"/>
      <c r="AW231" s="246"/>
      <c r="AX231" s="246"/>
      <c r="AY231" s="246"/>
      <c r="AZ231" s="246"/>
      <c r="BA231" s="246"/>
      <c r="BB231" s="246"/>
      <c r="BC231" s="246"/>
      <c r="BD231" s="246"/>
      <c r="BE231" s="246"/>
      <c r="BF231" s="246"/>
      <c r="BG231" s="246"/>
      <c r="BH231" s="246"/>
      <c r="BI231" s="246"/>
      <c r="BJ231" s="246"/>
      <c r="BK231" s="246"/>
      <c r="BL231" s="246"/>
    </row>
    <row r="232" ht="15.75" customHeight="1">
      <c r="A232" s="246"/>
      <c r="B232" s="246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  <c r="AF232" s="246"/>
      <c r="AG232" s="246"/>
      <c r="AH232" s="246"/>
      <c r="AI232" s="246"/>
      <c r="AJ232" s="246"/>
      <c r="AK232" s="246"/>
      <c r="AL232" s="246"/>
      <c r="AM232" s="246"/>
      <c r="AN232" s="246"/>
      <c r="AO232" s="246"/>
      <c r="AP232" s="246"/>
      <c r="AQ232" s="246"/>
      <c r="AR232" s="246"/>
      <c r="AS232" s="246"/>
      <c r="AT232" s="246"/>
      <c r="AU232" s="246"/>
      <c r="AV232" s="246"/>
      <c r="AW232" s="246"/>
      <c r="AX232" s="246"/>
      <c r="AY232" s="246"/>
      <c r="AZ232" s="246"/>
      <c r="BA232" s="246"/>
      <c r="BB232" s="246"/>
      <c r="BC232" s="246"/>
      <c r="BD232" s="246"/>
      <c r="BE232" s="246"/>
      <c r="BF232" s="246"/>
      <c r="BG232" s="246"/>
      <c r="BH232" s="246"/>
      <c r="BI232" s="246"/>
      <c r="BJ232" s="246"/>
      <c r="BK232" s="246"/>
      <c r="BL232" s="246"/>
    </row>
    <row r="233" ht="15.75" customHeight="1">
      <c r="A233" s="246"/>
      <c r="B233" s="246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  <c r="AD233" s="246"/>
      <c r="AE233" s="246"/>
      <c r="AF233" s="246"/>
      <c r="AG233" s="246"/>
      <c r="AH233" s="246"/>
      <c r="AI233" s="246"/>
      <c r="AJ233" s="246"/>
      <c r="AK233" s="246"/>
      <c r="AL233" s="246"/>
      <c r="AM233" s="246"/>
      <c r="AN233" s="246"/>
      <c r="AO233" s="246"/>
      <c r="AP233" s="246"/>
      <c r="AQ233" s="246"/>
      <c r="AR233" s="246"/>
      <c r="AS233" s="246"/>
      <c r="AT233" s="246"/>
      <c r="AU233" s="246"/>
      <c r="AV233" s="246"/>
      <c r="AW233" s="246"/>
      <c r="AX233" s="246"/>
      <c r="AY233" s="246"/>
      <c r="AZ233" s="246"/>
      <c r="BA233" s="246"/>
      <c r="BB233" s="246"/>
      <c r="BC233" s="246"/>
      <c r="BD233" s="246"/>
      <c r="BE233" s="246"/>
      <c r="BF233" s="246"/>
      <c r="BG233" s="246"/>
      <c r="BH233" s="246"/>
      <c r="BI233" s="246"/>
      <c r="BJ233" s="246"/>
      <c r="BK233" s="246"/>
      <c r="BL233" s="246"/>
    </row>
    <row r="234" ht="15.75" customHeight="1">
      <c r="A234" s="246"/>
      <c r="B234" s="246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  <c r="AB234" s="246"/>
      <c r="AC234" s="246"/>
      <c r="AD234" s="246"/>
      <c r="AE234" s="246"/>
      <c r="AF234" s="246"/>
      <c r="AG234" s="246"/>
      <c r="AH234" s="246"/>
      <c r="AI234" s="246"/>
      <c r="AJ234" s="246"/>
      <c r="AK234" s="246"/>
      <c r="AL234" s="246"/>
      <c r="AM234" s="246"/>
      <c r="AN234" s="246"/>
      <c r="AO234" s="246"/>
      <c r="AP234" s="246"/>
      <c r="AQ234" s="246"/>
      <c r="AR234" s="246"/>
      <c r="AS234" s="246"/>
      <c r="AT234" s="246"/>
      <c r="AU234" s="246"/>
      <c r="AV234" s="246"/>
      <c r="AW234" s="246"/>
      <c r="AX234" s="246"/>
      <c r="AY234" s="246"/>
      <c r="AZ234" s="246"/>
      <c r="BA234" s="246"/>
      <c r="BB234" s="246"/>
      <c r="BC234" s="246"/>
      <c r="BD234" s="246"/>
      <c r="BE234" s="246"/>
      <c r="BF234" s="246"/>
      <c r="BG234" s="246"/>
      <c r="BH234" s="246"/>
      <c r="BI234" s="246"/>
      <c r="BJ234" s="246"/>
      <c r="BK234" s="246"/>
      <c r="BL234" s="246"/>
    </row>
    <row r="235" ht="15.75" customHeight="1">
      <c r="A235" s="246"/>
      <c r="B235" s="246"/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  <c r="AB235" s="246"/>
      <c r="AC235" s="246"/>
      <c r="AD235" s="246"/>
      <c r="AE235" s="246"/>
      <c r="AF235" s="246"/>
      <c r="AG235" s="246"/>
      <c r="AH235" s="246"/>
      <c r="AI235" s="246"/>
      <c r="AJ235" s="246"/>
      <c r="AK235" s="246"/>
      <c r="AL235" s="246"/>
      <c r="AM235" s="246"/>
      <c r="AN235" s="246"/>
      <c r="AO235" s="246"/>
      <c r="AP235" s="246"/>
      <c r="AQ235" s="246"/>
      <c r="AR235" s="246"/>
      <c r="AS235" s="246"/>
      <c r="AT235" s="246"/>
      <c r="AU235" s="246"/>
      <c r="AV235" s="246"/>
      <c r="AW235" s="246"/>
      <c r="AX235" s="246"/>
      <c r="AY235" s="246"/>
      <c r="AZ235" s="246"/>
      <c r="BA235" s="246"/>
      <c r="BB235" s="246"/>
      <c r="BC235" s="246"/>
      <c r="BD235" s="246"/>
      <c r="BE235" s="246"/>
      <c r="BF235" s="246"/>
      <c r="BG235" s="246"/>
      <c r="BH235" s="246"/>
      <c r="BI235" s="246"/>
      <c r="BJ235" s="246"/>
      <c r="BK235" s="246"/>
      <c r="BL235" s="246"/>
    </row>
    <row r="236" ht="15.75" customHeight="1">
      <c r="A236" s="246"/>
      <c r="B236" s="246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  <c r="AB236" s="246"/>
      <c r="AC236" s="246"/>
      <c r="AD236" s="246"/>
      <c r="AE236" s="246"/>
      <c r="AF236" s="246"/>
      <c r="AG236" s="246"/>
      <c r="AH236" s="246"/>
      <c r="AI236" s="246"/>
      <c r="AJ236" s="246"/>
      <c r="AK236" s="246"/>
      <c r="AL236" s="246"/>
      <c r="AM236" s="246"/>
      <c r="AN236" s="246"/>
      <c r="AO236" s="246"/>
      <c r="AP236" s="246"/>
      <c r="AQ236" s="246"/>
      <c r="AR236" s="246"/>
      <c r="AS236" s="246"/>
      <c r="AT236" s="246"/>
      <c r="AU236" s="246"/>
      <c r="AV236" s="246"/>
      <c r="AW236" s="246"/>
      <c r="AX236" s="246"/>
      <c r="AY236" s="246"/>
      <c r="AZ236" s="246"/>
      <c r="BA236" s="246"/>
      <c r="BB236" s="246"/>
      <c r="BC236" s="246"/>
      <c r="BD236" s="246"/>
      <c r="BE236" s="246"/>
      <c r="BF236" s="246"/>
      <c r="BG236" s="246"/>
      <c r="BH236" s="246"/>
      <c r="BI236" s="246"/>
      <c r="BJ236" s="246"/>
      <c r="BK236" s="246"/>
      <c r="BL236" s="246"/>
    </row>
    <row r="237" ht="15.75" customHeight="1">
      <c r="A237" s="246"/>
      <c r="B237" s="246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  <c r="AB237" s="246"/>
      <c r="AC237" s="246"/>
      <c r="AD237" s="246"/>
      <c r="AE237" s="246"/>
      <c r="AF237" s="246"/>
      <c r="AG237" s="246"/>
      <c r="AH237" s="246"/>
      <c r="AI237" s="246"/>
      <c r="AJ237" s="246"/>
      <c r="AK237" s="246"/>
      <c r="AL237" s="246"/>
      <c r="AM237" s="246"/>
      <c r="AN237" s="246"/>
      <c r="AO237" s="246"/>
      <c r="AP237" s="246"/>
      <c r="AQ237" s="246"/>
      <c r="AR237" s="246"/>
      <c r="AS237" s="246"/>
      <c r="AT237" s="246"/>
      <c r="AU237" s="246"/>
      <c r="AV237" s="246"/>
      <c r="AW237" s="246"/>
      <c r="AX237" s="246"/>
      <c r="AY237" s="246"/>
      <c r="AZ237" s="246"/>
      <c r="BA237" s="246"/>
      <c r="BB237" s="246"/>
      <c r="BC237" s="246"/>
      <c r="BD237" s="246"/>
      <c r="BE237" s="246"/>
      <c r="BF237" s="246"/>
      <c r="BG237" s="246"/>
      <c r="BH237" s="246"/>
      <c r="BI237" s="246"/>
      <c r="BJ237" s="246"/>
      <c r="BK237" s="246"/>
      <c r="BL237" s="246"/>
    </row>
    <row r="238" ht="15.75" customHeight="1">
      <c r="A238" s="246"/>
      <c r="B238" s="246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  <c r="AB238" s="246"/>
      <c r="AC238" s="246"/>
      <c r="AD238" s="246"/>
      <c r="AE238" s="246"/>
      <c r="AF238" s="246"/>
      <c r="AG238" s="246"/>
      <c r="AH238" s="246"/>
      <c r="AI238" s="246"/>
      <c r="AJ238" s="246"/>
      <c r="AK238" s="246"/>
      <c r="AL238" s="246"/>
      <c r="AM238" s="246"/>
      <c r="AN238" s="246"/>
      <c r="AO238" s="246"/>
      <c r="AP238" s="246"/>
      <c r="AQ238" s="246"/>
      <c r="AR238" s="246"/>
      <c r="AS238" s="246"/>
      <c r="AT238" s="246"/>
      <c r="AU238" s="246"/>
      <c r="AV238" s="246"/>
      <c r="AW238" s="246"/>
      <c r="AX238" s="246"/>
      <c r="AY238" s="246"/>
      <c r="AZ238" s="246"/>
      <c r="BA238" s="246"/>
      <c r="BB238" s="246"/>
      <c r="BC238" s="246"/>
      <c r="BD238" s="246"/>
      <c r="BE238" s="246"/>
      <c r="BF238" s="246"/>
      <c r="BG238" s="246"/>
      <c r="BH238" s="246"/>
      <c r="BI238" s="246"/>
      <c r="BJ238" s="246"/>
      <c r="BK238" s="246"/>
      <c r="BL238" s="246"/>
    </row>
    <row r="239" ht="15.75" customHeight="1">
      <c r="A239" s="246"/>
      <c r="B239" s="246"/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  <c r="AB239" s="246"/>
      <c r="AC239" s="246"/>
      <c r="AD239" s="246"/>
      <c r="AE239" s="246"/>
      <c r="AF239" s="246"/>
      <c r="AG239" s="246"/>
      <c r="AH239" s="246"/>
      <c r="AI239" s="246"/>
      <c r="AJ239" s="246"/>
      <c r="AK239" s="246"/>
      <c r="AL239" s="246"/>
      <c r="AM239" s="246"/>
      <c r="AN239" s="246"/>
      <c r="AO239" s="246"/>
      <c r="AP239" s="246"/>
      <c r="AQ239" s="246"/>
      <c r="AR239" s="246"/>
      <c r="AS239" s="246"/>
      <c r="AT239" s="246"/>
      <c r="AU239" s="246"/>
      <c r="AV239" s="246"/>
      <c r="AW239" s="246"/>
      <c r="AX239" s="246"/>
      <c r="AY239" s="246"/>
      <c r="AZ239" s="246"/>
      <c r="BA239" s="246"/>
      <c r="BB239" s="246"/>
      <c r="BC239" s="246"/>
      <c r="BD239" s="246"/>
      <c r="BE239" s="246"/>
      <c r="BF239" s="246"/>
      <c r="BG239" s="246"/>
      <c r="BH239" s="246"/>
      <c r="BI239" s="246"/>
      <c r="BJ239" s="246"/>
      <c r="BK239" s="246"/>
      <c r="BL239" s="246"/>
    </row>
    <row r="240" ht="15.75" customHeight="1">
      <c r="A240" s="246"/>
      <c r="B240" s="246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  <c r="AB240" s="246"/>
      <c r="AC240" s="246"/>
      <c r="AD240" s="246"/>
      <c r="AE240" s="246"/>
      <c r="AF240" s="246"/>
      <c r="AG240" s="246"/>
      <c r="AH240" s="246"/>
      <c r="AI240" s="246"/>
      <c r="AJ240" s="246"/>
      <c r="AK240" s="246"/>
      <c r="AL240" s="246"/>
      <c r="AM240" s="246"/>
      <c r="AN240" s="246"/>
      <c r="AO240" s="246"/>
      <c r="AP240" s="246"/>
      <c r="AQ240" s="246"/>
      <c r="AR240" s="246"/>
      <c r="AS240" s="246"/>
      <c r="AT240" s="246"/>
      <c r="AU240" s="246"/>
      <c r="AV240" s="246"/>
      <c r="AW240" s="246"/>
      <c r="AX240" s="246"/>
      <c r="AY240" s="246"/>
      <c r="AZ240" s="246"/>
      <c r="BA240" s="246"/>
      <c r="BB240" s="246"/>
      <c r="BC240" s="246"/>
      <c r="BD240" s="246"/>
      <c r="BE240" s="246"/>
      <c r="BF240" s="246"/>
      <c r="BG240" s="246"/>
      <c r="BH240" s="246"/>
      <c r="BI240" s="246"/>
      <c r="BJ240" s="246"/>
      <c r="BK240" s="246"/>
      <c r="BL240" s="246"/>
    </row>
    <row r="241" ht="15.75" customHeight="1">
      <c r="A241" s="246"/>
      <c r="B241" s="246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  <c r="AB241" s="246"/>
      <c r="AC241" s="246"/>
      <c r="AD241" s="246"/>
      <c r="AE241" s="246"/>
      <c r="AF241" s="246"/>
      <c r="AG241" s="246"/>
      <c r="AH241" s="246"/>
      <c r="AI241" s="246"/>
      <c r="AJ241" s="246"/>
      <c r="AK241" s="246"/>
      <c r="AL241" s="246"/>
      <c r="AM241" s="246"/>
      <c r="AN241" s="246"/>
      <c r="AO241" s="246"/>
      <c r="AP241" s="246"/>
      <c r="AQ241" s="246"/>
      <c r="AR241" s="246"/>
      <c r="AS241" s="246"/>
      <c r="AT241" s="246"/>
      <c r="AU241" s="246"/>
      <c r="AV241" s="246"/>
      <c r="AW241" s="246"/>
      <c r="AX241" s="246"/>
      <c r="AY241" s="246"/>
      <c r="AZ241" s="246"/>
      <c r="BA241" s="246"/>
      <c r="BB241" s="246"/>
      <c r="BC241" s="246"/>
      <c r="BD241" s="246"/>
      <c r="BE241" s="246"/>
      <c r="BF241" s="246"/>
      <c r="BG241" s="246"/>
      <c r="BH241" s="246"/>
      <c r="BI241" s="246"/>
      <c r="BJ241" s="246"/>
      <c r="BK241" s="246"/>
      <c r="BL241" s="246"/>
    </row>
    <row r="242" ht="15.75" customHeight="1">
      <c r="A242" s="246"/>
      <c r="B242" s="246"/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  <c r="AB242" s="246"/>
      <c r="AC242" s="246"/>
      <c r="AD242" s="246"/>
      <c r="AE242" s="246"/>
      <c r="AF242" s="246"/>
      <c r="AG242" s="246"/>
      <c r="AH242" s="246"/>
      <c r="AI242" s="246"/>
      <c r="AJ242" s="246"/>
      <c r="AK242" s="246"/>
      <c r="AL242" s="246"/>
      <c r="AM242" s="246"/>
      <c r="AN242" s="246"/>
      <c r="AO242" s="246"/>
      <c r="AP242" s="246"/>
      <c r="AQ242" s="246"/>
      <c r="AR242" s="246"/>
      <c r="AS242" s="246"/>
      <c r="AT242" s="246"/>
      <c r="AU242" s="246"/>
      <c r="AV242" s="246"/>
      <c r="AW242" s="246"/>
      <c r="AX242" s="246"/>
      <c r="AY242" s="246"/>
      <c r="AZ242" s="246"/>
      <c r="BA242" s="246"/>
      <c r="BB242" s="246"/>
      <c r="BC242" s="246"/>
      <c r="BD242" s="246"/>
      <c r="BE242" s="246"/>
      <c r="BF242" s="246"/>
      <c r="BG242" s="246"/>
      <c r="BH242" s="246"/>
      <c r="BI242" s="246"/>
      <c r="BJ242" s="246"/>
      <c r="BK242" s="246"/>
      <c r="BL242" s="246"/>
    </row>
    <row r="243" ht="15.75" customHeight="1">
      <c r="A243" s="246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  <c r="AB243" s="246"/>
      <c r="AC243" s="246"/>
      <c r="AD243" s="246"/>
      <c r="AE243" s="246"/>
      <c r="AF243" s="246"/>
      <c r="AG243" s="246"/>
      <c r="AH243" s="246"/>
      <c r="AI243" s="246"/>
      <c r="AJ243" s="246"/>
      <c r="AK243" s="246"/>
      <c r="AL243" s="246"/>
      <c r="AM243" s="246"/>
      <c r="AN243" s="246"/>
      <c r="AO243" s="246"/>
      <c r="AP243" s="246"/>
      <c r="AQ243" s="246"/>
      <c r="AR243" s="246"/>
      <c r="AS243" s="246"/>
      <c r="AT243" s="246"/>
      <c r="AU243" s="246"/>
      <c r="AV243" s="246"/>
      <c r="AW243" s="246"/>
      <c r="AX243" s="246"/>
      <c r="AY243" s="246"/>
      <c r="AZ243" s="246"/>
      <c r="BA243" s="246"/>
      <c r="BB243" s="246"/>
      <c r="BC243" s="246"/>
      <c r="BD243" s="246"/>
      <c r="BE243" s="246"/>
      <c r="BF243" s="246"/>
      <c r="BG243" s="246"/>
      <c r="BH243" s="246"/>
      <c r="BI243" s="246"/>
      <c r="BJ243" s="246"/>
      <c r="BK243" s="246"/>
      <c r="BL243" s="246"/>
    </row>
    <row r="244" ht="15.75" customHeight="1">
      <c r="A244" s="246"/>
      <c r="B244" s="246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  <c r="AA244" s="246"/>
      <c r="AB244" s="246"/>
      <c r="AC244" s="246"/>
      <c r="AD244" s="246"/>
      <c r="AE244" s="246"/>
      <c r="AF244" s="246"/>
      <c r="AG244" s="246"/>
      <c r="AH244" s="246"/>
      <c r="AI244" s="246"/>
      <c r="AJ244" s="246"/>
      <c r="AK244" s="246"/>
      <c r="AL244" s="246"/>
      <c r="AM244" s="246"/>
      <c r="AN244" s="246"/>
      <c r="AO244" s="246"/>
      <c r="AP244" s="246"/>
      <c r="AQ244" s="246"/>
      <c r="AR244" s="246"/>
      <c r="AS244" s="246"/>
      <c r="AT244" s="246"/>
      <c r="AU244" s="246"/>
      <c r="AV244" s="246"/>
      <c r="AW244" s="246"/>
      <c r="AX244" s="246"/>
      <c r="AY244" s="246"/>
      <c r="AZ244" s="246"/>
      <c r="BA244" s="246"/>
      <c r="BB244" s="246"/>
      <c r="BC244" s="246"/>
      <c r="BD244" s="246"/>
      <c r="BE244" s="246"/>
      <c r="BF244" s="246"/>
      <c r="BG244" s="246"/>
      <c r="BH244" s="246"/>
      <c r="BI244" s="246"/>
      <c r="BJ244" s="246"/>
      <c r="BK244" s="246"/>
      <c r="BL244" s="246"/>
    </row>
    <row r="245" ht="15.75" customHeight="1">
      <c r="A245" s="246"/>
      <c r="B245" s="246"/>
      <c r="C245" s="246"/>
      <c r="D245" s="246"/>
      <c r="E245" s="246"/>
      <c r="F245" s="246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246"/>
      <c r="S245" s="246"/>
      <c r="T245" s="246"/>
      <c r="U245" s="246"/>
      <c r="V245" s="246"/>
      <c r="W245" s="246"/>
      <c r="X245" s="246"/>
      <c r="Y245" s="246"/>
      <c r="Z245" s="246"/>
      <c r="AA245" s="246"/>
      <c r="AB245" s="246"/>
      <c r="AC245" s="246"/>
      <c r="AD245" s="246"/>
      <c r="AE245" s="246"/>
      <c r="AF245" s="246"/>
      <c r="AG245" s="246"/>
      <c r="AH245" s="246"/>
      <c r="AI245" s="246"/>
      <c r="AJ245" s="246"/>
      <c r="AK245" s="246"/>
      <c r="AL245" s="246"/>
      <c r="AM245" s="246"/>
      <c r="AN245" s="246"/>
      <c r="AO245" s="246"/>
      <c r="AP245" s="246"/>
      <c r="AQ245" s="246"/>
      <c r="AR245" s="246"/>
      <c r="AS245" s="246"/>
      <c r="AT245" s="246"/>
      <c r="AU245" s="246"/>
      <c r="AV245" s="246"/>
      <c r="AW245" s="246"/>
      <c r="AX245" s="246"/>
      <c r="AY245" s="246"/>
      <c r="AZ245" s="246"/>
      <c r="BA245" s="246"/>
      <c r="BB245" s="246"/>
      <c r="BC245" s="246"/>
      <c r="BD245" s="246"/>
      <c r="BE245" s="246"/>
      <c r="BF245" s="246"/>
      <c r="BG245" s="246"/>
      <c r="BH245" s="246"/>
      <c r="BI245" s="246"/>
      <c r="BJ245" s="246"/>
      <c r="BK245" s="246"/>
      <c r="BL245" s="246"/>
    </row>
    <row r="246" ht="15.75" customHeight="1">
      <c r="A246" s="246"/>
      <c r="B246" s="246"/>
      <c r="C246" s="246"/>
      <c r="D246" s="246"/>
      <c r="E246" s="246"/>
      <c r="F246" s="246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246"/>
      <c r="S246" s="246"/>
      <c r="T246" s="246"/>
      <c r="U246" s="246"/>
      <c r="V246" s="246"/>
      <c r="W246" s="246"/>
      <c r="X246" s="246"/>
      <c r="Y246" s="246"/>
      <c r="Z246" s="246"/>
      <c r="AA246" s="246"/>
      <c r="AB246" s="246"/>
      <c r="AC246" s="246"/>
      <c r="AD246" s="246"/>
      <c r="AE246" s="246"/>
      <c r="AF246" s="246"/>
      <c r="AG246" s="246"/>
      <c r="AH246" s="246"/>
      <c r="AI246" s="246"/>
      <c r="AJ246" s="246"/>
      <c r="AK246" s="246"/>
      <c r="AL246" s="246"/>
      <c r="AM246" s="246"/>
      <c r="AN246" s="246"/>
      <c r="AO246" s="246"/>
      <c r="AP246" s="246"/>
      <c r="AQ246" s="246"/>
      <c r="AR246" s="246"/>
      <c r="AS246" s="246"/>
      <c r="AT246" s="246"/>
      <c r="AU246" s="246"/>
      <c r="AV246" s="246"/>
      <c r="AW246" s="246"/>
      <c r="AX246" s="246"/>
      <c r="AY246" s="246"/>
      <c r="AZ246" s="246"/>
      <c r="BA246" s="246"/>
      <c r="BB246" s="246"/>
      <c r="BC246" s="246"/>
      <c r="BD246" s="246"/>
      <c r="BE246" s="246"/>
      <c r="BF246" s="246"/>
      <c r="BG246" s="246"/>
      <c r="BH246" s="246"/>
      <c r="BI246" s="246"/>
      <c r="BJ246" s="246"/>
      <c r="BK246" s="246"/>
      <c r="BL246" s="246"/>
    </row>
    <row r="247" ht="15.75" customHeight="1">
      <c r="A247" s="246"/>
      <c r="B247" s="246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246"/>
      <c r="S247" s="246"/>
      <c r="T247" s="246"/>
      <c r="U247" s="246"/>
      <c r="V247" s="246"/>
      <c r="W247" s="246"/>
      <c r="X247" s="246"/>
      <c r="Y247" s="246"/>
      <c r="Z247" s="246"/>
      <c r="AA247" s="246"/>
      <c r="AB247" s="246"/>
      <c r="AC247" s="246"/>
      <c r="AD247" s="246"/>
      <c r="AE247" s="246"/>
      <c r="AF247" s="246"/>
      <c r="AG247" s="246"/>
      <c r="AH247" s="246"/>
      <c r="AI247" s="246"/>
      <c r="AJ247" s="246"/>
      <c r="AK247" s="246"/>
      <c r="AL247" s="246"/>
      <c r="AM247" s="246"/>
      <c r="AN247" s="246"/>
      <c r="AO247" s="246"/>
      <c r="AP247" s="246"/>
      <c r="AQ247" s="246"/>
      <c r="AR247" s="246"/>
      <c r="AS247" s="246"/>
      <c r="AT247" s="246"/>
      <c r="AU247" s="246"/>
      <c r="AV247" s="246"/>
      <c r="AW247" s="246"/>
      <c r="AX247" s="246"/>
      <c r="AY247" s="246"/>
      <c r="AZ247" s="246"/>
      <c r="BA247" s="246"/>
      <c r="BB247" s="246"/>
      <c r="BC247" s="246"/>
      <c r="BD247" s="246"/>
      <c r="BE247" s="246"/>
      <c r="BF247" s="246"/>
      <c r="BG247" s="246"/>
      <c r="BH247" s="246"/>
      <c r="BI247" s="246"/>
      <c r="BJ247" s="246"/>
      <c r="BK247" s="246"/>
      <c r="BL247" s="246"/>
    </row>
    <row r="248" ht="15.75" customHeight="1">
      <c r="A248" s="246"/>
      <c r="B248" s="246"/>
      <c r="C248" s="246"/>
      <c r="D248" s="246"/>
      <c r="E248" s="246"/>
      <c r="F248" s="246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246"/>
      <c r="S248" s="246"/>
      <c r="T248" s="246"/>
      <c r="U248" s="246"/>
      <c r="V248" s="246"/>
      <c r="W248" s="246"/>
      <c r="X248" s="246"/>
      <c r="Y248" s="246"/>
      <c r="Z248" s="246"/>
      <c r="AA248" s="246"/>
      <c r="AB248" s="246"/>
      <c r="AC248" s="246"/>
      <c r="AD248" s="246"/>
      <c r="AE248" s="246"/>
      <c r="AF248" s="246"/>
      <c r="AG248" s="246"/>
      <c r="AH248" s="246"/>
      <c r="AI248" s="246"/>
      <c r="AJ248" s="246"/>
      <c r="AK248" s="246"/>
      <c r="AL248" s="246"/>
      <c r="AM248" s="246"/>
      <c r="AN248" s="246"/>
      <c r="AO248" s="246"/>
      <c r="AP248" s="246"/>
      <c r="AQ248" s="246"/>
      <c r="AR248" s="246"/>
      <c r="AS248" s="246"/>
      <c r="AT248" s="246"/>
      <c r="AU248" s="246"/>
      <c r="AV248" s="246"/>
      <c r="AW248" s="246"/>
      <c r="AX248" s="246"/>
      <c r="AY248" s="246"/>
      <c r="AZ248" s="246"/>
      <c r="BA248" s="246"/>
      <c r="BB248" s="246"/>
      <c r="BC248" s="246"/>
      <c r="BD248" s="246"/>
      <c r="BE248" s="246"/>
      <c r="BF248" s="246"/>
      <c r="BG248" s="246"/>
      <c r="BH248" s="246"/>
      <c r="BI248" s="246"/>
      <c r="BJ248" s="246"/>
      <c r="BK248" s="246"/>
      <c r="BL248" s="246"/>
    </row>
    <row r="249" ht="15.75" customHeight="1">
      <c r="A249" s="246"/>
      <c r="B249" s="246"/>
      <c r="C249" s="246"/>
      <c r="D249" s="246"/>
      <c r="E249" s="246"/>
      <c r="F249" s="246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246"/>
      <c r="S249" s="246"/>
      <c r="T249" s="246"/>
      <c r="U249" s="246"/>
      <c r="V249" s="246"/>
      <c r="W249" s="246"/>
      <c r="X249" s="246"/>
      <c r="Y249" s="246"/>
      <c r="Z249" s="246"/>
      <c r="AA249" s="246"/>
      <c r="AB249" s="246"/>
      <c r="AC249" s="246"/>
      <c r="AD249" s="246"/>
      <c r="AE249" s="246"/>
      <c r="AF249" s="246"/>
      <c r="AG249" s="246"/>
      <c r="AH249" s="246"/>
      <c r="AI249" s="246"/>
      <c r="AJ249" s="246"/>
      <c r="AK249" s="246"/>
      <c r="AL249" s="246"/>
      <c r="AM249" s="246"/>
      <c r="AN249" s="246"/>
      <c r="AO249" s="246"/>
      <c r="AP249" s="246"/>
      <c r="AQ249" s="246"/>
      <c r="AR249" s="246"/>
      <c r="AS249" s="246"/>
      <c r="AT249" s="246"/>
      <c r="AU249" s="246"/>
      <c r="AV249" s="246"/>
      <c r="AW249" s="246"/>
      <c r="AX249" s="246"/>
      <c r="AY249" s="246"/>
      <c r="AZ249" s="246"/>
      <c r="BA249" s="246"/>
      <c r="BB249" s="246"/>
      <c r="BC249" s="246"/>
      <c r="BD249" s="246"/>
      <c r="BE249" s="246"/>
      <c r="BF249" s="246"/>
      <c r="BG249" s="246"/>
      <c r="BH249" s="246"/>
      <c r="BI249" s="246"/>
      <c r="BJ249" s="246"/>
      <c r="BK249" s="246"/>
      <c r="BL249" s="246"/>
    </row>
    <row r="250" ht="15.75" customHeight="1">
      <c r="A250" s="246"/>
      <c r="B250" s="246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246"/>
      <c r="S250" s="246"/>
      <c r="T250" s="246"/>
      <c r="U250" s="246"/>
      <c r="V250" s="246"/>
      <c r="W250" s="246"/>
      <c r="X250" s="246"/>
      <c r="Y250" s="246"/>
      <c r="Z250" s="246"/>
      <c r="AA250" s="246"/>
      <c r="AB250" s="246"/>
      <c r="AC250" s="246"/>
      <c r="AD250" s="246"/>
      <c r="AE250" s="246"/>
      <c r="AF250" s="246"/>
      <c r="AG250" s="246"/>
      <c r="AH250" s="246"/>
      <c r="AI250" s="246"/>
      <c r="AJ250" s="246"/>
      <c r="AK250" s="246"/>
      <c r="AL250" s="246"/>
      <c r="AM250" s="246"/>
      <c r="AN250" s="246"/>
      <c r="AO250" s="246"/>
      <c r="AP250" s="246"/>
      <c r="AQ250" s="246"/>
      <c r="AR250" s="246"/>
      <c r="AS250" s="246"/>
      <c r="AT250" s="246"/>
      <c r="AU250" s="246"/>
      <c r="AV250" s="246"/>
      <c r="AW250" s="246"/>
      <c r="AX250" s="246"/>
      <c r="AY250" s="246"/>
      <c r="AZ250" s="246"/>
      <c r="BA250" s="246"/>
      <c r="BB250" s="246"/>
      <c r="BC250" s="246"/>
      <c r="BD250" s="246"/>
      <c r="BE250" s="246"/>
      <c r="BF250" s="246"/>
      <c r="BG250" s="246"/>
      <c r="BH250" s="246"/>
      <c r="BI250" s="246"/>
      <c r="BJ250" s="246"/>
      <c r="BK250" s="246"/>
      <c r="BL250" s="246"/>
    </row>
    <row r="251" ht="15.75" customHeight="1">
      <c r="A251" s="246"/>
      <c r="B251" s="246"/>
      <c r="C251" s="246"/>
      <c r="D251" s="246"/>
      <c r="E251" s="246"/>
      <c r="F251" s="246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246"/>
      <c r="S251" s="246"/>
      <c r="T251" s="246"/>
      <c r="U251" s="246"/>
      <c r="V251" s="246"/>
      <c r="W251" s="246"/>
      <c r="X251" s="246"/>
      <c r="Y251" s="246"/>
      <c r="Z251" s="246"/>
      <c r="AA251" s="246"/>
      <c r="AB251" s="246"/>
      <c r="AC251" s="246"/>
      <c r="AD251" s="246"/>
      <c r="AE251" s="246"/>
      <c r="AF251" s="246"/>
      <c r="AG251" s="246"/>
      <c r="AH251" s="246"/>
      <c r="AI251" s="246"/>
      <c r="AJ251" s="246"/>
      <c r="AK251" s="246"/>
      <c r="AL251" s="246"/>
      <c r="AM251" s="246"/>
      <c r="AN251" s="246"/>
      <c r="AO251" s="246"/>
      <c r="AP251" s="246"/>
      <c r="AQ251" s="246"/>
      <c r="AR251" s="246"/>
      <c r="AS251" s="246"/>
      <c r="AT251" s="246"/>
      <c r="AU251" s="246"/>
      <c r="AV251" s="246"/>
      <c r="AW251" s="246"/>
      <c r="AX251" s="246"/>
      <c r="AY251" s="246"/>
      <c r="AZ251" s="246"/>
      <c r="BA251" s="246"/>
      <c r="BB251" s="246"/>
      <c r="BC251" s="246"/>
      <c r="BD251" s="246"/>
      <c r="BE251" s="246"/>
      <c r="BF251" s="246"/>
      <c r="BG251" s="246"/>
      <c r="BH251" s="246"/>
      <c r="BI251" s="246"/>
      <c r="BJ251" s="246"/>
      <c r="BK251" s="246"/>
      <c r="BL251" s="246"/>
    </row>
    <row r="252" ht="15.75" customHeight="1">
      <c r="A252" s="246"/>
      <c r="B252" s="246"/>
      <c r="C252" s="246"/>
      <c r="D252" s="246"/>
      <c r="E252" s="246"/>
      <c r="F252" s="246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246"/>
      <c r="S252" s="246"/>
      <c r="T252" s="246"/>
      <c r="U252" s="246"/>
      <c r="V252" s="246"/>
      <c r="W252" s="246"/>
      <c r="X252" s="246"/>
      <c r="Y252" s="246"/>
      <c r="Z252" s="246"/>
      <c r="AA252" s="246"/>
      <c r="AB252" s="246"/>
      <c r="AC252" s="246"/>
      <c r="AD252" s="246"/>
      <c r="AE252" s="246"/>
      <c r="AF252" s="246"/>
      <c r="AG252" s="246"/>
      <c r="AH252" s="246"/>
      <c r="AI252" s="246"/>
      <c r="AJ252" s="246"/>
      <c r="AK252" s="246"/>
      <c r="AL252" s="246"/>
      <c r="AM252" s="246"/>
      <c r="AN252" s="246"/>
      <c r="AO252" s="246"/>
      <c r="AP252" s="246"/>
      <c r="AQ252" s="246"/>
      <c r="AR252" s="246"/>
      <c r="AS252" s="246"/>
      <c r="AT252" s="246"/>
      <c r="AU252" s="246"/>
      <c r="AV252" s="246"/>
      <c r="AW252" s="246"/>
      <c r="AX252" s="246"/>
      <c r="AY252" s="246"/>
      <c r="AZ252" s="246"/>
      <c r="BA252" s="246"/>
      <c r="BB252" s="246"/>
      <c r="BC252" s="246"/>
      <c r="BD252" s="246"/>
      <c r="BE252" s="246"/>
      <c r="BF252" s="246"/>
      <c r="BG252" s="246"/>
      <c r="BH252" s="246"/>
      <c r="BI252" s="246"/>
      <c r="BJ252" s="246"/>
      <c r="BK252" s="246"/>
      <c r="BL252" s="246"/>
    </row>
    <row r="253" ht="15.75" customHeight="1">
      <c r="A253" s="246"/>
      <c r="B253" s="246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6"/>
      <c r="Y253" s="246"/>
      <c r="Z253" s="246"/>
      <c r="AA253" s="246"/>
      <c r="AB253" s="246"/>
      <c r="AC253" s="246"/>
      <c r="AD253" s="246"/>
      <c r="AE253" s="246"/>
      <c r="AF253" s="246"/>
      <c r="AG253" s="246"/>
      <c r="AH253" s="246"/>
      <c r="AI253" s="246"/>
      <c r="AJ253" s="246"/>
      <c r="AK253" s="246"/>
      <c r="AL253" s="246"/>
      <c r="AM253" s="246"/>
      <c r="AN253" s="246"/>
      <c r="AO253" s="246"/>
      <c r="AP253" s="246"/>
      <c r="AQ253" s="246"/>
      <c r="AR253" s="246"/>
      <c r="AS253" s="246"/>
      <c r="AT253" s="246"/>
      <c r="AU253" s="246"/>
      <c r="AV253" s="246"/>
      <c r="AW253" s="246"/>
      <c r="AX253" s="246"/>
      <c r="AY253" s="246"/>
      <c r="AZ253" s="246"/>
      <c r="BA253" s="246"/>
      <c r="BB253" s="246"/>
      <c r="BC253" s="246"/>
      <c r="BD253" s="246"/>
      <c r="BE253" s="246"/>
      <c r="BF253" s="246"/>
      <c r="BG253" s="246"/>
      <c r="BH253" s="246"/>
      <c r="BI253" s="246"/>
      <c r="BJ253" s="246"/>
      <c r="BK253" s="246"/>
      <c r="BL253" s="246"/>
    </row>
    <row r="254" ht="15.75" customHeight="1">
      <c r="A254" s="246"/>
      <c r="B254" s="246"/>
      <c r="C254" s="246"/>
      <c r="D254" s="246"/>
      <c r="E254" s="246"/>
      <c r="F254" s="246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246"/>
      <c r="S254" s="246"/>
      <c r="T254" s="246"/>
      <c r="U254" s="246"/>
      <c r="V254" s="246"/>
      <c r="W254" s="246"/>
      <c r="X254" s="246"/>
      <c r="Y254" s="246"/>
      <c r="Z254" s="246"/>
      <c r="AA254" s="246"/>
      <c r="AB254" s="246"/>
      <c r="AC254" s="246"/>
      <c r="AD254" s="246"/>
      <c r="AE254" s="246"/>
      <c r="AF254" s="246"/>
      <c r="AG254" s="246"/>
      <c r="AH254" s="246"/>
      <c r="AI254" s="246"/>
      <c r="AJ254" s="246"/>
      <c r="AK254" s="246"/>
      <c r="AL254" s="246"/>
      <c r="AM254" s="246"/>
      <c r="AN254" s="246"/>
      <c r="AO254" s="246"/>
      <c r="AP254" s="246"/>
      <c r="AQ254" s="246"/>
      <c r="AR254" s="246"/>
      <c r="AS254" s="246"/>
      <c r="AT254" s="246"/>
      <c r="AU254" s="246"/>
      <c r="AV254" s="246"/>
      <c r="AW254" s="246"/>
      <c r="AX254" s="246"/>
      <c r="AY254" s="246"/>
      <c r="AZ254" s="246"/>
      <c r="BA254" s="246"/>
      <c r="BB254" s="246"/>
      <c r="BC254" s="246"/>
      <c r="BD254" s="246"/>
      <c r="BE254" s="246"/>
      <c r="BF254" s="246"/>
      <c r="BG254" s="246"/>
      <c r="BH254" s="246"/>
      <c r="BI254" s="246"/>
      <c r="BJ254" s="246"/>
      <c r="BK254" s="246"/>
      <c r="BL254" s="246"/>
    </row>
    <row r="255" ht="15.75" customHeight="1">
      <c r="A255" s="246"/>
      <c r="B255" s="246"/>
      <c r="C255" s="246"/>
      <c r="D255" s="246"/>
      <c r="E255" s="246"/>
      <c r="F255" s="246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246"/>
      <c r="S255" s="246"/>
      <c r="T255" s="246"/>
      <c r="U255" s="246"/>
      <c r="V255" s="246"/>
      <c r="W255" s="246"/>
      <c r="X255" s="246"/>
      <c r="Y255" s="246"/>
      <c r="Z255" s="246"/>
      <c r="AA255" s="246"/>
      <c r="AB255" s="246"/>
      <c r="AC255" s="246"/>
      <c r="AD255" s="246"/>
      <c r="AE255" s="246"/>
      <c r="AF255" s="246"/>
      <c r="AG255" s="246"/>
      <c r="AH255" s="246"/>
      <c r="AI255" s="246"/>
      <c r="AJ255" s="246"/>
      <c r="AK255" s="246"/>
      <c r="AL255" s="246"/>
      <c r="AM255" s="246"/>
      <c r="AN255" s="246"/>
      <c r="AO255" s="246"/>
      <c r="AP255" s="246"/>
      <c r="AQ255" s="246"/>
      <c r="AR255" s="246"/>
      <c r="AS255" s="246"/>
      <c r="AT255" s="246"/>
      <c r="AU255" s="246"/>
      <c r="AV255" s="246"/>
      <c r="AW255" s="246"/>
      <c r="AX255" s="246"/>
      <c r="AY255" s="246"/>
      <c r="AZ255" s="246"/>
      <c r="BA255" s="246"/>
      <c r="BB255" s="246"/>
      <c r="BC255" s="246"/>
      <c r="BD255" s="246"/>
      <c r="BE255" s="246"/>
      <c r="BF255" s="246"/>
      <c r="BG255" s="246"/>
      <c r="BH255" s="246"/>
      <c r="BI255" s="246"/>
      <c r="BJ255" s="246"/>
      <c r="BK255" s="246"/>
      <c r="BL255" s="246"/>
    </row>
    <row r="256" ht="15.75" customHeight="1">
      <c r="A256" s="246"/>
      <c r="B256" s="246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246"/>
      <c r="S256" s="246"/>
      <c r="T256" s="246"/>
      <c r="U256" s="246"/>
      <c r="V256" s="246"/>
      <c r="W256" s="246"/>
      <c r="X256" s="246"/>
      <c r="Y256" s="246"/>
      <c r="Z256" s="246"/>
      <c r="AA256" s="246"/>
      <c r="AB256" s="246"/>
      <c r="AC256" s="246"/>
      <c r="AD256" s="246"/>
      <c r="AE256" s="246"/>
      <c r="AF256" s="246"/>
      <c r="AG256" s="246"/>
      <c r="AH256" s="246"/>
      <c r="AI256" s="246"/>
      <c r="AJ256" s="246"/>
      <c r="AK256" s="246"/>
      <c r="AL256" s="246"/>
      <c r="AM256" s="246"/>
      <c r="AN256" s="246"/>
      <c r="AO256" s="246"/>
      <c r="AP256" s="246"/>
      <c r="AQ256" s="246"/>
      <c r="AR256" s="246"/>
      <c r="AS256" s="246"/>
      <c r="AT256" s="246"/>
      <c r="AU256" s="246"/>
      <c r="AV256" s="246"/>
      <c r="AW256" s="246"/>
      <c r="AX256" s="246"/>
      <c r="AY256" s="246"/>
      <c r="AZ256" s="246"/>
      <c r="BA256" s="246"/>
      <c r="BB256" s="246"/>
      <c r="BC256" s="246"/>
      <c r="BD256" s="246"/>
      <c r="BE256" s="246"/>
      <c r="BF256" s="246"/>
      <c r="BG256" s="246"/>
      <c r="BH256" s="246"/>
      <c r="BI256" s="246"/>
      <c r="BJ256" s="246"/>
      <c r="BK256" s="246"/>
      <c r="BL256" s="246"/>
    </row>
    <row r="257" ht="15.75" customHeight="1">
      <c r="A257" s="246"/>
      <c r="B257" s="246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246"/>
      <c r="S257" s="246"/>
      <c r="T257" s="246"/>
      <c r="U257" s="246"/>
      <c r="V257" s="246"/>
      <c r="W257" s="246"/>
      <c r="X257" s="246"/>
      <c r="Y257" s="246"/>
      <c r="Z257" s="246"/>
      <c r="AA257" s="246"/>
      <c r="AB257" s="246"/>
      <c r="AC257" s="246"/>
      <c r="AD257" s="246"/>
      <c r="AE257" s="246"/>
      <c r="AF257" s="246"/>
      <c r="AG257" s="246"/>
      <c r="AH257" s="246"/>
      <c r="AI257" s="246"/>
      <c r="AJ257" s="246"/>
      <c r="AK257" s="246"/>
      <c r="AL257" s="246"/>
      <c r="AM257" s="246"/>
      <c r="AN257" s="246"/>
      <c r="AO257" s="246"/>
      <c r="AP257" s="246"/>
      <c r="AQ257" s="246"/>
      <c r="AR257" s="246"/>
      <c r="AS257" s="246"/>
      <c r="AT257" s="246"/>
      <c r="AU257" s="246"/>
      <c r="AV257" s="246"/>
      <c r="AW257" s="246"/>
      <c r="AX257" s="246"/>
      <c r="AY257" s="246"/>
      <c r="AZ257" s="246"/>
      <c r="BA257" s="246"/>
      <c r="BB257" s="246"/>
      <c r="BC257" s="246"/>
      <c r="BD257" s="246"/>
      <c r="BE257" s="246"/>
      <c r="BF257" s="246"/>
      <c r="BG257" s="246"/>
      <c r="BH257" s="246"/>
      <c r="BI257" s="246"/>
      <c r="BJ257" s="246"/>
      <c r="BK257" s="246"/>
      <c r="BL257" s="246"/>
    </row>
    <row r="258" ht="15.75" customHeight="1">
      <c r="A258" s="246"/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6"/>
      <c r="S258" s="246"/>
      <c r="T258" s="246"/>
      <c r="U258" s="246"/>
      <c r="V258" s="246"/>
      <c r="W258" s="246"/>
      <c r="X258" s="246"/>
      <c r="Y258" s="246"/>
      <c r="Z258" s="246"/>
      <c r="AA258" s="246"/>
      <c r="AB258" s="246"/>
      <c r="AC258" s="246"/>
      <c r="AD258" s="246"/>
      <c r="AE258" s="246"/>
      <c r="AF258" s="246"/>
      <c r="AG258" s="246"/>
      <c r="AH258" s="246"/>
      <c r="AI258" s="246"/>
      <c r="AJ258" s="246"/>
      <c r="AK258" s="246"/>
      <c r="AL258" s="246"/>
      <c r="AM258" s="246"/>
      <c r="AN258" s="246"/>
      <c r="AO258" s="246"/>
      <c r="AP258" s="246"/>
      <c r="AQ258" s="246"/>
      <c r="AR258" s="246"/>
      <c r="AS258" s="246"/>
      <c r="AT258" s="246"/>
      <c r="AU258" s="246"/>
      <c r="AV258" s="246"/>
      <c r="AW258" s="246"/>
      <c r="AX258" s="246"/>
      <c r="AY258" s="246"/>
      <c r="AZ258" s="246"/>
      <c r="BA258" s="246"/>
      <c r="BB258" s="246"/>
      <c r="BC258" s="246"/>
      <c r="BD258" s="246"/>
      <c r="BE258" s="246"/>
      <c r="BF258" s="246"/>
      <c r="BG258" s="246"/>
      <c r="BH258" s="246"/>
      <c r="BI258" s="246"/>
      <c r="BJ258" s="246"/>
      <c r="BK258" s="246"/>
      <c r="BL258" s="246"/>
    </row>
    <row r="259" ht="15.75" customHeight="1">
      <c r="A259" s="246"/>
      <c r="B259" s="246"/>
      <c r="C259" s="246"/>
      <c r="D259" s="246"/>
      <c r="E259" s="246"/>
      <c r="F259" s="246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246"/>
      <c r="S259" s="246"/>
      <c r="T259" s="246"/>
      <c r="U259" s="246"/>
      <c r="V259" s="246"/>
      <c r="W259" s="246"/>
      <c r="X259" s="246"/>
      <c r="Y259" s="246"/>
      <c r="Z259" s="246"/>
      <c r="AA259" s="246"/>
      <c r="AB259" s="246"/>
      <c r="AC259" s="246"/>
      <c r="AD259" s="246"/>
      <c r="AE259" s="246"/>
      <c r="AF259" s="246"/>
      <c r="AG259" s="246"/>
      <c r="AH259" s="246"/>
      <c r="AI259" s="246"/>
      <c r="AJ259" s="246"/>
      <c r="AK259" s="246"/>
      <c r="AL259" s="246"/>
      <c r="AM259" s="246"/>
      <c r="AN259" s="246"/>
      <c r="AO259" s="246"/>
      <c r="AP259" s="246"/>
      <c r="AQ259" s="246"/>
      <c r="AR259" s="246"/>
      <c r="AS259" s="246"/>
      <c r="AT259" s="246"/>
      <c r="AU259" s="246"/>
      <c r="AV259" s="246"/>
      <c r="AW259" s="246"/>
      <c r="AX259" s="246"/>
      <c r="AY259" s="246"/>
      <c r="AZ259" s="246"/>
      <c r="BA259" s="246"/>
      <c r="BB259" s="246"/>
      <c r="BC259" s="246"/>
      <c r="BD259" s="246"/>
      <c r="BE259" s="246"/>
      <c r="BF259" s="246"/>
      <c r="BG259" s="246"/>
      <c r="BH259" s="246"/>
      <c r="BI259" s="246"/>
      <c r="BJ259" s="246"/>
      <c r="BK259" s="246"/>
      <c r="BL259" s="246"/>
    </row>
    <row r="260" ht="15.75" customHeight="1">
      <c r="A260" s="246"/>
      <c r="B260" s="246"/>
      <c r="C260" s="246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246"/>
      <c r="S260" s="246"/>
      <c r="T260" s="246"/>
      <c r="U260" s="246"/>
      <c r="V260" s="246"/>
      <c r="W260" s="246"/>
      <c r="X260" s="246"/>
      <c r="Y260" s="246"/>
      <c r="Z260" s="246"/>
      <c r="AA260" s="246"/>
      <c r="AB260" s="246"/>
      <c r="AC260" s="246"/>
      <c r="AD260" s="246"/>
      <c r="AE260" s="246"/>
      <c r="AF260" s="246"/>
      <c r="AG260" s="246"/>
      <c r="AH260" s="246"/>
      <c r="AI260" s="246"/>
      <c r="AJ260" s="246"/>
      <c r="AK260" s="246"/>
      <c r="AL260" s="246"/>
      <c r="AM260" s="246"/>
      <c r="AN260" s="246"/>
      <c r="AO260" s="246"/>
      <c r="AP260" s="246"/>
      <c r="AQ260" s="246"/>
      <c r="AR260" s="246"/>
      <c r="AS260" s="246"/>
      <c r="AT260" s="246"/>
      <c r="AU260" s="246"/>
      <c r="AV260" s="246"/>
      <c r="AW260" s="246"/>
      <c r="AX260" s="246"/>
      <c r="AY260" s="246"/>
      <c r="AZ260" s="246"/>
      <c r="BA260" s="246"/>
      <c r="BB260" s="246"/>
      <c r="BC260" s="246"/>
      <c r="BD260" s="246"/>
      <c r="BE260" s="246"/>
      <c r="BF260" s="246"/>
      <c r="BG260" s="246"/>
      <c r="BH260" s="246"/>
      <c r="BI260" s="246"/>
      <c r="BJ260" s="246"/>
      <c r="BK260" s="246"/>
      <c r="BL260" s="246"/>
    </row>
    <row r="261" ht="15.75" customHeight="1">
      <c r="A261" s="246"/>
      <c r="B261" s="246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46"/>
      <c r="S261" s="246"/>
      <c r="T261" s="246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6"/>
      <c r="AG261" s="246"/>
      <c r="AH261" s="246"/>
      <c r="AI261" s="246"/>
      <c r="AJ261" s="246"/>
      <c r="AK261" s="246"/>
      <c r="AL261" s="246"/>
      <c r="AM261" s="246"/>
      <c r="AN261" s="246"/>
      <c r="AO261" s="246"/>
      <c r="AP261" s="246"/>
      <c r="AQ261" s="246"/>
      <c r="AR261" s="246"/>
      <c r="AS261" s="246"/>
      <c r="AT261" s="246"/>
      <c r="AU261" s="246"/>
      <c r="AV261" s="246"/>
      <c r="AW261" s="246"/>
      <c r="AX261" s="246"/>
      <c r="AY261" s="246"/>
      <c r="AZ261" s="246"/>
      <c r="BA261" s="246"/>
      <c r="BB261" s="246"/>
      <c r="BC261" s="246"/>
      <c r="BD261" s="246"/>
      <c r="BE261" s="246"/>
      <c r="BF261" s="246"/>
      <c r="BG261" s="246"/>
      <c r="BH261" s="246"/>
      <c r="BI261" s="246"/>
      <c r="BJ261" s="246"/>
      <c r="BK261" s="246"/>
      <c r="BL261" s="246"/>
    </row>
    <row r="262" ht="15.75" customHeight="1">
      <c r="A262" s="246"/>
      <c r="B262" s="246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246"/>
      <c r="S262" s="246"/>
      <c r="T262" s="246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6"/>
      <c r="AG262" s="246"/>
      <c r="AH262" s="246"/>
      <c r="AI262" s="246"/>
      <c r="AJ262" s="246"/>
      <c r="AK262" s="246"/>
      <c r="AL262" s="246"/>
      <c r="AM262" s="246"/>
      <c r="AN262" s="246"/>
      <c r="AO262" s="246"/>
      <c r="AP262" s="246"/>
      <c r="AQ262" s="246"/>
      <c r="AR262" s="246"/>
      <c r="AS262" s="246"/>
      <c r="AT262" s="246"/>
      <c r="AU262" s="246"/>
      <c r="AV262" s="246"/>
      <c r="AW262" s="246"/>
      <c r="AX262" s="246"/>
      <c r="AY262" s="246"/>
      <c r="AZ262" s="246"/>
      <c r="BA262" s="246"/>
      <c r="BB262" s="246"/>
      <c r="BC262" s="246"/>
      <c r="BD262" s="246"/>
      <c r="BE262" s="246"/>
      <c r="BF262" s="246"/>
      <c r="BG262" s="246"/>
      <c r="BH262" s="246"/>
      <c r="BI262" s="246"/>
      <c r="BJ262" s="246"/>
      <c r="BK262" s="246"/>
      <c r="BL262" s="246"/>
    </row>
    <row r="263" ht="15.75" customHeight="1">
      <c r="A263" s="246"/>
      <c r="B263" s="246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246"/>
      <c r="S263" s="246"/>
      <c r="T263" s="246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6"/>
      <c r="AG263" s="246"/>
      <c r="AH263" s="246"/>
      <c r="AI263" s="246"/>
      <c r="AJ263" s="246"/>
      <c r="AK263" s="246"/>
      <c r="AL263" s="246"/>
      <c r="AM263" s="246"/>
      <c r="AN263" s="246"/>
      <c r="AO263" s="246"/>
      <c r="AP263" s="246"/>
      <c r="AQ263" s="246"/>
      <c r="AR263" s="246"/>
      <c r="AS263" s="246"/>
      <c r="AT263" s="246"/>
      <c r="AU263" s="246"/>
      <c r="AV263" s="246"/>
      <c r="AW263" s="246"/>
      <c r="AX263" s="246"/>
      <c r="AY263" s="246"/>
      <c r="AZ263" s="246"/>
      <c r="BA263" s="246"/>
      <c r="BB263" s="246"/>
      <c r="BC263" s="246"/>
      <c r="BD263" s="246"/>
      <c r="BE263" s="246"/>
      <c r="BF263" s="246"/>
      <c r="BG263" s="246"/>
      <c r="BH263" s="246"/>
      <c r="BI263" s="246"/>
      <c r="BJ263" s="246"/>
      <c r="BK263" s="246"/>
      <c r="BL263" s="246"/>
    </row>
    <row r="264" ht="15.75" customHeight="1">
      <c r="A264" s="246"/>
      <c r="B264" s="246"/>
      <c r="C264" s="246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246"/>
      <c r="S264" s="246"/>
      <c r="T264" s="246"/>
      <c r="U264" s="246"/>
      <c r="V264" s="246"/>
      <c r="W264" s="246"/>
      <c r="X264" s="246"/>
      <c r="Y264" s="246"/>
      <c r="Z264" s="246"/>
      <c r="AA264" s="246"/>
      <c r="AB264" s="246"/>
      <c r="AC264" s="246"/>
      <c r="AD264" s="246"/>
      <c r="AE264" s="246"/>
      <c r="AF264" s="246"/>
      <c r="AG264" s="246"/>
      <c r="AH264" s="246"/>
      <c r="AI264" s="246"/>
      <c r="AJ264" s="246"/>
      <c r="AK264" s="246"/>
      <c r="AL264" s="246"/>
      <c r="AM264" s="246"/>
      <c r="AN264" s="246"/>
      <c r="AO264" s="246"/>
      <c r="AP264" s="246"/>
      <c r="AQ264" s="246"/>
      <c r="AR264" s="246"/>
      <c r="AS264" s="246"/>
      <c r="AT264" s="246"/>
      <c r="AU264" s="246"/>
      <c r="AV264" s="246"/>
      <c r="AW264" s="246"/>
      <c r="AX264" s="246"/>
      <c r="AY264" s="246"/>
      <c r="AZ264" s="246"/>
      <c r="BA264" s="246"/>
      <c r="BB264" s="246"/>
      <c r="BC264" s="246"/>
      <c r="BD264" s="246"/>
      <c r="BE264" s="246"/>
      <c r="BF264" s="246"/>
      <c r="BG264" s="246"/>
      <c r="BH264" s="246"/>
      <c r="BI264" s="246"/>
      <c r="BJ264" s="246"/>
      <c r="BK264" s="246"/>
      <c r="BL264" s="246"/>
    </row>
    <row r="265" ht="15.75" customHeight="1">
      <c r="A265" s="246"/>
      <c r="B265" s="246"/>
      <c r="C265" s="246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246"/>
      <c r="S265" s="246"/>
      <c r="T265" s="246"/>
      <c r="U265" s="246"/>
      <c r="V265" s="246"/>
      <c r="W265" s="246"/>
      <c r="X265" s="246"/>
      <c r="Y265" s="246"/>
      <c r="Z265" s="246"/>
      <c r="AA265" s="246"/>
      <c r="AB265" s="246"/>
      <c r="AC265" s="246"/>
      <c r="AD265" s="246"/>
      <c r="AE265" s="246"/>
      <c r="AF265" s="246"/>
      <c r="AG265" s="246"/>
      <c r="AH265" s="246"/>
      <c r="AI265" s="246"/>
      <c r="AJ265" s="246"/>
      <c r="AK265" s="246"/>
      <c r="AL265" s="246"/>
      <c r="AM265" s="246"/>
      <c r="AN265" s="246"/>
      <c r="AO265" s="246"/>
      <c r="AP265" s="246"/>
      <c r="AQ265" s="246"/>
      <c r="AR265" s="246"/>
      <c r="AS265" s="246"/>
      <c r="AT265" s="246"/>
      <c r="AU265" s="246"/>
      <c r="AV265" s="246"/>
      <c r="AW265" s="246"/>
      <c r="AX265" s="246"/>
      <c r="AY265" s="246"/>
      <c r="AZ265" s="246"/>
      <c r="BA265" s="246"/>
      <c r="BB265" s="246"/>
      <c r="BC265" s="246"/>
      <c r="BD265" s="246"/>
      <c r="BE265" s="246"/>
      <c r="BF265" s="246"/>
      <c r="BG265" s="246"/>
      <c r="BH265" s="246"/>
      <c r="BI265" s="246"/>
      <c r="BJ265" s="246"/>
      <c r="BK265" s="246"/>
      <c r="BL265" s="246"/>
    </row>
    <row r="266" ht="15.75" customHeight="1">
      <c r="A266" s="246"/>
      <c r="B266" s="246"/>
      <c r="C266" s="246"/>
      <c r="D266" s="246"/>
      <c r="E266" s="246"/>
      <c r="F266" s="246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246"/>
      <c r="S266" s="246"/>
      <c r="T266" s="246"/>
      <c r="U266" s="246"/>
      <c r="V266" s="246"/>
      <c r="W266" s="246"/>
      <c r="X266" s="246"/>
      <c r="Y266" s="246"/>
      <c r="Z266" s="246"/>
      <c r="AA266" s="246"/>
      <c r="AB266" s="246"/>
      <c r="AC266" s="246"/>
      <c r="AD266" s="246"/>
      <c r="AE266" s="246"/>
      <c r="AF266" s="246"/>
      <c r="AG266" s="246"/>
      <c r="AH266" s="246"/>
      <c r="AI266" s="246"/>
      <c r="AJ266" s="246"/>
      <c r="AK266" s="246"/>
      <c r="AL266" s="246"/>
      <c r="AM266" s="246"/>
      <c r="AN266" s="246"/>
      <c r="AO266" s="246"/>
      <c r="AP266" s="246"/>
      <c r="AQ266" s="246"/>
      <c r="AR266" s="246"/>
      <c r="AS266" s="246"/>
      <c r="AT266" s="246"/>
      <c r="AU266" s="246"/>
      <c r="AV266" s="246"/>
      <c r="AW266" s="246"/>
      <c r="AX266" s="246"/>
      <c r="AY266" s="246"/>
      <c r="AZ266" s="246"/>
      <c r="BA266" s="246"/>
      <c r="BB266" s="246"/>
      <c r="BC266" s="246"/>
      <c r="BD266" s="246"/>
      <c r="BE266" s="246"/>
      <c r="BF266" s="246"/>
      <c r="BG266" s="246"/>
      <c r="BH266" s="246"/>
      <c r="BI266" s="246"/>
      <c r="BJ266" s="246"/>
      <c r="BK266" s="246"/>
      <c r="BL266" s="246"/>
    </row>
    <row r="267" ht="15.75" customHeight="1">
      <c r="A267" s="246"/>
      <c r="B267" s="246"/>
      <c r="C267" s="246"/>
      <c r="D267" s="246"/>
      <c r="E267" s="246"/>
      <c r="F267" s="246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246"/>
      <c r="S267" s="246"/>
      <c r="T267" s="246"/>
      <c r="U267" s="246"/>
      <c r="V267" s="246"/>
      <c r="W267" s="246"/>
      <c r="X267" s="246"/>
      <c r="Y267" s="246"/>
      <c r="Z267" s="246"/>
      <c r="AA267" s="246"/>
      <c r="AB267" s="246"/>
      <c r="AC267" s="246"/>
      <c r="AD267" s="246"/>
      <c r="AE267" s="246"/>
      <c r="AF267" s="246"/>
      <c r="AG267" s="246"/>
      <c r="AH267" s="246"/>
      <c r="AI267" s="246"/>
      <c r="AJ267" s="246"/>
      <c r="AK267" s="246"/>
      <c r="AL267" s="246"/>
      <c r="AM267" s="246"/>
      <c r="AN267" s="246"/>
      <c r="AO267" s="246"/>
      <c r="AP267" s="246"/>
      <c r="AQ267" s="246"/>
      <c r="AR267" s="246"/>
      <c r="AS267" s="246"/>
      <c r="AT267" s="246"/>
      <c r="AU267" s="246"/>
      <c r="AV267" s="246"/>
      <c r="AW267" s="246"/>
      <c r="AX267" s="246"/>
      <c r="AY267" s="246"/>
      <c r="AZ267" s="246"/>
      <c r="BA267" s="246"/>
      <c r="BB267" s="246"/>
      <c r="BC267" s="246"/>
      <c r="BD267" s="246"/>
      <c r="BE267" s="246"/>
      <c r="BF267" s="246"/>
      <c r="BG267" s="246"/>
      <c r="BH267" s="246"/>
      <c r="BI267" s="246"/>
      <c r="BJ267" s="246"/>
      <c r="BK267" s="246"/>
      <c r="BL267" s="246"/>
    </row>
    <row r="268" ht="15.75" customHeight="1">
      <c r="A268" s="246"/>
      <c r="B268" s="246"/>
      <c r="C268" s="246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246"/>
      <c r="S268" s="246"/>
      <c r="T268" s="246"/>
      <c r="U268" s="246"/>
      <c r="V268" s="246"/>
      <c r="W268" s="246"/>
      <c r="X268" s="246"/>
      <c r="Y268" s="246"/>
      <c r="Z268" s="246"/>
      <c r="AA268" s="246"/>
      <c r="AB268" s="246"/>
      <c r="AC268" s="246"/>
      <c r="AD268" s="246"/>
      <c r="AE268" s="246"/>
      <c r="AF268" s="246"/>
      <c r="AG268" s="246"/>
      <c r="AH268" s="246"/>
      <c r="AI268" s="246"/>
      <c r="AJ268" s="246"/>
      <c r="AK268" s="246"/>
      <c r="AL268" s="246"/>
      <c r="AM268" s="246"/>
      <c r="AN268" s="246"/>
      <c r="AO268" s="246"/>
      <c r="AP268" s="246"/>
      <c r="AQ268" s="246"/>
      <c r="AR268" s="246"/>
      <c r="AS268" s="246"/>
      <c r="AT268" s="246"/>
      <c r="AU268" s="246"/>
      <c r="AV268" s="246"/>
      <c r="AW268" s="246"/>
      <c r="AX268" s="246"/>
      <c r="AY268" s="246"/>
      <c r="AZ268" s="246"/>
      <c r="BA268" s="246"/>
      <c r="BB268" s="246"/>
      <c r="BC268" s="246"/>
      <c r="BD268" s="246"/>
      <c r="BE268" s="246"/>
      <c r="BF268" s="246"/>
      <c r="BG268" s="246"/>
      <c r="BH268" s="246"/>
      <c r="BI268" s="246"/>
      <c r="BJ268" s="246"/>
      <c r="BK268" s="246"/>
      <c r="BL268" s="246"/>
    </row>
    <row r="269" ht="15.75" customHeight="1">
      <c r="A269" s="246"/>
      <c r="B269" s="246"/>
      <c r="C269" s="246"/>
      <c r="D269" s="246"/>
      <c r="E269" s="246"/>
      <c r="F269" s="246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246"/>
      <c r="S269" s="246"/>
      <c r="T269" s="246"/>
      <c r="U269" s="246"/>
      <c r="V269" s="246"/>
      <c r="W269" s="246"/>
      <c r="X269" s="246"/>
      <c r="Y269" s="246"/>
      <c r="Z269" s="246"/>
      <c r="AA269" s="246"/>
      <c r="AB269" s="246"/>
      <c r="AC269" s="246"/>
      <c r="AD269" s="246"/>
      <c r="AE269" s="246"/>
      <c r="AF269" s="246"/>
      <c r="AG269" s="246"/>
      <c r="AH269" s="246"/>
      <c r="AI269" s="246"/>
      <c r="AJ269" s="246"/>
      <c r="AK269" s="246"/>
      <c r="AL269" s="246"/>
      <c r="AM269" s="246"/>
      <c r="AN269" s="246"/>
      <c r="AO269" s="246"/>
      <c r="AP269" s="246"/>
      <c r="AQ269" s="246"/>
      <c r="AR269" s="246"/>
      <c r="AS269" s="246"/>
      <c r="AT269" s="246"/>
      <c r="AU269" s="246"/>
      <c r="AV269" s="246"/>
      <c r="AW269" s="246"/>
      <c r="AX269" s="246"/>
      <c r="AY269" s="246"/>
      <c r="AZ269" s="246"/>
      <c r="BA269" s="246"/>
      <c r="BB269" s="246"/>
      <c r="BC269" s="246"/>
      <c r="BD269" s="246"/>
      <c r="BE269" s="246"/>
      <c r="BF269" s="246"/>
      <c r="BG269" s="246"/>
      <c r="BH269" s="246"/>
      <c r="BI269" s="246"/>
      <c r="BJ269" s="246"/>
      <c r="BK269" s="246"/>
      <c r="BL269" s="24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63"/>
    <col customWidth="1" min="2" max="7" width="5.88"/>
    <col customWidth="1" min="8" max="8" width="5.63"/>
    <col customWidth="1" min="9" max="9" width="6.25"/>
    <col customWidth="1" min="10" max="30" width="6.75"/>
    <col customWidth="1" min="31" max="32" width="5.25"/>
    <col customWidth="1" min="33" max="36" width="6.63"/>
    <col customWidth="1" min="37" max="37" width="7.63"/>
    <col customWidth="1" min="38" max="38" width="7.5"/>
    <col customWidth="1" min="39" max="39" width="8.75"/>
    <col customWidth="1" min="40" max="40" width="8.38"/>
    <col customWidth="1" min="41" max="64" width="9.38"/>
  </cols>
  <sheetData>
    <row r="1" ht="15.75" customHeight="1">
      <c r="A1" s="43" t="s">
        <v>0</v>
      </c>
      <c r="B1" s="203"/>
      <c r="C1" s="203"/>
      <c r="D1" s="43" t="s">
        <v>7</v>
      </c>
      <c r="E1" s="43" t="s">
        <v>8</v>
      </c>
      <c r="F1" s="43" t="s">
        <v>9</v>
      </c>
      <c r="G1" s="43" t="s">
        <v>10</v>
      </c>
      <c r="H1" s="43" t="s">
        <v>11</v>
      </c>
      <c r="I1" s="43" t="s">
        <v>12</v>
      </c>
      <c r="J1" s="43" t="s">
        <v>13</v>
      </c>
      <c r="K1" s="43" t="s">
        <v>63</v>
      </c>
      <c r="L1" s="43" t="s">
        <v>64</v>
      </c>
      <c r="M1" s="43" t="s">
        <v>65</v>
      </c>
      <c r="N1" s="43" t="s">
        <v>66</v>
      </c>
      <c r="O1" s="43" t="s">
        <v>67</v>
      </c>
      <c r="P1" s="43" t="s">
        <v>68</v>
      </c>
      <c r="Q1" s="43" t="s">
        <v>69</v>
      </c>
      <c r="R1" s="43" t="s">
        <v>70</v>
      </c>
      <c r="S1" s="43" t="str">
        <f t="array" ref="S1:AD1">transpose(A22:A33)</f>
        <v>Q1 26</v>
      </c>
      <c r="T1" s="43" t="s">
        <v>72</v>
      </c>
      <c r="U1" s="43" t="s">
        <v>73</v>
      </c>
      <c r="V1" s="43" t="s">
        <v>74</v>
      </c>
      <c r="W1" s="43" t="s">
        <v>75</v>
      </c>
      <c r="X1" s="43" t="s">
        <v>76</v>
      </c>
      <c r="Y1" s="43" t="s">
        <v>77</v>
      </c>
      <c r="Z1" s="43" t="s">
        <v>78</v>
      </c>
      <c r="AA1" s="43" t="s">
        <v>79</v>
      </c>
      <c r="AB1" s="43" t="s">
        <v>80</v>
      </c>
      <c r="AC1" s="43" t="s">
        <v>81</v>
      </c>
      <c r="AD1" s="43" t="s">
        <v>82</v>
      </c>
      <c r="AE1" s="204"/>
      <c r="AF1" s="43" t="s">
        <v>14</v>
      </c>
      <c r="AG1" s="43" t="s">
        <v>2</v>
      </c>
      <c r="AH1" s="43" t="s">
        <v>3</v>
      </c>
      <c r="AI1" s="43" t="s">
        <v>4</v>
      </c>
      <c r="AJ1" s="43" t="s">
        <v>5</v>
      </c>
      <c r="AK1" s="43" t="s">
        <v>6</v>
      </c>
      <c r="AL1" s="43" t="s">
        <v>7</v>
      </c>
      <c r="AM1" s="43" t="s">
        <v>8</v>
      </c>
      <c r="AN1" s="43" t="s">
        <v>9</v>
      </c>
      <c r="AO1" s="43" t="s">
        <v>10</v>
      </c>
      <c r="AP1" s="43" t="s">
        <v>11</v>
      </c>
      <c r="AQ1" s="43" t="s">
        <v>12</v>
      </c>
      <c r="AR1" s="43" t="s">
        <v>13</v>
      </c>
      <c r="AS1" s="43" t="s">
        <v>63</v>
      </c>
      <c r="AT1" s="43" t="s">
        <v>64</v>
      </c>
      <c r="AU1" s="43" t="s">
        <v>65</v>
      </c>
      <c r="AV1" s="43" t="s">
        <v>66</v>
      </c>
      <c r="AW1" s="43" t="s">
        <v>67</v>
      </c>
      <c r="AX1" s="43" t="s">
        <v>68</v>
      </c>
      <c r="AY1" s="43" t="s">
        <v>69</v>
      </c>
      <c r="AZ1" s="43" t="s">
        <v>70</v>
      </c>
      <c r="BA1" s="43" t="str">
        <f t="array" ref="BA1:BL1">transpose(A22:A33)</f>
        <v>Q1 26</v>
      </c>
      <c r="BB1" s="43" t="s">
        <v>72</v>
      </c>
      <c r="BC1" s="43" t="s">
        <v>73</v>
      </c>
      <c r="BD1" s="43" t="s">
        <v>74</v>
      </c>
      <c r="BE1" s="43" t="s">
        <v>75</v>
      </c>
      <c r="BF1" s="43" t="s">
        <v>76</v>
      </c>
      <c r="BG1" s="43" t="s">
        <v>77</v>
      </c>
      <c r="BH1" s="43" t="s">
        <v>78</v>
      </c>
      <c r="BI1" s="43" t="s">
        <v>79</v>
      </c>
      <c r="BJ1" s="43" t="s">
        <v>80</v>
      </c>
      <c r="BK1" s="43" t="s">
        <v>81</v>
      </c>
      <c r="BL1" s="43" t="s">
        <v>82</v>
      </c>
    </row>
    <row r="2" ht="15.75" customHeight="1">
      <c r="A2" s="43" t="s">
        <v>2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4"/>
      <c r="AF2" s="205"/>
      <c r="AG2" s="206">
        <v>0.14</v>
      </c>
      <c r="AH2" s="206">
        <v>0.33</v>
      </c>
      <c r="AI2" s="206">
        <v>0.25</v>
      </c>
      <c r="AJ2" s="206">
        <v>0.15</v>
      </c>
      <c r="AK2" s="206">
        <v>0.07</v>
      </c>
      <c r="AL2" s="206">
        <v>0.04</v>
      </c>
      <c r="AM2" s="206">
        <v>0.02</v>
      </c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</row>
    <row r="3" ht="15.75" customHeight="1">
      <c r="A3" s="43" t="s">
        <v>3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4"/>
      <c r="AF3" s="205"/>
      <c r="AG3" s="205"/>
      <c r="AH3" s="206">
        <v>0.14</v>
      </c>
      <c r="AI3" s="206">
        <v>0.33</v>
      </c>
      <c r="AJ3" s="206">
        <v>0.25</v>
      </c>
      <c r="AK3" s="206">
        <v>0.15</v>
      </c>
      <c r="AL3" s="206">
        <v>0.07</v>
      </c>
      <c r="AM3" s="206">
        <v>0.04</v>
      </c>
      <c r="AN3" s="206">
        <v>0.02</v>
      </c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</row>
    <row r="4" ht="15.75" customHeight="1">
      <c r="A4" s="43" t="s">
        <v>4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4"/>
      <c r="AF4" s="205"/>
      <c r="AG4" s="205"/>
      <c r="AH4" s="205"/>
      <c r="AI4" s="206">
        <v>0.14</v>
      </c>
      <c r="AJ4" s="206">
        <v>0.33</v>
      </c>
      <c r="AK4" s="206">
        <v>0.25</v>
      </c>
      <c r="AL4" s="206">
        <v>0.15</v>
      </c>
      <c r="AM4" s="206">
        <v>0.07</v>
      </c>
      <c r="AN4" s="206">
        <v>0.04</v>
      </c>
      <c r="AO4" s="206">
        <v>0.02</v>
      </c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</row>
    <row r="5" ht="15.75" customHeight="1">
      <c r="A5" s="43" t="s">
        <v>5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4"/>
      <c r="AF5" s="205"/>
      <c r="AG5" s="205"/>
      <c r="AH5" s="205"/>
      <c r="AI5" s="205"/>
      <c r="AJ5" s="206">
        <v>0.14</v>
      </c>
      <c r="AK5" s="206">
        <v>0.33</v>
      </c>
      <c r="AL5" s="206">
        <v>0.25</v>
      </c>
      <c r="AM5" s="206">
        <v>0.15</v>
      </c>
      <c r="AN5" s="206">
        <v>0.07</v>
      </c>
      <c r="AO5" s="206">
        <v>0.04</v>
      </c>
      <c r="AP5" s="206">
        <v>0.02</v>
      </c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</row>
    <row r="6" ht="15.75" customHeight="1">
      <c r="A6" s="43" t="s">
        <v>6</v>
      </c>
      <c r="B6" s="205"/>
      <c r="C6" s="205"/>
      <c r="D6" s="206">
        <v>0.1</v>
      </c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8"/>
      <c r="AF6" s="207"/>
      <c r="AG6" s="207"/>
      <c r="AH6" s="207"/>
      <c r="AI6" s="207"/>
      <c r="AJ6" s="207"/>
      <c r="AK6" s="206">
        <v>0.14</v>
      </c>
      <c r="AL6" s="206">
        <v>0.33</v>
      </c>
      <c r="AM6" s="206">
        <v>0.25</v>
      </c>
      <c r="AN6" s="206">
        <v>0.15</v>
      </c>
      <c r="AO6" s="206">
        <v>0.07</v>
      </c>
      <c r="AP6" s="206">
        <v>0.04</v>
      </c>
      <c r="AQ6" s="206">
        <v>0.02</v>
      </c>
      <c r="AR6" s="207"/>
      <c r="AS6" s="207"/>
      <c r="AT6" s="207"/>
      <c r="AU6" s="207"/>
      <c r="AV6" s="207"/>
      <c r="AW6" s="207"/>
      <c r="AX6" s="207"/>
      <c r="AY6" s="207"/>
      <c r="AZ6" s="207"/>
      <c r="BA6" s="207"/>
      <c r="BB6" s="207"/>
      <c r="BC6" s="207"/>
      <c r="BD6" s="207"/>
      <c r="BE6" s="207"/>
      <c r="BF6" s="207"/>
      <c r="BG6" s="207"/>
      <c r="BH6" s="207"/>
      <c r="BI6" s="207"/>
      <c r="BJ6" s="207"/>
      <c r="BK6" s="207"/>
      <c r="BL6" s="207"/>
    </row>
    <row r="7" ht="15.75" customHeight="1">
      <c r="A7" s="43" t="s">
        <v>7</v>
      </c>
      <c r="B7" s="205"/>
      <c r="C7" s="205"/>
      <c r="D7" s="206">
        <f>227/255</f>
        <v>0.8901960784</v>
      </c>
      <c r="E7" s="206">
        <v>0.1</v>
      </c>
      <c r="F7" s="206">
        <v>0.01</v>
      </c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8"/>
      <c r="AF7" s="207"/>
      <c r="AG7" s="207"/>
      <c r="AH7" s="207"/>
      <c r="AI7" s="207"/>
      <c r="AJ7" s="207"/>
      <c r="AK7" s="207"/>
      <c r="AL7" s="206">
        <v>0.14</v>
      </c>
      <c r="AM7" s="206">
        <v>0.33</v>
      </c>
      <c r="AN7" s="206">
        <v>0.25</v>
      </c>
      <c r="AO7" s="206">
        <v>0.15</v>
      </c>
      <c r="AP7" s="206">
        <v>0.07</v>
      </c>
      <c r="AQ7" s="206">
        <v>0.04</v>
      </c>
      <c r="AR7" s="206">
        <v>0.02</v>
      </c>
      <c r="AS7" s="207"/>
      <c r="AT7" s="207"/>
      <c r="AU7" s="207"/>
      <c r="AV7" s="207"/>
      <c r="AW7" s="207"/>
      <c r="AX7" s="207"/>
      <c r="AY7" s="207"/>
      <c r="AZ7" s="207"/>
      <c r="BA7" s="207"/>
      <c r="BB7" s="207"/>
      <c r="BC7" s="207"/>
      <c r="BD7" s="207"/>
      <c r="BE7" s="207"/>
      <c r="BF7" s="207"/>
      <c r="BG7" s="207"/>
      <c r="BH7" s="207"/>
      <c r="BI7" s="207"/>
      <c r="BJ7" s="207"/>
      <c r="BK7" s="207"/>
      <c r="BL7" s="207"/>
    </row>
    <row r="8" ht="15.75" customHeight="1">
      <c r="A8" s="43" t="s">
        <v>8</v>
      </c>
      <c r="B8" s="205"/>
      <c r="C8" s="205"/>
      <c r="D8" s="207"/>
      <c r="E8" s="206">
        <f>227/255</f>
        <v>0.8901960784</v>
      </c>
      <c r="F8" s="206">
        <v>0.1</v>
      </c>
      <c r="G8" s="206">
        <v>0.01</v>
      </c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8"/>
      <c r="AF8" s="207"/>
      <c r="AG8" s="207"/>
      <c r="AH8" s="207"/>
      <c r="AI8" s="207"/>
      <c r="AJ8" s="207"/>
      <c r="AK8" s="207"/>
      <c r="AL8" s="207"/>
      <c r="AM8" s="206">
        <v>0.14</v>
      </c>
      <c r="AN8" s="206">
        <v>0.33</v>
      </c>
      <c r="AO8" s="206">
        <v>0.25</v>
      </c>
      <c r="AP8" s="206">
        <v>0.15</v>
      </c>
      <c r="AQ8" s="206">
        <v>0.07</v>
      </c>
      <c r="AR8" s="206">
        <v>0.04</v>
      </c>
      <c r="AS8" s="206">
        <v>0.02</v>
      </c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</row>
    <row r="9" ht="15.75" customHeight="1">
      <c r="A9" s="43" t="s">
        <v>9</v>
      </c>
      <c r="B9" s="205"/>
      <c r="C9" s="205"/>
      <c r="D9" s="207"/>
      <c r="E9" s="207"/>
      <c r="F9" s="206">
        <f>227/255</f>
        <v>0.8901960784</v>
      </c>
      <c r="G9" s="206">
        <v>0.1</v>
      </c>
      <c r="H9" s="206">
        <v>0.01</v>
      </c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8"/>
      <c r="AF9" s="207"/>
      <c r="AG9" s="207"/>
      <c r="AH9" s="207"/>
      <c r="AI9" s="207"/>
      <c r="AJ9" s="207"/>
      <c r="AK9" s="207"/>
      <c r="AL9" s="207"/>
      <c r="AM9" s="207"/>
      <c r="AN9" s="206">
        <v>0.14</v>
      </c>
      <c r="AO9" s="206">
        <v>0.33</v>
      </c>
      <c r="AP9" s="206">
        <v>0.25</v>
      </c>
      <c r="AQ9" s="206">
        <v>0.15</v>
      </c>
      <c r="AR9" s="206">
        <v>0.07</v>
      </c>
      <c r="AS9" s="206">
        <v>0.04</v>
      </c>
      <c r="AT9" s="206">
        <v>0.02</v>
      </c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</row>
    <row r="10" ht="15.75" customHeight="1">
      <c r="A10" s="43" t="s">
        <v>10</v>
      </c>
      <c r="B10" s="205"/>
      <c r="C10" s="205"/>
      <c r="D10" s="207"/>
      <c r="E10" s="207"/>
      <c r="F10" s="207"/>
      <c r="G10" s="206">
        <f>227/255</f>
        <v>0.8901960784</v>
      </c>
      <c r="H10" s="206">
        <v>0.1</v>
      </c>
      <c r="I10" s="206">
        <v>0.01</v>
      </c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8"/>
      <c r="AF10" s="207"/>
      <c r="AG10" s="207"/>
      <c r="AH10" s="207"/>
      <c r="AI10" s="207"/>
      <c r="AJ10" s="207"/>
      <c r="AK10" s="207"/>
      <c r="AL10" s="207"/>
      <c r="AM10" s="207"/>
      <c r="AN10" s="207"/>
      <c r="AO10" s="206">
        <v>0.14</v>
      </c>
      <c r="AP10" s="206">
        <v>0.33</v>
      </c>
      <c r="AQ10" s="206">
        <v>0.25</v>
      </c>
      <c r="AR10" s="206">
        <v>0.15</v>
      </c>
      <c r="AS10" s="206">
        <v>0.07</v>
      </c>
      <c r="AT10" s="206">
        <v>0.04</v>
      </c>
      <c r="AU10" s="206">
        <v>0.02</v>
      </c>
      <c r="AV10" s="207"/>
      <c r="AW10" s="207"/>
      <c r="AX10" s="207"/>
      <c r="AY10" s="207"/>
      <c r="AZ10" s="207"/>
      <c r="BA10" s="207"/>
      <c r="BB10" s="207"/>
      <c r="BC10" s="207"/>
      <c r="BD10" s="207"/>
      <c r="BE10" s="207"/>
      <c r="BF10" s="207"/>
      <c r="BG10" s="207"/>
      <c r="BH10" s="207"/>
      <c r="BI10" s="207"/>
      <c r="BJ10" s="207"/>
      <c r="BK10" s="207"/>
      <c r="BL10" s="207"/>
    </row>
    <row r="11" ht="15.75" customHeight="1">
      <c r="A11" s="43" t="s">
        <v>11</v>
      </c>
      <c r="B11" s="205"/>
      <c r="C11" s="205"/>
      <c r="D11" s="207"/>
      <c r="E11" s="207"/>
      <c r="F11" s="207"/>
      <c r="G11" s="207"/>
      <c r="H11" s="206">
        <f>227/255</f>
        <v>0.8901960784</v>
      </c>
      <c r="I11" s="206">
        <v>0.1</v>
      </c>
      <c r="J11" s="206">
        <v>0.01</v>
      </c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8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6">
        <v>0.14</v>
      </c>
      <c r="AQ11" s="206">
        <v>0.33</v>
      </c>
      <c r="AR11" s="206">
        <v>0.25</v>
      </c>
      <c r="AS11" s="206">
        <v>0.15</v>
      </c>
      <c r="AT11" s="206">
        <v>0.07</v>
      </c>
      <c r="AU11" s="206">
        <v>0.04</v>
      </c>
      <c r="AV11" s="206">
        <v>0.02</v>
      </c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</row>
    <row r="12" ht="15.75" customHeight="1">
      <c r="A12" s="43" t="s">
        <v>12</v>
      </c>
      <c r="B12" s="205"/>
      <c r="C12" s="205"/>
      <c r="D12" s="207"/>
      <c r="E12" s="207"/>
      <c r="F12" s="207"/>
      <c r="G12" s="207"/>
      <c r="H12" s="207"/>
      <c r="I12" s="206">
        <f>227/255</f>
        <v>0.8901960784</v>
      </c>
      <c r="J12" s="206">
        <v>0.1</v>
      </c>
      <c r="K12" s="206">
        <v>0.01</v>
      </c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8"/>
      <c r="AF12" s="207"/>
      <c r="AG12" s="207"/>
      <c r="AH12" s="207"/>
      <c r="AI12" s="207"/>
      <c r="AJ12" s="207"/>
      <c r="AK12" s="207"/>
      <c r="AL12" s="207"/>
      <c r="AM12" s="207"/>
      <c r="AN12" s="207"/>
      <c r="AO12" s="207"/>
      <c r="AP12" s="207"/>
      <c r="AQ12" s="206">
        <v>0.14</v>
      </c>
      <c r="AR12" s="206">
        <v>0.33</v>
      </c>
      <c r="AS12" s="206">
        <v>0.25</v>
      </c>
      <c r="AT12" s="206">
        <v>0.15</v>
      </c>
      <c r="AU12" s="206">
        <v>0.07</v>
      </c>
      <c r="AV12" s="206">
        <v>0.04</v>
      </c>
      <c r="AW12" s="206">
        <v>0.02</v>
      </c>
      <c r="AX12" s="207"/>
      <c r="AY12" s="207"/>
      <c r="AZ12" s="207"/>
      <c r="BA12" s="207"/>
      <c r="BB12" s="207"/>
      <c r="BC12" s="207"/>
      <c r="BD12" s="207"/>
      <c r="BE12" s="207"/>
      <c r="BF12" s="207"/>
      <c r="BG12" s="207"/>
      <c r="BH12" s="207"/>
      <c r="BI12" s="207"/>
      <c r="BJ12" s="207"/>
      <c r="BK12" s="207"/>
      <c r="BL12" s="207"/>
    </row>
    <row r="13" ht="15.75" customHeight="1">
      <c r="A13" s="43" t="s">
        <v>13</v>
      </c>
      <c r="B13" s="205"/>
      <c r="C13" s="205"/>
      <c r="D13" s="207"/>
      <c r="E13" s="207"/>
      <c r="F13" s="207"/>
      <c r="G13" s="207"/>
      <c r="H13" s="207"/>
      <c r="I13" s="207"/>
      <c r="J13" s="206">
        <f>227/255</f>
        <v>0.8901960784</v>
      </c>
      <c r="K13" s="206">
        <v>0.1</v>
      </c>
      <c r="L13" s="206">
        <v>0.01</v>
      </c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8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6">
        <v>0.14</v>
      </c>
      <c r="AS13" s="206">
        <v>0.33</v>
      </c>
      <c r="AT13" s="206">
        <v>0.25</v>
      </c>
      <c r="AU13" s="206">
        <v>0.15</v>
      </c>
      <c r="AV13" s="206">
        <v>0.07</v>
      </c>
      <c r="AW13" s="206">
        <v>0.04</v>
      </c>
      <c r="AX13" s="206">
        <v>0.02</v>
      </c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</row>
    <row r="14" ht="15.75" customHeight="1">
      <c r="A14" s="43" t="s">
        <v>63</v>
      </c>
      <c r="B14" s="205"/>
      <c r="C14" s="205"/>
      <c r="D14" s="207"/>
      <c r="E14" s="207"/>
      <c r="F14" s="207"/>
      <c r="G14" s="207"/>
      <c r="H14" s="207"/>
      <c r="I14" s="207"/>
      <c r="J14" s="207"/>
      <c r="K14" s="206">
        <f>227/255</f>
        <v>0.8901960784</v>
      </c>
      <c r="L14" s="206">
        <v>0.1</v>
      </c>
      <c r="M14" s="206">
        <v>0.01</v>
      </c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8"/>
      <c r="AF14" s="207"/>
      <c r="AG14" s="207"/>
      <c r="AH14" s="207"/>
      <c r="AI14" s="207"/>
      <c r="AJ14" s="207"/>
      <c r="AK14" s="207"/>
      <c r="AL14" s="207"/>
      <c r="AM14" s="207"/>
      <c r="AN14" s="207"/>
      <c r="AO14" s="207"/>
      <c r="AP14" s="207"/>
      <c r="AQ14" s="207"/>
      <c r="AR14" s="207"/>
      <c r="AS14" s="206">
        <v>0.14</v>
      </c>
      <c r="AT14" s="206">
        <v>0.33</v>
      </c>
      <c r="AU14" s="206">
        <v>0.25</v>
      </c>
      <c r="AV14" s="206">
        <v>0.15</v>
      </c>
      <c r="AW14" s="206">
        <v>0.07</v>
      </c>
      <c r="AX14" s="206">
        <v>0.04</v>
      </c>
      <c r="AY14" s="206">
        <v>0.02</v>
      </c>
      <c r="AZ14" s="207"/>
      <c r="BA14" s="207"/>
      <c r="BB14" s="207"/>
      <c r="BC14" s="207"/>
      <c r="BD14" s="207"/>
      <c r="BE14" s="207"/>
      <c r="BF14" s="207"/>
      <c r="BG14" s="207"/>
      <c r="BH14" s="207"/>
      <c r="BI14" s="207"/>
      <c r="BJ14" s="207"/>
      <c r="BK14" s="207"/>
      <c r="BL14" s="207"/>
    </row>
    <row r="15" ht="15.75" customHeight="1">
      <c r="A15" s="43" t="s">
        <v>64</v>
      </c>
      <c r="B15" s="205"/>
      <c r="C15" s="205"/>
      <c r="D15" s="207"/>
      <c r="E15" s="207"/>
      <c r="F15" s="207"/>
      <c r="G15" s="207"/>
      <c r="H15" s="207"/>
      <c r="I15" s="207"/>
      <c r="J15" s="207"/>
      <c r="K15" s="207"/>
      <c r="L15" s="206">
        <f>227/255</f>
        <v>0.8901960784</v>
      </c>
      <c r="M15" s="206">
        <v>0.1</v>
      </c>
      <c r="N15" s="206">
        <v>0.01</v>
      </c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8"/>
      <c r="AF15" s="207"/>
      <c r="AG15" s="207"/>
      <c r="AH15" s="207"/>
      <c r="AI15" s="207"/>
      <c r="AJ15" s="207"/>
      <c r="AK15" s="207"/>
      <c r="AL15" s="207"/>
      <c r="AM15" s="207"/>
      <c r="AN15" s="207"/>
      <c r="AO15" s="207"/>
      <c r="AP15" s="207"/>
      <c r="AQ15" s="207"/>
      <c r="AR15" s="207"/>
      <c r="AS15" s="207"/>
      <c r="AT15" s="206">
        <v>0.14</v>
      </c>
      <c r="AU15" s="206">
        <v>0.33</v>
      </c>
      <c r="AV15" s="206">
        <v>0.25</v>
      </c>
      <c r="AW15" s="206">
        <v>0.15</v>
      </c>
      <c r="AX15" s="206">
        <v>0.07</v>
      </c>
      <c r="AY15" s="206">
        <v>0.04</v>
      </c>
      <c r="AZ15" s="206">
        <v>0.02</v>
      </c>
      <c r="BA15" s="207"/>
      <c r="BB15" s="207"/>
      <c r="BC15" s="207"/>
      <c r="BD15" s="207"/>
      <c r="BE15" s="207"/>
      <c r="BF15" s="207"/>
      <c r="BG15" s="207"/>
      <c r="BH15" s="207"/>
      <c r="BI15" s="207"/>
      <c r="BJ15" s="207"/>
      <c r="BK15" s="207"/>
      <c r="BL15" s="207"/>
    </row>
    <row r="16" ht="15.75" customHeight="1">
      <c r="A16" s="43" t="s">
        <v>65</v>
      </c>
      <c r="B16" s="205"/>
      <c r="C16" s="205"/>
      <c r="D16" s="207"/>
      <c r="E16" s="207"/>
      <c r="F16" s="207"/>
      <c r="G16" s="207"/>
      <c r="H16" s="207"/>
      <c r="I16" s="207"/>
      <c r="J16" s="207"/>
      <c r="K16" s="207"/>
      <c r="L16" s="207"/>
      <c r="M16" s="206">
        <f>227/255</f>
        <v>0.8901960784</v>
      </c>
      <c r="N16" s="206">
        <v>0.1</v>
      </c>
      <c r="O16" s="206">
        <v>0.01</v>
      </c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8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6">
        <v>0.14</v>
      </c>
      <c r="AV16" s="206">
        <v>0.33</v>
      </c>
      <c r="AW16" s="206">
        <v>0.25</v>
      </c>
      <c r="AX16" s="206">
        <v>0.15</v>
      </c>
      <c r="AY16" s="206">
        <v>0.07</v>
      </c>
      <c r="AZ16" s="206">
        <v>0.04</v>
      </c>
      <c r="BA16" s="206">
        <v>0.02</v>
      </c>
      <c r="BB16" s="207"/>
      <c r="BC16" s="207"/>
      <c r="BD16" s="207"/>
      <c r="BE16" s="207"/>
      <c r="BF16" s="207"/>
      <c r="BG16" s="207"/>
      <c r="BH16" s="207"/>
      <c r="BI16" s="207"/>
      <c r="BJ16" s="207"/>
      <c r="BK16" s="207"/>
      <c r="BL16" s="207"/>
    </row>
    <row r="17" ht="15.75" customHeight="1">
      <c r="A17" s="43" t="s">
        <v>66</v>
      </c>
      <c r="B17" s="205"/>
      <c r="C17" s="205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6">
        <v>0.89</v>
      </c>
      <c r="O17" s="206">
        <v>0.1</v>
      </c>
      <c r="P17" s="206">
        <v>0.01</v>
      </c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8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6">
        <v>0.14</v>
      </c>
      <c r="AW17" s="206">
        <v>0.33</v>
      </c>
      <c r="AX17" s="206">
        <v>0.25</v>
      </c>
      <c r="AY17" s="206">
        <v>0.15</v>
      </c>
      <c r="AZ17" s="206">
        <v>0.07</v>
      </c>
      <c r="BA17" s="206">
        <v>0.04</v>
      </c>
      <c r="BB17" s="206">
        <v>0.02</v>
      </c>
      <c r="BC17" s="207"/>
      <c r="BD17" s="207"/>
      <c r="BE17" s="207"/>
      <c r="BF17" s="207"/>
      <c r="BG17" s="207"/>
      <c r="BH17" s="207"/>
      <c r="BI17" s="207"/>
      <c r="BJ17" s="207"/>
      <c r="BK17" s="207"/>
      <c r="BL17" s="207"/>
    </row>
    <row r="18" ht="15.75" customHeight="1">
      <c r="A18" s="43" t="s">
        <v>67</v>
      </c>
      <c r="B18" s="205"/>
      <c r="C18" s="205"/>
      <c r="D18" s="207"/>
      <c r="E18" s="207"/>
      <c r="F18" s="207"/>
      <c r="G18" s="207"/>
      <c r="H18" s="207"/>
      <c r="I18" s="207"/>
      <c r="J18" s="207"/>
      <c r="K18" s="207"/>
      <c r="L18" s="207"/>
      <c r="M18" s="207"/>
      <c r="N18" s="207"/>
      <c r="O18" s="206">
        <v>0.89</v>
      </c>
      <c r="P18" s="206">
        <v>0.1</v>
      </c>
      <c r="Q18" s="206">
        <v>0.01</v>
      </c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8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6">
        <v>0.14</v>
      </c>
      <c r="AX18" s="206">
        <v>0.33</v>
      </c>
      <c r="AY18" s="206">
        <v>0.25</v>
      </c>
      <c r="AZ18" s="206">
        <v>0.15</v>
      </c>
      <c r="BA18" s="206">
        <v>0.07</v>
      </c>
      <c r="BB18" s="206">
        <v>0.04</v>
      </c>
      <c r="BC18" s="206">
        <v>0.02</v>
      </c>
      <c r="BD18" s="207"/>
      <c r="BE18" s="207"/>
      <c r="BF18" s="207"/>
      <c r="BG18" s="207"/>
      <c r="BH18" s="207"/>
      <c r="BI18" s="207"/>
      <c r="BJ18" s="207"/>
      <c r="BK18" s="207"/>
      <c r="BL18" s="207"/>
    </row>
    <row r="19" ht="15.75" customHeight="1">
      <c r="A19" s="43" t="s">
        <v>68</v>
      </c>
      <c r="B19" s="205"/>
      <c r="C19" s="205"/>
      <c r="D19" s="207"/>
      <c r="E19" s="207"/>
      <c r="F19" s="207"/>
      <c r="G19" s="207"/>
      <c r="H19" s="207"/>
      <c r="I19" s="207"/>
      <c r="J19" s="207"/>
      <c r="K19" s="207"/>
      <c r="L19" s="207"/>
      <c r="M19" s="207"/>
      <c r="N19" s="207"/>
      <c r="O19" s="207"/>
      <c r="P19" s="206">
        <v>0.89</v>
      </c>
      <c r="Q19" s="206">
        <v>0.1</v>
      </c>
      <c r="R19" s="206">
        <v>0.01</v>
      </c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8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6">
        <v>0.14</v>
      </c>
      <c r="AY19" s="206">
        <v>0.33</v>
      </c>
      <c r="AZ19" s="206">
        <v>0.25</v>
      </c>
      <c r="BA19" s="206">
        <v>0.15</v>
      </c>
      <c r="BB19" s="206">
        <v>0.07</v>
      </c>
      <c r="BC19" s="206">
        <v>0.04</v>
      </c>
      <c r="BD19" s="206">
        <v>0.02</v>
      </c>
      <c r="BE19" s="207"/>
      <c r="BF19" s="207"/>
      <c r="BG19" s="207"/>
      <c r="BH19" s="207"/>
      <c r="BI19" s="207"/>
      <c r="BJ19" s="207"/>
      <c r="BK19" s="207"/>
      <c r="BL19" s="207"/>
    </row>
    <row r="20" ht="15.75" customHeight="1">
      <c r="A20" s="43" t="s">
        <v>69</v>
      </c>
      <c r="B20" s="205"/>
      <c r="C20" s="205"/>
      <c r="D20" s="207"/>
      <c r="E20" s="207"/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6">
        <v>0.89</v>
      </c>
      <c r="R20" s="206">
        <v>0.1</v>
      </c>
      <c r="S20" s="206">
        <v>0.01</v>
      </c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8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6">
        <v>0.14</v>
      </c>
      <c r="AZ20" s="206">
        <v>0.33</v>
      </c>
      <c r="BA20" s="206">
        <v>0.25</v>
      </c>
      <c r="BB20" s="206">
        <v>0.15</v>
      </c>
      <c r="BC20" s="206">
        <v>0.07</v>
      </c>
      <c r="BD20" s="206">
        <v>0.04</v>
      </c>
      <c r="BE20" s="206">
        <v>0.02</v>
      </c>
      <c r="BF20" s="207"/>
      <c r="BG20" s="207"/>
      <c r="BH20" s="207"/>
      <c r="BI20" s="207"/>
      <c r="BJ20" s="207"/>
      <c r="BK20" s="207"/>
      <c r="BL20" s="207"/>
    </row>
    <row r="21" ht="15.75" customHeight="1">
      <c r="A21" s="43" t="s">
        <v>70</v>
      </c>
      <c r="B21" s="205"/>
      <c r="C21" s="205"/>
      <c r="D21" s="207"/>
      <c r="E21" s="207"/>
      <c r="F21" s="207"/>
      <c r="G21" s="207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6">
        <v>0.89</v>
      </c>
      <c r="S21" s="206">
        <v>0.1</v>
      </c>
      <c r="T21" s="206">
        <v>0.01</v>
      </c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8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6">
        <v>0.14</v>
      </c>
      <c r="BA21" s="206">
        <v>0.33</v>
      </c>
      <c r="BB21" s="206">
        <v>0.25</v>
      </c>
      <c r="BC21" s="206">
        <v>0.15</v>
      </c>
      <c r="BD21" s="206">
        <v>0.07</v>
      </c>
      <c r="BE21" s="206">
        <v>0.04</v>
      </c>
      <c r="BF21" s="206">
        <v>0.02</v>
      </c>
      <c r="BG21" s="207"/>
      <c r="BH21" s="207"/>
      <c r="BI21" s="207"/>
      <c r="BJ21" s="207"/>
      <c r="BK21" s="207"/>
      <c r="BL21" s="207"/>
    </row>
    <row r="22" ht="15.75" customHeight="1">
      <c r="A22" s="43" t="s">
        <v>71</v>
      </c>
      <c r="B22" s="205"/>
      <c r="C22" s="205"/>
      <c r="D22" s="207"/>
      <c r="E22" s="207"/>
      <c r="F22" s="207"/>
      <c r="G22" s="207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6">
        <f>227/255</f>
        <v>0.8901960784</v>
      </c>
      <c r="T22" s="206">
        <v>0.1</v>
      </c>
      <c r="U22" s="206">
        <v>0.01</v>
      </c>
      <c r="V22" s="207"/>
      <c r="W22" s="207"/>
      <c r="X22" s="207"/>
      <c r="Y22" s="207"/>
      <c r="Z22" s="207"/>
      <c r="AA22" s="207"/>
      <c r="AB22" s="207"/>
      <c r="AC22" s="207"/>
      <c r="AD22" s="207"/>
      <c r="AE22" s="208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7"/>
      <c r="AX22" s="207"/>
      <c r="AY22" s="207"/>
      <c r="AZ22" s="207"/>
      <c r="BA22" s="206">
        <v>0.14</v>
      </c>
      <c r="BB22" s="206">
        <v>0.33</v>
      </c>
      <c r="BC22" s="206">
        <v>0.25</v>
      </c>
      <c r="BD22" s="206">
        <v>0.15</v>
      </c>
      <c r="BE22" s="206">
        <v>0.07</v>
      </c>
      <c r="BF22" s="206">
        <v>0.04</v>
      </c>
      <c r="BG22" s="206">
        <v>0.02</v>
      </c>
      <c r="BH22" s="207"/>
      <c r="BI22" s="207"/>
      <c r="BJ22" s="207"/>
      <c r="BK22" s="207"/>
      <c r="BL22" s="207"/>
    </row>
    <row r="23" ht="15.75" customHeight="1">
      <c r="A23" s="43" t="s">
        <v>72</v>
      </c>
      <c r="B23" s="205"/>
      <c r="C23" s="205"/>
      <c r="D23" s="207"/>
      <c r="E23" s="207"/>
      <c r="F23" s="207"/>
      <c r="G23" s="207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6">
        <f>227/255</f>
        <v>0.8901960784</v>
      </c>
      <c r="U23" s="206">
        <v>0.1</v>
      </c>
      <c r="V23" s="206">
        <v>0.01</v>
      </c>
      <c r="W23" s="207"/>
      <c r="X23" s="207"/>
      <c r="Y23" s="207"/>
      <c r="Z23" s="207"/>
      <c r="AA23" s="207"/>
      <c r="AB23" s="207"/>
      <c r="AC23" s="207"/>
      <c r="AD23" s="207"/>
      <c r="AE23" s="208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7"/>
      <c r="AQ23" s="207"/>
      <c r="AR23" s="207"/>
      <c r="AS23" s="207"/>
      <c r="AT23" s="207"/>
      <c r="AU23" s="207"/>
      <c r="AV23" s="207"/>
      <c r="AW23" s="207"/>
      <c r="AX23" s="207"/>
      <c r="AY23" s="207"/>
      <c r="AZ23" s="207"/>
      <c r="BA23" s="207"/>
      <c r="BB23" s="206">
        <v>0.14</v>
      </c>
      <c r="BC23" s="206">
        <v>0.33</v>
      </c>
      <c r="BD23" s="206">
        <v>0.25</v>
      </c>
      <c r="BE23" s="206">
        <v>0.15</v>
      </c>
      <c r="BF23" s="206">
        <v>0.07</v>
      </c>
      <c r="BG23" s="206">
        <v>0.04</v>
      </c>
      <c r="BH23" s="206">
        <v>0.02</v>
      </c>
      <c r="BI23" s="207"/>
      <c r="BJ23" s="207"/>
      <c r="BK23" s="207"/>
      <c r="BL23" s="207"/>
    </row>
    <row r="24" ht="15.75" customHeight="1">
      <c r="A24" s="43" t="s">
        <v>73</v>
      </c>
      <c r="B24" s="205"/>
      <c r="C24" s="205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6">
        <f>227/255</f>
        <v>0.8901960784</v>
      </c>
      <c r="V24" s="206">
        <v>0.1</v>
      </c>
      <c r="W24" s="206">
        <v>0.01</v>
      </c>
      <c r="X24" s="207"/>
      <c r="Y24" s="207"/>
      <c r="Z24" s="207"/>
      <c r="AA24" s="207"/>
      <c r="AB24" s="207"/>
      <c r="AC24" s="207"/>
      <c r="AD24" s="207"/>
      <c r="AE24" s="208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7"/>
      <c r="BB24" s="207"/>
      <c r="BC24" s="206">
        <v>0.14</v>
      </c>
      <c r="BD24" s="206">
        <v>0.33</v>
      </c>
      <c r="BE24" s="206">
        <v>0.25</v>
      </c>
      <c r="BF24" s="206">
        <v>0.15</v>
      </c>
      <c r="BG24" s="206">
        <v>0.07</v>
      </c>
      <c r="BH24" s="206">
        <v>0.04</v>
      </c>
      <c r="BI24" s="206">
        <v>0.02</v>
      </c>
      <c r="BJ24" s="207"/>
      <c r="BK24" s="207"/>
      <c r="BL24" s="207"/>
    </row>
    <row r="25" ht="15.75" customHeight="1">
      <c r="A25" s="43" t="s">
        <v>74</v>
      </c>
      <c r="B25" s="205"/>
      <c r="C25" s="205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6">
        <f>227/255</f>
        <v>0.8901960784</v>
      </c>
      <c r="W25" s="206">
        <v>0.1</v>
      </c>
      <c r="X25" s="206">
        <v>0.01</v>
      </c>
      <c r="Y25" s="207"/>
      <c r="Z25" s="207"/>
      <c r="AA25" s="207"/>
      <c r="AB25" s="207"/>
      <c r="AC25" s="207"/>
      <c r="AD25" s="207"/>
      <c r="AE25" s="208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7"/>
      <c r="BB25" s="207"/>
      <c r="BC25" s="207"/>
      <c r="BD25" s="206">
        <v>0.14</v>
      </c>
      <c r="BE25" s="206">
        <v>0.33</v>
      </c>
      <c r="BF25" s="206">
        <v>0.25</v>
      </c>
      <c r="BG25" s="206">
        <v>0.15</v>
      </c>
      <c r="BH25" s="206">
        <v>0.07</v>
      </c>
      <c r="BI25" s="206">
        <v>0.04</v>
      </c>
      <c r="BJ25" s="206">
        <v>0.02</v>
      </c>
      <c r="BK25" s="207"/>
      <c r="BL25" s="207"/>
    </row>
    <row r="26" ht="15.75" customHeight="1">
      <c r="A26" s="43" t="s">
        <v>75</v>
      </c>
      <c r="B26" s="205"/>
      <c r="C26" s="205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6">
        <f>227/255</f>
        <v>0.8901960784</v>
      </c>
      <c r="X26" s="206">
        <v>0.1</v>
      </c>
      <c r="Y26" s="206">
        <v>0.01</v>
      </c>
      <c r="Z26" s="207"/>
      <c r="AA26" s="207"/>
      <c r="AB26" s="207"/>
      <c r="AC26" s="207"/>
      <c r="AD26" s="207"/>
      <c r="AE26" s="208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7"/>
      <c r="BB26" s="207"/>
      <c r="BC26" s="207"/>
      <c r="BD26" s="207"/>
      <c r="BE26" s="206">
        <v>0.14</v>
      </c>
      <c r="BF26" s="206">
        <v>0.33</v>
      </c>
      <c r="BG26" s="206">
        <v>0.25</v>
      </c>
      <c r="BH26" s="206">
        <v>0.15</v>
      </c>
      <c r="BI26" s="206">
        <v>0.07</v>
      </c>
      <c r="BJ26" s="206">
        <v>0.04</v>
      </c>
      <c r="BK26" s="206">
        <v>0.02</v>
      </c>
      <c r="BL26" s="207"/>
    </row>
    <row r="27" ht="15.75" customHeight="1">
      <c r="A27" s="43" t="s">
        <v>76</v>
      </c>
      <c r="B27" s="205"/>
      <c r="C27" s="205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6">
        <f>227/255</f>
        <v>0.8901960784</v>
      </c>
      <c r="Y27" s="206">
        <v>0.1</v>
      </c>
      <c r="Z27" s="206">
        <v>0.01</v>
      </c>
      <c r="AA27" s="207"/>
      <c r="AB27" s="207"/>
      <c r="AC27" s="207"/>
      <c r="AD27" s="207"/>
      <c r="AE27" s="208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7"/>
      <c r="BB27" s="207"/>
      <c r="BC27" s="207"/>
      <c r="BD27" s="207"/>
      <c r="BE27" s="207"/>
      <c r="BF27" s="206">
        <v>0.14</v>
      </c>
      <c r="BG27" s="206">
        <v>0.33</v>
      </c>
      <c r="BH27" s="206">
        <v>0.25</v>
      </c>
      <c r="BI27" s="206">
        <v>0.15</v>
      </c>
      <c r="BJ27" s="206">
        <v>0.07</v>
      </c>
      <c r="BK27" s="206">
        <v>0.04</v>
      </c>
      <c r="BL27" s="206">
        <v>0.02</v>
      </c>
    </row>
    <row r="28" ht="15.75" customHeight="1">
      <c r="A28" s="43" t="s">
        <v>77</v>
      </c>
      <c r="B28" s="205"/>
      <c r="C28" s="205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6">
        <f>227/255</f>
        <v>0.8901960784</v>
      </c>
      <c r="Z28" s="206">
        <v>0.1</v>
      </c>
      <c r="AA28" s="206">
        <v>0.01</v>
      </c>
      <c r="AB28" s="207"/>
      <c r="AC28" s="207"/>
      <c r="AD28" s="207"/>
      <c r="AE28" s="208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7"/>
      <c r="BB28" s="207"/>
      <c r="BC28" s="207"/>
      <c r="BD28" s="207"/>
      <c r="BE28" s="207"/>
      <c r="BF28" s="207"/>
      <c r="BG28" s="206">
        <v>0.14</v>
      </c>
      <c r="BH28" s="206">
        <v>0.33</v>
      </c>
      <c r="BI28" s="206">
        <v>0.25</v>
      </c>
      <c r="BJ28" s="206">
        <v>0.15</v>
      </c>
      <c r="BK28" s="206">
        <v>0.07</v>
      </c>
      <c r="BL28" s="206">
        <v>0.04</v>
      </c>
    </row>
    <row r="29" ht="15.75" customHeight="1">
      <c r="A29" s="43" t="s">
        <v>78</v>
      </c>
      <c r="B29" s="205"/>
      <c r="C29" s="205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6">
        <v>0.89</v>
      </c>
      <c r="AA29" s="206">
        <v>0.1</v>
      </c>
      <c r="AB29" s="206">
        <v>0.01</v>
      </c>
      <c r="AC29" s="207"/>
      <c r="AD29" s="207"/>
      <c r="AE29" s="208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7"/>
      <c r="BB29" s="207"/>
      <c r="BC29" s="207"/>
      <c r="BD29" s="207"/>
      <c r="BE29" s="207"/>
      <c r="BF29" s="207"/>
      <c r="BG29" s="207"/>
      <c r="BH29" s="206">
        <v>0.14</v>
      </c>
      <c r="BI29" s="206">
        <v>0.33</v>
      </c>
      <c r="BJ29" s="206">
        <v>0.25</v>
      </c>
      <c r="BK29" s="206">
        <v>0.15</v>
      </c>
      <c r="BL29" s="206">
        <v>0.07</v>
      </c>
    </row>
    <row r="30" ht="15.75" customHeight="1">
      <c r="A30" s="43" t="s">
        <v>79</v>
      </c>
      <c r="B30" s="205"/>
      <c r="C30" s="205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6">
        <v>0.89</v>
      </c>
      <c r="AB30" s="206">
        <v>0.1</v>
      </c>
      <c r="AC30" s="206">
        <v>0.01</v>
      </c>
      <c r="AD30" s="207"/>
      <c r="AE30" s="208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7"/>
      <c r="BB30" s="207"/>
      <c r="BC30" s="207"/>
      <c r="BD30" s="207"/>
      <c r="BE30" s="207"/>
      <c r="BF30" s="207"/>
      <c r="BG30" s="207"/>
      <c r="BH30" s="207"/>
      <c r="BI30" s="206">
        <v>0.14</v>
      </c>
      <c r="BJ30" s="206">
        <v>0.33</v>
      </c>
      <c r="BK30" s="206">
        <v>0.25</v>
      </c>
      <c r="BL30" s="206">
        <v>0.15</v>
      </c>
    </row>
    <row r="31" ht="15.75" customHeight="1">
      <c r="A31" s="43" t="s">
        <v>80</v>
      </c>
      <c r="B31" s="205"/>
      <c r="C31" s="205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6">
        <v>0.89</v>
      </c>
      <c r="AC31" s="206">
        <v>0.1</v>
      </c>
      <c r="AD31" s="206">
        <v>0.01</v>
      </c>
      <c r="AE31" s="208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7"/>
      <c r="BB31" s="207"/>
      <c r="BC31" s="207"/>
      <c r="BD31" s="207"/>
      <c r="BE31" s="207"/>
      <c r="BF31" s="207"/>
      <c r="BG31" s="207"/>
      <c r="BH31" s="207"/>
      <c r="BI31" s="207"/>
      <c r="BJ31" s="206">
        <v>0.14</v>
      </c>
      <c r="BK31" s="206">
        <v>0.33</v>
      </c>
      <c r="BL31" s="206">
        <v>0.25</v>
      </c>
    </row>
    <row r="32" ht="15.75" customHeight="1">
      <c r="A32" s="43" t="s">
        <v>81</v>
      </c>
      <c r="B32" s="205"/>
      <c r="C32" s="205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6">
        <v>0.89</v>
      </c>
      <c r="AD32" s="206">
        <v>0.1</v>
      </c>
      <c r="AE32" s="208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7"/>
      <c r="BB32" s="207"/>
      <c r="BC32" s="207"/>
      <c r="BD32" s="207"/>
      <c r="BE32" s="207"/>
      <c r="BF32" s="207"/>
      <c r="BG32" s="207"/>
      <c r="BH32" s="207"/>
      <c r="BI32" s="207"/>
      <c r="BJ32" s="207"/>
      <c r="BK32" s="206">
        <v>0.14</v>
      </c>
      <c r="BL32" s="206">
        <v>0.33</v>
      </c>
    </row>
    <row r="33" ht="15.75" customHeight="1">
      <c r="A33" s="43" t="s">
        <v>82</v>
      </c>
      <c r="B33" s="205"/>
      <c r="C33" s="205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6">
        <v>0.89</v>
      </c>
      <c r="AE33" s="208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7"/>
      <c r="BB33" s="207"/>
      <c r="BC33" s="207"/>
      <c r="BD33" s="207"/>
      <c r="BE33" s="207"/>
      <c r="BF33" s="207"/>
      <c r="BG33" s="207"/>
      <c r="BH33" s="207"/>
      <c r="BI33" s="207"/>
      <c r="BJ33" s="207"/>
      <c r="BK33" s="207"/>
      <c r="BL33" s="206">
        <v>0.14</v>
      </c>
    </row>
    <row r="34" ht="15.75" customHeight="1">
      <c r="A34" s="205"/>
      <c r="B34" s="209" t="s">
        <v>54</v>
      </c>
      <c r="C34" s="209" t="s">
        <v>170</v>
      </c>
      <c r="D34" s="209" t="s">
        <v>7</v>
      </c>
      <c r="E34" s="209" t="s">
        <v>8</v>
      </c>
      <c r="F34" s="209" t="s">
        <v>9</v>
      </c>
      <c r="G34" s="209" t="s">
        <v>10</v>
      </c>
      <c r="H34" s="209" t="s">
        <v>11</v>
      </c>
      <c r="I34" s="209" t="s">
        <v>12</v>
      </c>
      <c r="J34" s="209" t="s">
        <v>13</v>
      </c>
      <c r="K34" s="209" t="s">
        <v>63</v>
      </c>
      <c r="L34" s="209" t="s">
        <v>64</v>
      </c>
      <c r="M34" s="209" t="s">
        <v>65</v>
      </c>
      <c r="N34" s="209" t="s">
        <v>66</v>
      </c>
      <c r="O34" s="209" t="s">
        <v>67</v>
      </c>
      <c r="P34" s="209" t="s">
        <v>68</v>
      </c>
      <c r="Q34" s="209" t="s">
        <v>69</v>
      </c>
      <c r="R34" s="209" t="s">
        <v>70</v>
      </c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04"/>
      <c r="AF34" s="209" t="s">
        <v>14</v>
      </c>
      <c r="AG34" s="209" t="s">
        <v>2</v>
      </c>
      <c r="AH34" s="209" t="s">
        <v>3</v>
      </c>
      <c r="AI34" s="209" t="s">
        <v>4</v>
      </c>
      <c r="AJ34" s="209" t="s">
        <v>5</v>
      </c>
      <c r="AK34" s="209" t="s">
        <v>6</v>
      </c>
      <c r="AL34" s="209" t="s">
        <v>7</v>
      </c>
      <c r="AM34" s="209" t="s">
        <v>8</v>
      </c>
      <c r="AN34" s="209" t="s">
        <v>9</v>
      </c>
      <c r="AO34" s="209" t="s">
        <v>10</v>
      </c>
      <c r="AP34" s="209" t="s">
        <v>11</v>
      </c>
      <c r="AQ34" s="209" t="s">
        <v>12</v>
      </c>
      <c r="AR34" s="209" t="s">
        <v>13</v>
      </c>
      <c r="AS34" s="209" t="s">
        <v>63</v>
      </c>
      <c r="AT34" s="209" t="s">
        <v>64</v>
      </c>
      <c r="AU34" s="209" t="s">
        <v>65</v>
      </c>
      <c r="AV34" s="209" t="s">
        <v>66</v>
      </c>
      <c r="AW34" s="210"/>
      <c r="AX34" s="210"/>
      <c r="AY34" s="210"/>
      <c r="AZ34" s="210"/>
      <c r="BA34" s="210"/>
      <c r="BB34" s="210"/>
      <c r="BC34" s="210"/>
      <c r="BD34" s="210"/>
      <c r="BE34" s="210"/>
      <c r="BF34" s="210"/>
      <c r="BG34" s="210"/>
      <c r="BH34" s="210"/>
      <c r="BI34" s="210"/>
      <c r="BJ34" s="210"/>
      <c r="BK34" s="210"/>
      <c r="BL34" s="210"/>
    </row>
    <row r="35" ht="15.75" customHeight="1">
      <c r="A35" s="209" t="s">
        <v>2</v>
      </c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04"/>
      <c r="AF35" s="212">
        <v>0.0</v>
      </c>
      <c r="AG35" s="53">
        <f t="shared" ref="AG35:AM35" si="1">$AF35*AG2</f>
        <v>0</v>
      </c>
      <c r="AH35" s="53">
        <f t="shared" si="1"/>
        <v>0</v>
      </c>
      <c r="AI35" s="53">
        <f t="shared" si="1"/>
        <v>0</v>
      </c>
      <c r="AJ35" s="53">
        <f t="shared" si="1"/>
        <v>0</v>
      </c>
      <c r="AK35" s="53">
        <f t="shared" si="1"/>
        <v>0</v>
      </c>
      <c r="AL35" s="53">
        <f t="shared" si="1"/>
        <v>0</v>
      </c>
      <c r="AM35" s="53">
        <f t="shared" si="1"/>
        <v>0</v>
      </c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</row>
    <row r="36" ht="15.75" customHeight="1">
      <c r="A36" s="209" t="s">
        <v>3</v>
      </c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04"/>
      <c r="AF36" s="212">
        <v>0.0</v>
      </c>
      <c r="AG36" s="211"/>
      <c r="AH36" s="53">
        <f t="shared" ref="AH36:AN36" si="2">$AF36*AH3</f>
        <v>0</v>
      </c>
      <c r="AI36" s="53">
        <f t="shared" si="2"/>
        <v>0</v>
      </c>
      <c r="AJ36" s="53">
        <f t="shared" si="2"/>
        <v>0</v>
      </c>
      <c r="AK36" s="53">
        <f t="shared" si="2"/>
        <v>0</v>
      </c>
      <c r="AL36" s="53">
        <f t="shared" si="2"/>
        <v>0</v>
      </c>
      <c r="AM36" s="53">
        <f t="shared" si="2"/>
        <v>0</v>
      </c>
      <c r="AN36" s="53">
        <f t="shared" si="2"/>
        <v>0</v>
      </c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</row>
    <row r="37" ht="15.75" customHeight="1">
      <c r="A37" s="209" t="s">
        <v>4</v>
      </c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04"/>
      <c r="AF37" s="212">
        <v>0.0</v>
      </c>
      <c r="AG37" s="207"/>
      <c r="AH37" s="211"/>
      <c r="AI37" s="53">
        <f t="shared" ref="AI37:AO37" si="3">$AF37*AI4</f>
        <v>0</v>
      </c>
      <c r="AJ37" s="53">
        <f t="shared" si="3"/>
        <v>0</v>
      </c>
      <c r="AK37" s="53">
        <f t="shared" si="3"/>
        <v>0</v>
      </c>
      <c r="AL37" s="53">
        <f t="shared" si="3"/>
        <v>0</v>
      </c>
      <c r="AM37" s="53">
        <f t="shared" si="3"/>
        <v>0</v>
      </c>
      <c r="AN37" s="53">
        <f t="shared" si="3"/>
        <v>0</v>
      </c>
      <c r="AO37" s="53">
        <f t="shared" si="3"/>
        <v>0</v>
      </c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</row>
    <row r="38" ht="15.75" customHeight="1">
      <c r="A38" s="209" t="s">
        <v>5</v>
      </c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04"/>
      <c r="AF38" s="212">
        <v>0.0</v>
      </c>
      <c r="AG38" s="207"/>
      <c r="AH38" s="211"/>
      <c r="AI38" s="211"/>
      <c r="AJ38" s="53">
        <f t="shared" ref="AJ38:AP38" si="4">$AF38*AJ5</f>
        <v>0</v>
      </c>
      <c r="AK38" s="53">
        <f t="shared" si="4"/>
        <v>0</v>
      </c>
      <c r="AL38" s="53">
        <f t="shared" si="4"/>
        <v>0</v>
      </c>
      <c r="AM38" s="53">
        <f t="shared" si="4"/>
        <v>0</v>
      </c>
      <c r="AN38" s="53">
        <f t="shared" si="4"/>
        <v>0</v>
      </c>
      <c r="AO38" s="53">
        <f t="shared" si="4"/>
        <v>0</v>
      </c>
      <c r="AP38" s="53">
        <f t="shared" si="4"/>
        <v>0</v>
      </c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</row>
    <row r="39" ht="15.75" customHeight="1">
      <c r="A39" s="209" t="s">
        <v>6</v>
      </c>
      <c r="B39" s="159"/>
      <c r="C39" s="159"/>
      <c r="D39" s="53">
        <f>$B39*D6</f>
        <v>0</v>
      </c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04"/>
      <c r="AF39" s="212">
        <v>0.0</v>
      </c>
      <c r="AG39" s="207"/>
      <c r="AH39" s="211"/>
      <c r="AI39" s="211"/>
      <c r="AJ39" s="211"/>
      <c r="AK39" s="53">
        <f t="shared" ref="AK39:AQ39" si="5">$AF39*AK6</f>
        <v>0</v>
      </c>
      <c r="AL39" s="53">
        <f t="shared" si="5"/>
        <v>0</v>
      </c>
      <c r="AM39" s="53">
        <f t="shared" si="5"/>
        <v>0</v>
      </c>
      <c r="AN39" s="53">
        <f t="shared" si="5"/>
        <v>0</v>
      </c>
      <c r="AO39" s="53">
        <f t="shared" si="5"/>
        <v>0</v>
      </c>
      <c r="AP39" s="53">
        <f t="shared" si="5"/>
        <v>0</v>
      </c>
      <c r="AQ39" s="53">
        <f t="shared" si="5"/>
        <v>0</v>
      </c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</row>
    <row r="40" ht="15.75" customHeight="1">
      <c r="A40" s="209" t="s">
        <v>7</v>
      </c>
      <c r="B40" s="205"/>
      <c r="C40" s="207"/>
      <c r="D40" s="53">
        <f t="shared" ref="D40:F40" si="6">$B40*D7*$C40</f>
        <v>0</v>
      </c>
      <c r="E40" s="53">
        <f t="shared" si="6"/>
        <v>0</v>
      </c>
      <c r="F40" s="53">
        <f t="shared" si="6"/>
        <v>0</v>
      </c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5"/>
      <c r="AF40" s="216">
        <f t="array" ref="AF40:AF66">transpose(D67:AD67)</f>
        <v>0</v>
      </c>
      <c r="AG40" s="207"/>
      <c r="AH40" s="211"/>
      <c r="AI40" s="211"/>
      <c r="AJ40" s="211"/>
      <c r="AK40" s="211"/>
      <c r="AL40" s="53">
        <f t="shared" ref="AL40:AR40" si="7">$AF40*AL7</f>
        <v>0</v>
      </c>
      <c r="AM40" s="53">
        <f t="shared" si="7"/>
        <v>0</v>
      </c>
      <c r="AN40" s="53">
        <f t="shared" si="7"/>
        <v>0</v>
      </c>
      <c r="AO40" s="53">
        <f t="shared" si="7"/>
        <v>0</v>
      </c>
      <c r="AP40" s="53">
        <f t="shared" si="7"/>
        <v>0</v>
      </c>
      <c r="AQ40" s="53">
        <f t="shared" si="7"/>
        <v>0</v>
      </c>
      <c r="AR40" s="53">
        <f t="shared" si="7"/>
        <v>0</v>
      </c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</row>
    <row r="41" ht="15.75" customHeight="1">
      <c r="A41" s="209" t="s">
        <v>8</v>
      </c>
      <c r="B41" s="205"/>
      <c r="C41" s="207"/>
      <c r="D41" s="211"/>
      <c r="E41" s="53">
        <f t="shared" ref="E41:G41" si="8">$B41*E8*$C41</f>
        <v>0</v>
      </c>
      <c r="F41" s="53">
        <f t="shared" si="8"/>
        <v>0</v>
      </c>
      <c r="G41" s="53">
        <f t="shared" si="8"/>
        <v>0</v>
      </c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7"/>
      <c r="AF41" s="53">
        <v>0.0</v>
      </c>
      <c r="AG41" s="207"/>
      <c r="AH41" s="211"/>
      <c r="AI41" s="211"/>
      <c r="AJ41" s="211"/>
      <c r="AK41" s="211"/>
      <c r="AL41" s="211"/>
      <c r="AM41" s="53">
        <f t="shared" ref="AM41:AS41" si="9">$AF41*AM8</f>
        <v>0</v>
      </c>
      <c r="AN41" s="53">
        <f t="shared" si="9"/>
        <v>0</v>
      </c>
      <c r="AO41" s="53">
        <f t="shared" si="9"/>
        <v>0</v>
      </c>
      <c r="AP41" s="53">
        <f t="shared" si="9"/>
        <v>0</v>
      </c>
      <c r="AQ41" s="53">
        <f t="shared" si="9"/>
        <v>0</v>
      </c>
      <c r="AR41" s="53">
        <f t="shared" si="9"/>
        <v>0</v>
      </c>
      <c r="AS41" s="53">
        <f t="shared" si="9"/>
        <v>0</v>
      </c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</row>
    <row r="42" ht="15.75" customHeight="1">
      <c r="A42" s="209" t="s">
        <v>9</v>
      </c>
      <c r="B42" s="205"/>
      <c r="C42" s="207"/>
      <c r="D42" s="205"/>
      <c r="E42" s="211"/>
      <c r="F42" s="53">
        <f t="shared" ref="F42:H42" si="10">$B42*F9*$C42</f>
        <v>0</v>
      </c>
      <c r="G42" s="53">
        <f t="shared" si="10"/>
        <v>0</v>
      </c>
      <c r="H42" s="53">
        <f t="shared" si="10"/>
        <v>0</v>
      </c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7"/>
      <c r="AF42" s="53">
        <v>0.0</v>
      </c>
      <c r="AG42" s="207"/>
      <c r="AH42" s="211"/>
      <c r="AI42" s="211"/>
      <c r="AJ42" s="211"/>
      <c r="AK42" s="211"/>
      <c r="AL42" s="211"/>
      <c r="AM42" s="211"/>
      <c r="AN42" s="53">
        <f t="shared" ref="AN42:AT42" si="11">$AF42*AN9</f>
        <v>0</v>
      </c>
      <c r="AO42" s="53">
        <f t="shared" si="11"/>
        <v>0</v>
      </c>
      <c r="AP42" s="53">
        <f t="shared" si="11"/>
        <v>0</v>
      </c>
      <c r="AQ42" s="53">
        <f t="shared" si="11"/>
        <v>0</v>
      </c>
      <c r="AR42" s="53">
        <f t="shared" si="11"/>
        <v>0</v>
      </c>
      <c r="AS42" s="53">
        <f t="shared" si="11"/>
        <v>0</v>
      </c>
      <c r="AT42" s="53">
        <f t="shared" si="11"/>
        <v>0</v>
      </c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</row>
    <row r="43" ht="15.75" customHeight="1">
      <c r="A43" s="209" t="s">
        <v>10</v>
      </c>
      <c r="B43" s="213">
        <v>5.0</v>
      </c>
      <c r="C43" s="214">
        <v>0.4</v>
      </c>
      <c r="D43" s="205"/>
      <c r="E43" s="205"/>
      <c r="F43" s="211"/>
      <c r="G43" s="53">
        <f t="shared" ref="G43:I43" si="12">$B43*G10*$C43</f>
        <v>1.780392157</v>
      </c>
      <c r="H43" s="53">
        <f t="shared" si="12"/>
        <v>0.2</v>
      </c>
      <c r="I43" s="53">
        <f t="shared" si="12"/>
        <v>0.02</v>
      </c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7"/>
      <c r="AF43" s="53">
        <v>1.7803921568627452</v>
      </c>
      <c r="AG43" s="207"/>
      <c r="AH43" s="211"/>
      <c r="AI43" s="211"/>
      <c r="AJ43" s="211"/>
      <c r="AK43" s="211"/>
      <c r="AL43" s="211"/>
      <c r="AM43" s="211"/>
      <c r="AN43" s="211"/>
      <c r="AO43" s="53">
        <f t="shared" ref="AO43:AU43" si="13">$AF43*AO10</f>
        <v>0.249254902</v>
      </c>
      <c r="AP43" s="53">
        <f t="shared" si="13"/>
        <v>0.5875294118</v>
      </c>
      <c r="AQ43" s="53">
        <f t="shared" si="13"/>
        <v>0.4450980392</v>
      </c>
      <c r="AR43" s="53">
        <f t="shared" si="13"/>
        <v>0.2670588235</v>
      </c>
      <c r="AS43" s="53">
        <f t="shared" si="13"/>
        <v>0.124627451</v>
      </c>
      <c r="AT43" s="53">
        <f t="shared" si="13"/>
        <v>0.07121568627</v>
      </c>
      <c r="AU43" s="53">
        <f t="shared" si="13"/>
        <v>0.03560784314</v>
      </c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</row>
    <row r="44" ht="15.75" customHeight="1">
      <c r="A44" s="209" t="s">
        <v>11</v>
      </c>
      <c r="B44" s="213">
        <v>5.0</v>
      </c>
      <c r="C44" s="214">
        <v>0.4</v>
      </c>
      <c r="D44" s="205"/>
      <c r="E44" s="205"/>
      <c r="F44" s="205"/>
      <c r="G44" s="205"/>
      <c r="H44" s="53">
        <f t="shared" ref="H44:J44" si="14">$B44*H11*$C44</f>
        <v>1.780392157</v>
      </c>
      <c r="I44" s="53">
        <f t="shared" si="14"/>
        <v>0.2</v>
      </c>
      <c r="J44" s="53">
        <f t="shared" si="14"/>
        <v>0.02</v>
      </c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7"/>
      <c r="AF44" s="53">
        <v>1.9803921568627452</v>
      </c>
      <c r="AG44" s="207"/>
      <c r="AH44" s="211"/>
      <c r="AI44" s="211"/>
      <c r="AJ44" s="211"/>
      <c r="AK44" s="211"/>
      <c r="AL44" s="211"/>
      <c r="AM44" s="211"/>
      <c r="AN44" s="211"/>
      <c r="AO44" s="211"/>
      <c r="AP44" s="53">
        <f t="shared" ref="AP44:AV44" si="15">$AF44*AP11</f>
        <v>0.277254902</v>
      </c>
      <c r="AQ44" s="53">
        <f t="shared" si="15"/>
        <v>0.6535294118</v>
      </c>
      <c r="AR44" s="53">
        <f t="shared" si="15"/>
        <v>0.4950980392</v>
      </c>
      <c r="AS44" s="53">
        <f t="shared" si="15"/>
        <v>0.2970588235</v>
      </c>
      <c r="AT44" s="53">
        <f t="shared" si="15"/>
        <v>0.138627451</v>
      </c>
      <c r="AU44" s="53">
        <f t="shared" si="15"/>
        <v>0.07921568627</v>
      </c>
      <c r="AV44" s="53">
        <f t="shared" si="15"/>
        <v>0.03960784314</v>
      </c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</row>
    <row r="45" ht="15.75" customHeight="1">
      <c r="A45" s="209" t="s">
        <v>12</v>
      </c>
      <c r="B45" s="213">
        <v>5.0</v>
      </c>
      <c r="C45" s="214">
        <v>0.4</v>
      </c>
      <c r="D45" s="205"/>
      <c r="E45" s="205"/>
      <c r="F45" s="205"/>
      <c r="G45" s="205"/>
      <c r="H45" s="205"/>
      <c r="I45" s="53">
        <f t="shared" ref="I45:K45" si="16">$B45*I12*$C45</f>
        <v>1.780392157</v>
      </c>
      <c r="J45" s="53">
        <f t="shared" si="16"/>
        <v>0.2</v>
      </c>
      <c r="K45" s="53">
        <f t="shared" si="16"/>
        <v>0.02</v>
      </c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7"/>
      <c r="AF45" s="53">
        <v>2.000392156862745</v>
      </c>
      <c r="AG45" s="207"/>
      <c r="AH45" s="211"/>
      <c r="AI45" s="211"/>
      <c r="AJ45" s="211"/>
      <c r="AK45" s="211"/>
      <c r="AL45" s="211"/>
      <c r="AM45" s="211"/>
      <c r="AN45" s="211"/>
      <c r="AO45" s="211"/>
      <c r="AP45" s="211"/>
      <c r="AQ45" s="53">
        <f t="shared" ref="AQ45:AW45" si="17">$AF45*AQ12</f>
        <v>0.280054902</v>
      </c>
      <c r="AR45" s="53">
        <f t="shared" si="17"/>
        <v>0.6601294118</v>
      </c>
      <c r="AS45" s="53">
        <f t="shared" si="17"/>
        <v>0.5000980392</v>
      </c>
      <c r="AT45" s="53">
        <f t="shared" si="17"/>
        <v>0.3000588235</v>
      </c>
      <c r="AU45" s="53">
        <f t="shared" si="17"/>
        <v>0.140027451</v>
      </c>
      <c r="AV45" s="53">
        <f t="shared" si="17"/>
        <v>0.08001568627</v>
      </c>
      <c r="AW45" s="53">
        <f t="shared" si="17"/>
        <v>0.04000784314</v>
      </c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</row>
    <row r="46" ht="15.75" customHeight="1">
      <c r="A46" s="209" t="s">
        <v>13</v>
      </c>
      <c r="B46" s="213">
        <v>10.0</v>
      </c>
      <c r="C46" s="214">
        <v>0.4</v>
      </c>
      <c r="D46" s="205"/>
      <c r="E46" s="205"/>
      <c r="F46" s="205"/>
      <c r="G46" s="205"/>
      <c r="H46" s="205"/>
      <c r="I46" s="205"/>
      <c r="J46" s="53">
        <f t="shared" ref="J46:L46" si="18">$B46*J13*$C46</f>
        <v>3.560784314</v>
      </c>
      <c r="K46" s="53">
        <f t="shared" si="18"/>
        <v>0.4</v>
      </c>
      <c r="L46" s="53">
        <f t="shared" si="18"/>
        <v>0.04</v>
      </c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7"/>
      <c r="AF46" s="53">
        <v>3.7807843137254906</v>
      </c>
      <c r="AG46" s="207"/>
      <c r="AH46" s="211"/>
      <c r="AI46" s="211"/>
      <c r="AJ46" s="211"/>
      <c r="AK46" s="211"/>
      <c r="AL46" s="211"/>
      <c r="AM46" s="211"/>
      <c r="AN46" s="211"/>
      <c r="AO46" s="211"/>
      <c r="AP46" s="207"/>
      <c r="AQ46" s="211"/>
      <c r="AR46" s="53">
        <f t="shared" ref="AR46:AX46" si="19">$AF46*AR13</f>
        <v>0.5293098039</v>
      </c>
      <c r="AS46" s="53">
        <f t="shared" si="19"/>
        <v>1.247658824</v>
      </c>
      <c r="AT46" s="53">
        <f t="shared" si="19"/>
        <v>0.9451960784</v>
      </c>
      <c r="AU46" s="53">
        <f t="shared" si="19"/>
        <v>0.5671176471</v>
      </c>
      <c r="AV46" s="53">
        <f t="shared" si="19"/>
        <v>0.264654902</v>
      </c>
      <c r="AW46" s="53">
        <f t="shared" si="19"/>
        <v>0.1512313725</v>
      </c>
      <c r="AX46" s="53">
        <f t="shared" si="19"/>
        <v>0.07561568627</v>
      </c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</row>
    <row r="47" ht="15.75" customHeight="1">
      <c r="A47" s="209" t="s">
        <v>63</v>
      </c>
      <c r="B47" s="213">
        <v>10.0</v>
      </c>
      <c r="C47" s="214">
        <v>0.4</v>
      </c>
      <c r="D47" s="205"/>
      <c r="E47" s="205"/>
      <c r="F47" s="205"/>
      <c r="G47" s="205"/>
      <c r="H47" s="205"/>
      <c r="I47" s="205"/>
      <c r="J47" s="211"/>
      <c r="K47" s="53">
        <f t="shared" ref="K47:M47" si="20">$B47*K14*$C47</f>
        <v>3.560784314</v>
      </c>
      <c r="L47" s="53">
        <f t="shared" si="20"/>
        <v>0.4</v>
      </c>
      <c r="M47" s="53">
        <f t="shared" si="20"/>
        <v>0.04</v>
      </c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7"/>
      <c r="AF47" s="53">
        <v>3.9807843137254904</v>
      </c>
      <c r="AG47" s="207"/>
      <c r="AH47" s="211"/>
      <c r="AI47" s="211"/>
      <c r="AJ47" s="211"/>
      <c r="AK47" s="211"/>
      <c r="AL47" s="211"/>
      <c r="AM47" s="211"/>
      <c r="AN47" s="211"/>
      <c r="AO47" s="211"/>
      <c r="AP47" s="207"/>
      <c r="AQ47" s="211"/>
      <c r="AR47" s="211"/>
      <c r="AS47" s="53">
        <f t="shared" ref="AS47:AY47" si="21">$AF47*AS14</f>
        <v>0.5573098039</v>
      </c>
      <c r="AT47" s="53">
        <f t="shared" si="21"/>
        <v>1.313658824</v>
      </c>
      <c r="AU47" s="53">
        <f t="shared" si="21"/>
        <v>0.9951960784</v>
      </c>
      <c r="AV47" s="53">
        <f t="shared" si="21"/>
        <v>0.5971176471</v>
      </c>
      <c r="AW47" s="53">
        <f t="shared" si="21"/>
        <v>0.278654902</v>
      </c>
      <c r="AX47" s="53">
        <f t="shared" si="21"/>
        <v>0.1592313725</v>
      </c>
      <c r="AY47" s="53">
        <f t="shared" si="21"/>
        <v>0.07961568627</v>
      </c>
      <c r="AZ47" s="211"/>
      <c r="BA47" s="211"/>
      <c r="BB47" s="211"/>
      <c r="BC47" s="211"/>
      <c r="BD47" s="211"/>
      <c r="BE47" s="211"/>
      <c r="BF47" s="211"/>
      <c r="BG47" s="211"/>
      <c r="BH47" s="211"/>
      <c r="BI47" s="211"/>
      <c r="BJ47" s="211"/>
      <c r="BK47" s="211"/>
      <c r="BL47" s="211"/>
    </row>
    <row r="48" ht="15.75" customHeight="1">
      <c r="A48" s="209" t="s">
        <v>64</v>
      </c>
      <c r="B48" s="213">
        <v>10.0</v>
      </c>
      <c r="C48" s="214">
        <v>0.4</v>
      </c>
      <c r="D48" s="205"/>
      <c r="E48" s="205"/>
      <c r="F48" s="205"/>
      <c r="G48" s="205"/>
      <c r="H48" s="205"/>
      <c r="I48" s="205"/>
      <c r="J48" s="211"/>
      <c r="K48" s="211"/>
      <c r="L48" s="53">
        <f t="shared" ref="L48:N48" si="22">$B48*L15*$C48</f>
        <v>3.560784314</v>
      </c>
      <c r="M48" s="53">
        <f t="shared" si="22"/>
        <v>0.4</v>
      </c>
      <c r="N48" s="53">
        <f t="shared" si="22"/>
        <v>0.04</v>
      </c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7"/>
      <c r="AF48" s="53">
        <v>4.00078431372549</v>
      </c>
      <c r="AG48" s="207"/>
      <c r="AH48" s="211"/>
      <c r="AI48" s="211"/>
      <c r="AJ48" s="211"/>
      <c r="AK48" s="211"/>
      <c r="AL48" s="211"/>
      <c r="AM48" s="211"/>
      <c r="AN48" s="211"/>
      <c r="AO48" s="211"/>
      <c r="AP48" s="207"/>
      <c r="AQ48" s="211"/>
      <c r="AR48" s="211"/>
      <c r="AS48" s="211"/>
      <c r="AT48" s="53">
        <f t="shared" ref="AT48:AZ48" si="23">$AF48*AT15</f>
        <v>0.5601098039</v>
      </c>
      <c r="AU48" s="53">
        <f t="shared" si="23"/>
        <v>1.320258824</v>
      </c>
      <c r="AV48" s="53">
        <f t="shared" si="23"/>
        <v>1.000196078</v>
      </c>
      <c r="AW48" s="53">
        <f t="shared" si="23"/>
        <v>0.6001176471</v>
      </c>
      <c r="AX48" s="53">
        <f t="shared" si="23"/>
        <v>0.280054902</v>
      </c>
      <c r="AY48" s="53">
        <f t="shared" si="23"/>
        <v>0.1600313725</v>
      </c>
      <c r="AZ48" s="53">
        <f t="shared" si="23"/>
        <v>0.08001568627</v>
      </c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</row>
    <row r="49" ht="15.75" customHeight="1">
      <c r="A49" s="209" t="s">
        <v>65</v>
      </c>
      <c r="B49" s="213">
        <v>10.0</v>
      </c>
      <c r="C49" s="214">
        <v>0.4</v>
      </c>
      <c r="D49" s="205"/>
      <c r="E49" s="205"/>
      <c r="F49" s="205"/>
      <c r="G49" s="205"/>
      <c r="H49" s="205"/>
      <c r="I49" s="205"/>
      <c r="J49" s="211"/>
      <c r="K49" s="211"/>
      <c r="L49" s="211"/>
      <c r="M49" s="53">
        <f t="shared" ref="M49:O49" si="24">$B49*M16*$C49</f>
        <v>3.560784314</v>
      </c>
      <c r="N49" s="53">
        <f t="shared" si="24"/>
        <v>0.4</v>
      </c>
      <c r="O49" s="53">
        <f t="shared" si="24"/>
        <v>0.04</v>
      </c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7"/>
      <c r="AF49" s="53">
        <v>4.00078431372549</v>
      </c>
      <c r="AG49" s="207"/>
      <c r="AH49" s="211"/>
      <c r="AI49" s="211"/>
      <c r="AJ49" s="211"/>
      <c r="AK49" s="211"/>
      <c r="AL49" s="211"/>
      <c r="AM49" s="211"/>
      <c r="AN49" s="211"/>
      <c r="AO49" s="211"/>
      <c r="AP49" s="207"/>
      <c r="AQ49" s="211"/>
      <c r="AR49" s="211"/>
      <c r="AS49" s="211"/>
      <c r="AT49" s="211"/>
      <c r="AU49" s="53">
        <f t="shared" ref="AU49:BA49" si="25">$AF49*AU16</f>
        <v>0.5601098039</v>
      </c>
      <c r="AV49" s="53">
        <f t="shared" si="25"/>
        <v>1.320258824</v>
      </c>
      <c r="AW49" s="53">
        <f t="shared" si="25"/>
        <v>1.000196078</v>
      </c>
      <c r="AX49" s="53">
        <f t="shared" si="25"/>
        <v>0.6001176471</v>
      </c>
      <c r="AY49" s="53">
        <f t="shared" si="25"/>
        <v>0.280054902</v>
      </c>
      <c r="AZ49" s="53">
        <f t="shared" si="25"/>
        <v>0.1600313725</v>
      </c>
      <c r="BA49" s="53">
        <f t="shared" si="25"/>
        <v>0.08001568627</v>
      </c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</row>
    <row r="50" ht="15.75" customHeight="1">
      <c r="A50" s="209" t="s">
        <v>66</v>
      </c>
      <c r="B50" s="213">
        <v>20.0</v>
      </c>
      <c r="C50" s="214">
        <v>0.4</v>
      </c>
      <c r="D50" s="205"/>
      <c r="E50" s="205"/>
      <c r="F50" s="205"/>
      <c r="G50" s="205"/>
      <c r="H50" s="205"/>
      <c r="I50" s="205"/>
      <c r="J50" s="211"/>
      <c r="K50" s="211"/>
      <c r="L50" s="211"/>
      <c r="M50" s="211"/>
      <c r="N50" s="53">
        <f t="shared" ref="N50:P50" si="26">$B50*N17*$C50</f>
        <v>7.12</v>
      </c>
      <c r="O50" s="53">
        <f t="shared" si="26"/>
        <v>0.8</v>
      </c>
      <c r="P50" s="53">
        <f t="shared" si="26"/>
        <v>0.08</v>
      </c>
      <c r="Q50" s="211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7"/>
      <c r="AF50" s="53">
        <v>7.560000000000001</v>
      </c>
      <c r="AG50" s="207"/>
      <c r="AH50" s="211"/>
      <c r="AI50" s="211"/>
      <c r="AJ50" s="211"/>
      <c r="AK50" s="211"/>
      <c r="AL50" s="211"/>
      <c r="AM50" s="211"/>
      <c r="AN50" s="211"/>
      <c r="AO50" s="211"/>
      <c r="AP50" s="207"/>
      <c r="AQ50" s="211"/>
      <c r="AR50" s="211"/>
      <c r="AS50" s="211"/>
      <c r="AT50" s="211"/>
      <c r="AU50" s="211"/>
      <c r="AV50" s="53">
        <f t="shared" ref="AV50:BB50" si="27">$AF50*AV17</f>
        <v>1.0584</v>
      </c>
      <c r="AW50" s="53">
        <f t="shared" si="27"/>
        <v>2.4948</v>
      </c>
      <c r="AX50" s="53">
        <f t="shared" si="27"/>
        <v>1.89</v>
      </c>
      <c r="AY50" s="53">
        <f t="shared" si="27"/>
        <v>1.134</v>
      </c>
      <c r="AZ50" s="53">
        <f t="shared" si="27"/>
        <v>0.5292</v>
      </c>
      <c r="BA50" s="53">
        <f t="shared" si="27"/>
        <v>0.3024</v>
      </c>
      <c r="BB50" s="53">
        <f t="shared" si="27"/>
        <v>0.1512</v>
      </c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</row>
    <row r="51" ht="15.75" customHeight="1">
      <c r="A51" s="209" t="s">
        <v>67</v>
      </c>
      <c r="B51" s="213">
        <v>26.0</v>
      </c>
      <c r="C51" s="214">
        <v>0.4</v>
      </c>
      <c r="D51" s="205"/>
      <c r="E51" s="205"/>
      <c r="F51" s="205"/>
      <c r="G51" s="205"/>
      <c r="H51" s="205"/>
      <c r="I51" s="205"/>
      <c r="J51" s="211"/>
      <c r="K51" s="211"/>
      <c r="L51" s="211"/>
      <c r="M51" s="211"/>
      <c r="N51" s="211"/>
      <c r="O51" s="53">
        <f t="shared" ref="O51:Q51" si="28">$B51*O18*$C51</f>
        <v>9.256</v>
      </c>
      <c r="P51" s="53">
        <f t="shared" si="28"/>
        <v>1.04</v>
      </c>
      <c r="Q51" s="53">
        <f t="shared" si="28"/>
        <v>0.104</v>
      </c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7"/>
      <c r="AF51" s="53">
        <v>10.096</v>
      </c>
      <c r="AG51" s="207"/>
      <c r="AH51" s="211"/>
      <c r="AI51" s="211"/>
      <c r="AJ51" s="211"/>
      <c r="AK51" s="211"/>
      <c r="AL51" s="211"/>
      <c r="AM51" s="211"/>
      <c r="AN51" s="211"/>
      <c r="AO51" s="211"/>
      <c r="AP51" s="207"/>
      <c r="AQ51" s="211"/>
      <c r="AR51" s="211"/>
      <c r="AS51" s="211"/>
      <c r="AT51" s="211"/>
      <c r="AU51" s="211"/>
      <c r="AV51" s="211"/>
      <c r="AW51" s="53">
        <f t="shared" ref="AW51:BC51" si="29">$AF51*AW18</f>
        <v>1.41344</v>
      </c>
      <c r="AX51" s="53">
        <f t="shared" si="29"/>
        <v>3.33168</v>
      </c>
      <c r="AY51" s="53">
        <f t="shared" si="29"/>
        <v>2.524</v>
      </c>
      <c r="AZ51" s="53">
        <f t="shared" si="29"/>
        <v>1.5144</v>
      </c>
      <c r="BA51" s="53">
        <f t="shared" si="29"/>
        <v>0.70672</v>
      </c>
      <c r="BB51" s="53">
        <f t="shared" si="29"/>
        <v>0.40384</v>
      </c>
      <c r="BC51" s="53">
        <f t="shared" si="29"/>
        <v>0.20192</v>
      </c>
      <c r="BD51" s="211"/>
      <c r="BE51" s="211"/>
      <c r="BF51" s="211"/>
      <c r="BG51" s="211"/>
      <c r="BH51" s="211"/>
      <c r="BI51" s="211"/>
      <c r="BJ51" s="211"/>
      <c r="BK51" s="211"/>
      <c r="BL51" s="211"/>
    </row>
    <row r="52" ht="15.75" customHeight="1">
      <c r="A52" s="209" t="s">
        <v>68</v>
      </c>
      <c r="B52" s="213">
        <v>23.0</v>
      </c>
      <c r="C52" s="214">
        <v>0.4</v>
      </c>
      <c r="D52" s="205"/>
      <c r="E52" s="205"/>
      <c r="F52" s="205"/>
      <c r="G52" s="205"/>
      <c r="H52" s="205"/>
      <c r="I52" s="205"/>
      <c r="J52" s="211"/>
      <c r="K52" s="211"/>
      <c r="L52" s="211"/>
      <c r="M52" s="211"/>
      <c r="N52" s="211"/>
      <c r="O52" s="211"/>
      <c r="P52" s="53">
        <f t="shared" ref="P52:R52" si="30">$B52*P19*$C52</f>
        <v>8.188</v>
      </c>
      <c r="Q52" s="53">
        <f t="shared" si="30"/>
        <v>0.92</v>
      </c>
      <c r="R52" s="53">
        <f t="shared" si="30"/>
        <v>0.092</v>
      </c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7"/>
      <c r="AF52" s="53">
        <v>9.308</v>
      </c>
      <c r="AG52" s="211"/>
      <c r="AH52" s="211"/>
      <c r="AI52" s="211"/>
      <c r="AJ52" s="211"/>
      <c r="AK52" s="211"/>
      <c r="AL52" s="211"/>
      <c r="AM52" s="211"/>
      <c r="AN52" s="211"/>
      <c r="AO52" s="211"/>
      <c r="AP52" s="207"/>
      <c r="AQ52" s="211"/>
      <c r="AR52" s="211"/>
      <c r="AS52" s="211"/>
      <c r="AT52" s="211"/>
      <c r="AU52" s="211"/>
      <c r="AV52" s="211"/>
      <c r="AW52" s="211"/>
      <c r="AX52" s="53">
        <f t="shared" ref="AX52:BD52" si="31">$AF52*AX19</f>
        <v>1.30312</v>
      </c>
      <c r="AY52" s="53">
        <f t="shared" si="31"/>
        <v>3.07164</v>
      </c>
      <c r="AZ52" s="53">
        <f t="shared" si="31"/>
        <v>2.327</v>
      </c>
      <c r="BA52" s="53">
        <f t="shared" si="31"/>
        <v>1.3962</v>
      </c>
      <c r="BB52" s="53">
        <f t="shared" si="31"/>
        <v>0.65156</v>
      </c>
      <c r="BC52" s="53">
        <f t="shared" si="31"/>
        <v>0.37232</v>
      </c>
      <c r="BD52" s="53">
        <f t="shared" si="31"/>
        <v>0.18616</v>
      </c>
      <c r="BE52" s="211"/>
      <c r="BF52" s="211"/>
      <c r="BG52" s="211"/>
      <c r="BH52" s="211"/>
      <c r="BI52" s="211"/>
      <c r="BJ52" s="211"/>
      <c r="BK52" s="211"/>
      <c r="BL52" s="211"/>
    </row>
    <row r="53" ht="15.75" customHeight="1">
      <c r="A53" s="209" t="s">
        <v>69</v>
      </c>
      <c r="B53" s="213">
        <f>average($B$51:$B$52)</f>
        <v>24.5</v>
      </c>
      <c r="C53" s="214">
        <v>0.4</v>
      </c>
      <c r="D53" s="205"/>
      <c r="E53" s="205"/>
      <c r="F53" s="205"/>
      <c r="G53" s="205"/>
      <c r="H53" s="205"/>
      <c r="I53" s="205"/>
      <c r="J53" s="211"/>
      <c r="K53" s="211"/>
      <c r="L53" s="211"/>
      <c r="M53" s="211"/>
      <c r="N53" s="211"/>
      <c r="O53" s="211"/>
      <c r="P53" s="211"/>
      <c r="Q53" s="53">
        <f t="shared" ref="Q53:S53" si="32">$B53*Q20*$C53</f>
        <v>8.722</v>
      </c>
      <c r="R53" s="53">
        <f t="shared" si="32"/>
        <v>0.98</v>
      </c>
      <c r="S53" s="53">
        <f t="shared" si="32"/>
        <v>0.098</v>
      </c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7"/>
      <c r="AF53" s="53">
        <v>9.746</v>
      </c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53">
        <f t="shared" ref="AY53:BE53" si="33">$AF53*AY20</f>
        <v>1.36444</v>
      </c>
      <c r="AZ53" s="53">
        <f t="shared" si="33"/>
        <v>3.21618</v>
      </c>
      <c r="BA53" s="53">
        <f t="shared" si="33"/>
        <v>2.4365</v>
      </c>
      <c r="BB53" s="53">
        <f t="shared" si="33"/>
        <v>1.4619</v>
      </c>
      <c r="BC53" s="53">
        <f t="shared" si="33"/>
        <v>0.68222</v>
      </c>
      <c r="BD53" s="53">
        <f t="shared" si="33"/>
        <v>0.38984</v>
      </c>
      <c r="BE53" s="53">
        <f t="shared" si="33"/>
        <v>0.19492</v>
      </c>
      <c r="BF53" s="211"/>
      <c r="BG53" s="211"/>
      <c r="BH53" s="211"/>
      <c r="BI53" s="211"/>
      <c r="BJ53" s="211"/>
      <c r="BK53" s="211"/>
      <c r="BL53" s="211"/>
    </row>
    <row r="54" ht="15.75" customHeight="1">
      <c r="A54" s="218" t="s">
        <v>70</v>
      </c>
      <c r="B54" s="213">
        <f t="shared" ref="B54:B55" si="36">average($B$51:$B$52)*1.3</f>
        <v>31.85</v>
      </c>
      <c r="C54" s="214">
        <v>0.45</v>
      </c>
      <c r="D54" s="205"/>
      <c r="E54" s="205"/>
      <c r="F54" s="205"/>
      <c r="G54" s="205"/>
      <c r="H54" s="205"/>
      <c r="I54" s="205"/>
      <c r="J54" s="211"/>
      <c r="K54" s="211"/>
      <c r="L54" s="211"/>
      <c r="M54" s="211"/>
      <c r="N54" s="211"/>
      <c r="O54" s="211"/>
      <c r="P54" s="211"/>
      <c r="Q54" s="211"/>
      <c r="R54" s="53">
        <f t="shared" ref="R54:T54" si="34">$B54*R21*$C54</f>
        <v>12.755925</v>
      </c>
      <c r="S54" s="53">
        <f t="shared" si="34"/>
        <v>1.43325</v>
      </c>
      <c r="T54" s="53">
        <f t="shared" si="34"/>
        <v>0.143325</v>
      </c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7"/>
      <c r="AF54" s="53">
        <v>13.827925</v>
      </c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53">
        <f t="shared" ref="AZ54:BF54" si="35">$AF54*AZ21</f>
        <v>1.9359095</v>
      </c>
      <c r="BA54" s="53">
        <f t="shared" si="35"/>
        <v>4.56321525</v>
      </c>
      <c r="BB54" s="53">
        <f t="shared" si="35"/>
        <v>3.45698125</v>
      </c>
      <c r="BC54" s="53">
        <f t="shared" si="35"/>
        <v>2.07418875</v>
      </c>
      <c r="BD54" s="53">
        <f t="shared" si="35"/>
        <v>0.96795475</v>
      </c>
      <c r="BE54" s="53">
        <f t="shared" si="35"/>
        <v>0.553117</v>
      </c>
      <c r="BF54" s="53">
        <f t="shared" si="35"/>
        <v>0.2765585</v>
      </c>
      <c r="BG54" s="211"/>
      <c r="BH54" s="211"/>
      <c r="BI54" s="211"/>
      <c r="BJ54" s="211"/>
      <c r="BK54" s="211"/>
      <c r="BL54" s="211"/>
    </row>
    <row r="55" ht="15.75" customHeight="1">
      <c r="A55" s="209" t="s">
        <v>71</v>
      </c>
      <c r="B55" s="213">
        <f t="shared" si="36"/>
        <v>31.85</v>
      </c>
      <c r="C55" s="214">
        <v>0.45</v>
      </c>
      <c r="D55" s="205"/>
      <c r="E55" s="205"/>
      <c r="F55" s="205"/>
      <c r="G55" s="205"/>
      <c r="H55" s="205"/>
      <c r="I55" s="205"/>
      <c r="J55" s="211"/>
      <c r="K55" s="211"/>
      <c r="L55" s="211"/>
      <c r="M55" s="211"/>
      <c r="N55" s="211"/>
      <c r="O55" s="211"/>
      <c r="P55" s="211"/>
      <c r="Q55" s="211"/>
      <c r="R55" s="211"/>
      <c r="S55" s="53">
        <f t="shared" ref="S55:U55" si="37">$B55*S22*$C55</f>
        <v>12.75873529</v>
      </c>
      <c r="T55" s="53">
        <f t="shared" si="37"/>
        <v>1.43325</v>
      </c>
      <c r="U55" s="53">
        <f t="shared" si="37"/>
        <v>0.143325</v>
      </c>
      <c r="V55" s="211"/>
      <c r="W55" s="211"/>
      <c r="X55" s="211"/>
      <c r="Y55" s="211"/>
      <c r="Z55" s="211"/>
      <c r="AA55" s="211"/>
      <c r="AB55" s="211"/>
      <c r="AC55" s="211"/>
      <c r="AD55" s="211"/>
      <c r="AE55" s="217"/>
      <c r="AF55" s="53">
        <v>14.289985294117647</v>
      </c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07"/>
      <c r="AZ55" s="211"/>
      <c r="BA55" s="53">
        <f t="shared" ref="BA55:BG55" si="38">$AF55*BA22</f>
        <v>2.000597941</v>
      </c>
      <c r="BB55" s="53">
        <f t="shared" si="38"/>
        <v>4.715695147</v>
      </c>
      <c r="BC55" s="53">
        <f t="shared" si="38"/>
        <v>3.572496324</v>
      </c>
      <c r="BD55" s="53">
        <f t="shared" si="38"/>
        <v>2.143497794</v>
      </c>
      <c r="BE55" s="53">
        <f t="shared" si="38"/>
        <v>1.000298971</v>
      </c>
      <c r="BF55" s="53">
        <f t="shared" si="38"/>
        <v>0.5715994118</v>
      </c>
      <c r="BG55" s="53">
        <f t="shared" si="38"/>
        <v>0.2857997059</v>
      </c>
      <c r="BH55" s="211"/>
      <c r="BI55" s="211"/>
      <c r="BJ55" s="211"/>
      <c r="BK55" s="211"/>
      <c r="BL55" s="211"/>
    </row>
    <row r="56" ht="15.75" customHeight="1">
      <c r="A56" s="209" t="s">
        <v>72</v>
      </c>
      <c r="B56" s="213">
        <f t="shared" ref="B56:B57" si="41">average($B$51:$B$52)*1.5</f>
        <v>36.75</v>
      </c>
      <c r="C56" s="214">
        <v>0.45</v>
      </c>
      <c r="D56" s="205"/>
      <c r="E56" s="205"/>
      <c r="F56" s="205"/>
      <c r="G56" s="205"/>
      <c r="H56" s="205"/>
      <c r="I56" s="205"/>
      <c r="J56" s="211"/>
      <c r="K56" s="211"/>
      <c r="L56" s="211"/>
      <c r="M56" s="211"/>
      <c r="N56" s="211"/>
      <c r="O56" s="211"/>
      <c r="P56" s="211"/>
      <c r="Q56" s="211"/>
      <c r="R56" s="211"/>
      <c r="S56" s="205"/>
      <c r="T56" s="53">
        <f t="shared" ref="T56:V56" si="39">$B56*T23*$C56</f>
        <v>14.72161765</v>
      </c>
      <c r="U56" s="53">
        <f t="shared" si="39"/>
        <v>1.65375</v>
      </c>
      <c r="V56" s="53">
        <f t="shared" si="39"/>
        <v>0.165375</v>
      </c>
      <c r="W56" s="211"/>
      <c r="X56" s="211"/>
      <c r="Y56" s="211"/>
      <c r="Z56" s="211"/>
      <c r="AA56" s="211"/>
      <c r="AB56" s="211"/>
      <c r="AC56" s="211"/>
      <c r="AD56" s="211"/>
      <c r="AE56" s="217"/>
      <c r="AF56" s="53">
        <v>16.298192647058823</v>
      </c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07"/>
      <c r="AZ56" s="211"/>
      <c r="BA56" s="211"/>
      <c r="BB56" s="53">
        <f t="shared" ref="BB56:BH56" si="40">$AF56*BB23</f>
        <v>2.281746971</v>
      </c>
      <c r="BC56" s="53">
        <f t="shared" si="40"/>
        <v>5.378403574</v>
      </c>
      <c r="BD56" s="53">
        <f t="shared" si="40"/>
        <v>4.074548162</v>
      </c>
      <c r="BE56" s="53">
        <f t="shared" si="40"/>
        <v>2.444728897</v>
      </c>
      <c r="BF56" s="53">
        <f t="shared" si="40"/>
        <v>1.140873485</v>
      </c>
      <c r="BG56" s="53">
        <f t="shared" si="40"/>
        <v>0.6519277059</v>
      </c>
      <c r="BH56" s="53">
        <f t="shared" si="40"/>
        <v>0.3259638529</v>
      </c>
      <c r="BI56" s="211"/>
      <c r="BJ56" s="211"/>
      <c r="BK56" s="211"/>
      <c r="BL56" s="211"/>
    </row>
    <row r="57" ht="15.75" customHeight="1">
      <c r="A57" s="209" t="s">
        <v>73</v>
      </c>
      <c r="B57" s="213">
        <f t="shared" si="41"/>
        <v>36.75</v>
      </c>
      <c r="C57" s="214">
        <v>0.45</v>
      </c>
      <c r="D57" s="205"/>
      <c r="E57" s="205"/>
      <c r="F57" s="205"/>
      <c r="G57" s="205"/>
      <c r="H57" s="205"/>
      <c r="I57" s="205"/>
      <c r="J57" s="211"/>
      <c r="K57" s="211"/>
      <c r="L57" s="211"/>
      <c r="M57" s="211"/>
      <c r="N57" s="211"/>
      <c r="O57" s="211"/>
      <c r="P57" s="211"/>
      <c r="Q57" s="211"/>
      <c r="R57" s="211"/>
      <c r="S57" s="205"/>
      <c r="T57" s="205"/>
      <c r="U57" s="53">
        <f t="shared" ref="U57:W57" si="42">$B57*U24*$C57</f>
        <v>14.72161765</v>
      </c>
      <c r="V57" s="53">
        <f t="shared" si="42"/>
        <v>1.65375</v>
      </c>
      <c r="W57" s="53">
        <f t="shared" si="42"/>
        <v>0.165375</v>
      </c>
      <c r="X57" s="211"/>
      <c r="Y57" s="211"/>
      <c r="Z57" s="211"/>
      <c r="AA57" s="211"/>
      <c r="AB57" s="211"/>
      <c r="AC57" s="211"/>
      <c r="AD57" s="211"/>
      <c r="AE57" s="217"/>
      <c r="AF57" s="53">
        <v>16.518692647058824</v>
      </c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07"/>
      <c r="AZ57" s="211"/>
      <c r="BA57" s="211"/>
      <c r="BB57" s="211"/>
      <c r="BC57" s="53">
        <f t="shared" ref="BC57:BI57" si="43">$AF57*BC24</f>
        <v>2.312616971</v>
      </c>
      <c r="BD57" s="53">
        <f t="shared" si="43"/>
        <v>5.451168574</v>
      </c>
      <c r="BE57" s="53">
        <f t="shared" si="43"/>
        <v>4.129673162</v>
      </c>
      <c r="BF57" s="53">
        <f t="shared" si="43"/>
        <v>2.477803897</v>
      </c>
      <c r="BG57" s="53">
        <f t="shared" si="43"/>
        <v>1.156308485</v>
      </c>
      <c r="BH57" s="53">
        <f t="shared" si="43"/>
        <v>0.6607477059</v>
      </c>
      <c r="BI57" s="53">
        <f t="shared" si="43"/>
        <v>0.3303738529</v>
      </c>
      <c r="BJ57" s="211"/>
      <c r="BK57" s="211"/>
      <c r="BL57" s="211"/>
    </row>
    <row r="58" ht="15.75" customHeight="1">
      <c r="A58" s="209" t="s">
        <v>74</v>
      </c>
      <c r="B58" s="213">
        <f t="shared" ref="B58:B66" si="46">average($B$51:$B$52)*1.7</f>
        <v>41.65</v>
      </c>
      <c r="C58" s="214">
        <v>0.45</v>
      </c>
      <c r="D58" s="205"/>
      <c r="E58" s="205"/>
      <c r="F58" s="205"/>
      <c r="G58" s="205"/>
      <c r="H58" s="205"/>
      <c r="I58" s="205"/>
      <c r="J58" s="211"/>
      <c r="K58" s="211"/>
      <c r="L58" s="211"/>
      <c r="M58" s="211"/>
      <c r="N58" s="211"/>
      <c r="O58" s="211"/>
      <c r="P58" s="211"/>
      <c r="Q58" s="211"/>
      <c r="R58" s="211"/>
      <c r="S58" s="205"/>
      <c r="T58" s="205"/>
      <c r="U58" s="205"/>
      <c r="V58" s="53">
        <f t="shared" ref="V58:X58" si="44">$B58*V25*$C58</f>
        <v>16.6845</v>
      </c>
      <c r="W58" s="53">
        <f t="shared" si="44"/>
        <v>1.87425</v>
      </c>
      <c r="X58" s="53">
        <f t="shared" si="44"/>
        <v>0.187425</v>
      </c>
      <c r="Y58" s="211"/>
      <c r="Z58" s="211"/>
      <c r="AA58" s="211"/>
      <c r="AB58" s="211"/>
      <c r="AC58" s="211"/>
      <c r="AD58" s="211"/>
      <c r="AE58" s="217"/>
      <c r="AF58" s="53">
        <v>18.503624999999996</v>
      </c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07"/>
      <c r="AZ58" s="211"/>
      <c r="BA58" s="211"/>
      <c r="BB58" s="211"/>
      <c r="BC58" s="211"/>
      <c r="BD58" s="53">
        <f t="shared" ref="BD58:BJ58" si="45">$AF58*BD25</f>
        <v>2.5905075</v>
      </c>
      <c r="BE58" s="53">
        <f t="shared" si="45"/>
        <v>6.10619625</v>
      </c>
      <c r="BF58" s="53">
        <f t="shared" si="45"/>
        <v>4.62590625</v>
      </c>
      <c r="BG58" s="53">
        <f t="shared" si="45"/>
        <v>2.77554375</v>
      </c>
      <c r="BH58" s="53">
        <f t="shared" si="45"/>
        <v>1.29525375</v>
      </c>
      <c r="BI58" s="53">
        <f t="shared" si="45"/>
        <v>0.740145</v>
      </c>
      <c r="BJ58" s="53">
        <f t="shared" si="45"/>
        <v>0.3700725</v>
      </c>
      <c r="BK58" s="211"/>
      <c r="BL58" s="211"/>
    </row>
    <row r="59" ht="15.75" customHeight="1">
      <c r="A59" s="209" t="s">
        <v>75</v>
      </c>
      <c r="B59" s="213">
        <f t="shared" si="46"/>
        <v>41.65</v>
      </c>
      <c r="C59" s="214">
        <v>0.45</v>
      </c>
      <c r="D59" s="205"/>
      <c r="E59" s="205"/>
      <c r="F59" s="205"/>
      <c r="G59" s="205"/>
      <c r="H59" s="205"/>
      <c r="I59" s="205"/>
      <c r="J59" s="211"/>
      <c r="K59" s="211"/>
      <c r="L59" s="211"/>
      <c r="M59" s="211"/>
      <c r="N59" s="211"/>
      <c r="O59" s="211"/>
      <c r="P59" s="211"/>
      <c r="Q59" s="211"/>
      <c r="R59" s="211"/>
      <c r="S59" s="205"/>
      <c r="T59" s="205"/>
      <c r="U59" s="205"/>
      <c r="V59" s="211"/>
      <c r="W59" s="53">
        <f t="shared" ref="W59:Y59" si="47">$B59*W26*$C59</f>
        <v>16.6845</v>
      </c>
      <c r="X59" s="53">
        <f t="shared" si="47"/>
        <v>1.87425</v>
      </c>
      <c r="Y59" s="53">
        <f t="shared" si="47"/>
        <v>0.187425</v>
      </c>
      <c r="Z59" s="211"/>
      <c r="AA59" s="211"/>
      <c r="AB59" s="211"/>
      <c r="AC59" s="211"/>
      <c r="AD59" s="211"/>
      <c r="AE59" s="217"/>
      <c r="AF59" s="53">
        <v>18.724124999999997</v>
      </c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07"/>
      <c r="AZ59" s="211"/>
      <c r="BA59" s="211"/>
      <c r="BB59" s="211"/>
      <c r="BC59" s="211"/>
      <c r="BD59" s="211"/>
      <c r="BE59" s="53">
        <f t="shared" ref="BE59:BK59" si="48">$AF59*BE26</f>
        <v>2.6213775</v>
      </c>
      <c r="BF59" s="53">
        <f t="shared" si="48"/>
        <v>6.17896125</v>
      </c>
      <c r="BG59" s="53">
        <f t="shared" si="48"/>
        <v>4.68103125</v>
      </c>
      <c r="BH59" s="53">
        <f t="shared" si="48"/>
        <v>2.80861875</v>
      </c>
      <c r="BI59" s="53">
        <f t="shared" si="48"/>
        <v>1.31068875</v>
      </c>
      <c r="BJ59" s="53">
        <f t="shared" si="48"/>
        <v>0.748965</v>
      </c>
      <c r="BK59" s="53">
        <f t="shared" si="48"/>
        <v>0.3744825</v>
      </c>
      <c r="BL59" s="211"/>
    </row>
    <row r="60" ht="15.75" customHeight="1">
      <c r="A60" s="209" t="s">
        <v>76</v>
      </c>
      <c r="B60" s="213">
        <f t="shared" si="46"/>
        <v>41.65</v>
      </c>
      <c r="C60" s="214">
        <v>0.45</v>
      </c>
      <c r="D60" s="205"/>
      <c r="E60" s="205"/>
      <c r="F60" s="205"/>
      <c r="G60" s="205"/>
      <c r="H60" s="205"/>
      <c r="I60" s="205"/>
      <c r="J60" s="211"/>
      <c r="K60" s="211"/>
      <c r="L60" s="211"/>
      <c r="M60" s="211"/>
      <c r="N60" s="211"/>
      <c r="O60" s="211"/>
      <c r="P60" s="211"/>
      <c r="Q60" s="211"/>
      <c r="R60" s="211"/>
      <c r="S60" s="205"/>
      <c r="T60" s="205"/>
      <c r="U60" s="205"/>
      <c r="V60" s="211"/>
      <c r="W60" s="211"/>
      <c r="X60" s="53">
        <f t="shared" ref="X60:Z60" si="49">$B60*X27*$C60</f>
        <v>16.6845</v>
      </c>
      <c r="Y60" s="53">
        <f t="shared" si="49"/>
        <v>1.87425</v>
      </c>
      <c r="Z60" s="53">
        <f t="shared" si="49"/>
        <v>0.187425</v>
      </c>
      <c r="AA60" s="211"/>
      <c r="AB60" s="211"/>
      <c r="AC60" s="211"/>
      <c r="AD60" s="211"/>
      <c r="AE60" s="217"/>
      <c r="AF60" s="53">
        <v>18.746174999999997</v>
      </c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07"/>
      <c r="AZ60" s="211"/>
      <c r="BA60" s="211"/>
      <c r="BB60" s="211"/>
      <c r="BC60" s="211"/>
      <c r="BD60" s="211"/>
      <c r="BE60" s="211"/>
      <c r="BF60" s="53">
        <f t="shared" ref="BF60:BL60" si="50">$AF60*BF27</f>
        <v>2.6244645</v>
      </c>
      <c r="BG60" s="53">
        <f t="shared" si="50"/>
        <v>6.18623775</v>
      </c>
      <c r="BH60" s="53">
        <f t="shared" si="50"/>
        <v>4.68654375</v>
      </c>
      <c r="BI60" s="53">
        <f t="shared" si="50"/>
        <v>2.81192625</v>
      </c>
      <c r="BJ60" s="53">
        <f t="shared" si="50"/>
        <v>1.31223225</v>
      </c>
      <c r="BK60" s="53">
        <f t="shared" si="50"/>
        <v>0.749847</v>
      </c>
      <c r="BL60" s="53">
        <f t="shared" si="50"/>
        <v>0.3749235</v>
      </c>
    </row>
    <row r="61" ht="15.75" customHeight="1">
      <c r="A61" s="209" t="s">
        <v>77</v>
      </c>
      <c r="B61" s="213">
        <f t="shared" si="46"/>
        <v>41.65</v>
      </c>
      <c r="C61" s="214">
        <v>0.45</v>
      </c>
      <c r="D61" s="205"/>
      <c r="E61" s="205"/>
      <c r="F61" s="205"/>
      <c r="G61" s="205"/>
      <c r="H61" s="205"/>
      <c r="I61" s="205"/>
      <c r="J61" s="211"/>
      <c r="K61" s="211"/>
      <c r="L61" s="211"/>
      <c r="M61" s="211"/>
      <c r="N61" s="211"/>
      <c r="O61" s="211"/>
      <c r="P61" s="211"/>
      <c r="Q61" s="211"/>
      <c r="R61" s="211"/>
      <c r="S61" s="205"/>
      <c r="T61" s="205"/>
      <c r="U61" s="205"/>
      <c r="V61" s="211"/>
      <c r="W61" s="211"/>
      <c r="X61" s="211"/>
      <c r="Y61" s="53">
        <f t="shared" ref="Y61:AA61" si="51">$B61*Y28*$C61</f>
        <v>16.6845</v>
      </c>
      <c r="Z61" s="53">
        <f t="shared" si="51"/>
        <v>1.87425</v>
      </c>
      <c r="AA61" s="53">
        <f t="shared" si="51"/>
        <v>0.187425</v>
      </c>
      <c r="AB61" s="211"/>
      <c r="AC61" s="211"/>
      <c r="AD61" s="211"/>
      <c r="AE61" s="217"/>
      <c r="AF61" s="53">
        <v>18.746174999999997</v>
      </c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07"/>
      <c r="AZ61" s="211"/>
      <c r="BA61" s="211"/>
      <c r="BB61" s="211"/>
      <c r="BC61" s="211"/>
      <c r="BD61" s="211"/>
      <c r="BE61" s="211"/>
      <c r="BF61" s="211"/>
      <c r="BG61" s="53">
        <f t="shared" ref="BG61:BL61" si="52">$AF61*BG28</f>
        <v>2.6244645</v>
      </c>
      <c r="BH61" s="53">
        <f t="shared" si="52"/>
        <v>6.18623775</v>
      </c>
      <c r="BI61" s="53">
        <f t="shared" si="52"/>
        <v>4.68654375</v>
      </c>
      <c r="BJ61" s="53">
        <f t="shared" si="52"/>
        <v>2.81192625</v>
      </c>
      <c r="BK61" s="53">
        <f t="shared" si="52"/>
        <v>1.31223225</v>
      </c>
      <c r="BL61" s="53">
        <f t="shared" si="52"/>
        <v>0.749847</v>
      </c>
    </row>
    <row r="62" ht="15.75" customHeight="1">
      <c r="A62" s="209" t="s">
        <v>78</v>
      </c>
      <c r="B62" s="213">
        <f t="shared" si="46"/>
        <v>41.65</v>
      </c>
      <c r="C62" s="214">
        <v>0.45</v>
      </c>
      <c r="D62" s="205"/>
      <c r="E62" s="205"/>
      <c r="F62" s="205"/>
      <c r="G62" s="205"/>
      <c r="H62" s="205"/>
      <c r="I62" s="205"/>
      <c r="J62" s="211"/>
      <c r="K62" s="211"/>
      <c r="L62" s="211"/>
      <c r="M62" s="211"/>
      <c r="N62" s="211"/>
      <c r="O62" s="211"/>
      <c r="P62" s="211"/>
      <c r="Q62" s="211"/>
      <c r="R62" s="211"/>
      <c r="S62" s="205"/>
      <c r="T62" s="205"/>
      <c r="U62" s="205"/>
      <c r="V62" s="211"/>
      <c r="W62" s="211"/>
      <c r="X62" s="211"/>
      <c r="Y62" s="211"/>
      <c r="Z62" s="53">
        <f t="shared" ref="Z62:AB62" si="53">$B62*Z29*$C62</f>
        <v>16.680825</v>
      </c>
      <c r="AA62" s="53">
        <f t="shared" si="53"/>
        <v>1.87425</v>
      </c>
      <c r="AB62" s="53">
        <f t="shared" si="53"/>
        <v>0.187425</v>
      </c>
      <c r="AC62" s="211"/>
      <c r="AD62" s="211"/>
      <c r="AE62" s="217"/>
      <c r="AF62" s="53">
        <v>18.742500000000003</v>
      </c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53">
        <f t="shared" ref="BH62:BL62" si="54">$AF62*BH29</f>
        <v>2.62395</v>
      </c>
      <c r="BI62" s="53">
        <f t="shared" si="54"/>
        <v>6.185025</v>
      </c>
      <c r="BJ62" s="53">
        <f t="shared" si="54"/>
        <v>4.685625</v>
      </c>
      <c r="BK62" s="53">
        <f t="shared" si="54"/>
        <v>2.811375</v>
      </c>
      <c r="BL62" s="53">
        <f t="shared" si="54"/>
        <v>1.311975</v>
      </c>
    </row>
    <row r="63" ht="15.75" customHeight="1">
      <c r="A63" s="209" t="s">
        <v>79</v>
      </c>
      <c r="B63" s="213">
        <f t="shared" si="46"/>
        <v>41.65</v>
      </c>
      <c r="C63" s="214">
        <v>0.45</v>
      </c>
      <c r="D63" s="205"/>
      <c r="E63" s="205"/>
      <c r="F63" s="205"/>
      <c r="G63" s="205"/>
      <c r="H63" s="205"/>
      <c r="I63" s="205"/>
      <c r="J63" s="211"/>
      <c r="K63" s="211"/>
      <c r="L63" s="211"/>
      <c r="M63" s="211"/>
      <c r="N63" s="211"/>
      <c r="O63" s="211"/>
      <c r="P63" s="211"/>
      <c r="Q63" s="211"/>
      <c r="R63" s="211"/>
      <c r="S63" s="205"/>
      <c r="T63" s="205"/>
      <c r="U63" s="205"/>
      <c r="V63" s="211"/>
      <c r="W63" s="211"/>
      <c r="X63" s="211"/>
      <c r="Y63" s="211"/>
      <c r="Z63" s="211"/>
      <c r="AA63" s="53">
        <f t="shared" ref="AA63:AC63" si="55">$B63*AA30*$C63</f>
        <v>16.680825</v>
      </c>
      <c r="AB63" s="53">
        <f t="shared" si="55"/>
        <v>1.87425</v>
      </c>
      <c r="AC63" s="53">
        <f t="shared" si="55"/>
        <v>0.187425</v>
      </c>
      <c r="AD63" s="211"/>
      <c r="AE63" s="217"/>
      <c r="AF63" s="53">
        <v>18.742500000000003</v>
      </c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53">
        <f t="shared" ref="BI63:BL63" si="56">$AF63*BI30</f>
        <v>2.62395</v>
      </c>
      <c r="BJ63" s="53">
        <f t="shared" si="56"/>
        <v>6.185025</v>
      </c>
      <c r="BK63" s="53">
        <f t="shared" si="56"/>
        <v>4.685625</v>
      </c>
      <c r="BL63" s="53">
        <f t="shared" si="56"/>
        <v>2.811375</v>
      </c>
    </row>
    <row r="64" ht="15.75" customHeight="1">
      <c r="A64" s="209" t="s">
        <v>80</v>
      </c>
      <c r="B64" s="213">
        <f t="shared" si="46"/>
        <v>41.65</v>
      </c>
      <c r="C64" s="214">
        <v>0.45</v>
      </c>
      <c r="D64" s="205"/>
      <c r="E64" s="205"/>
      <c r="F64" s="205"/>
      <c r="G64" s="205"/>
      <c r="H64" s="205"/>
      <c r="I64" s="205"/>
      <c r="J64" s="211"/>
      <c r="K64" s="211"/>
      <c r="L64" s="211"/>
      <c r="M64" s="211"/>
      <c r="N64" s="211"/>
      <c r="O64" s="211"/>
      <c r="P64" s="211"/>
      <c r="Q64" s="211"/>
      <c r="R64" s="211"/>
      <c r="S64" s="205"/>
      <c r="T64" s="205"/>
      <c r="U64" s="205"/>
      <c r="V64" s="211"/>
      <c r="W64" s="211"/>
      <c r="X64" s="211"/>
      <c r="Y64" s="211"/>
      <c r="Z64" s="211"/>
      <c r="AA64" s="211"/>
      <c r="AB64" s="53">
        <f t="shared" ref="AB64:AD64" si="57">$B64*AB31*$C64</f>
        <v>16.680825</v>
      </c>
      <c r="AC64" s="53">
        <f t="shared" si="57"/>
        <v>1.87425</v>
      </c>
      <c r="AD64" s="53">
        <f t="shared" si="57"/>
        <v>0.187425</v>
      </c>
      <c r="AE64" s="217"/>
      <c r="AF64" s="53">
        <v>18.742500000000003</v>
      </c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/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53">
        <f t="shared" ref="BJ64:BL64" si="58">$AF64*BJ31</f>
        <v>2.62395</v>
      </c>
      <c r="BK64" s="53">
        <f t="shared" si="58"/>
        <v>6.185025</v>
      </c>
      <c r="BL64" s="53">
        <f t="shared" si="58"/>
        <v>4.685625</v>
      </c>
    </row>
    <row r="65" ht="15.75" customHeight="1">
      <c r="A65" s="209" t="s">
        <v>81</v>
      </c>
      <c r="B65" s="213">
        <f t="shared" si="46"/>
        <v>41.65</v>
      </c>
      <c r="C65" s="214">
        <v>0.45</v>
      </c>
      <c r="D65" s="205"/>
      <c r="E65" s="205"/>
      <c r="F65" s="205"/>
      <c r="G65" s="205"/>
      <c r="H65" s="205"/>
      <c r="I65" s="205"/>
      <c r="J65" s="211"/>
      <c r="K65" s="211"/>
      <c r="L65" s="211"/>
      <c r="M65" s="211"/>
      <c r="N65" s="211"/>
      <c r="O65" s="211"/>
      <c r="P65" s="211"/>
      <c r="Q65" s="211"/>
      <c r="R65" s="211"/>
      <c r="S65" s="205"/>
      <c r="T65" s="205"/>
      <c r="U65" s="205"/>
      <c r="V65" s="211"/>
      <c r="W65" s="211"/>
      <c r="X65" s="211"/>
      <c r="Y65" s="211"/>
      <c r="Z65" s="211"/>
      <c r="AA65" s="211"/>
      <c r="AB65" s="211"/>
      <c r="AC65" s="53">
        <f t="shared" ref="AC65:AD65" si="59">$B65*AC32*$C65</f>
        <v>16.680825</v>
      </c>
      <c r="AD65" s="53">
        <f t="shared" si="59"/>
        <v>1.87425</v>
      </c>
      <c r="AE65" s="217"/>
      <c r="AF65" s="53">
        <v>18.742500000000003</v>
      </c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53">
        <f t="shared" ref="BK65:BL65" si="60">$AF65*BK32</f>
        <v>2.62395</v>
      </c>
      <c r="BL65" s="53">
        <f t="shared" si="60"/>
        <v>6.185025</v>
      </c>
    </row>
    <row r="66" ht="15.75" customHeight="1">
      <c r="A66" s="209" t="s">
        <v>82</v>
      </c>
      <c r="B66" s="213">
        <f t="shared" si="46"/>
        <v>41.65</v>
      </c>
      <c r="C66" s="214">
        <v>0.45</v>
      </c>
      <c r="D66" s="219"/>
      <c r="E66" s="219"/>
      <c r="F66" s="219"/>
      <c r="G66" s="219"/>
      <c r="H66" s="219"/>
      <c r="I66" s="219"/>
      <c r="J66" s="220"/>
      <c r="K66" s="220"/>
      <c r="L66" s="220"/>
      <c r="M66" s="220"/>
      <c r="N66" s="220"/>
      <c r="O66" s="221"/>
      <c r="P66" s="221"/>
      <c r="Q66" s="221"/>
      <c r="R66" s="221"/>
      <c r="S66" s="205"/>
      <c r="T66" s="205"/>
      <c r="U66" s="205"/>
      <c r="V66" s="211"/>
      <c r="W66" s="211"/>
      <c r="X66" s="211"/>
      <c r="Y66" s="211"/>
      <c r="Z66" s="211"/>
      <c r="AA66" s="211"/>
      <c r="AB66" s="211"/>
      <c r="AC66" s="211"/>
      <c r="AD66" s="53">
        <f>$B66*AD33*$C66</f>
        <v>16.680825</v>
      </c>
      <c r="AE66" s="222"/>
      <c r="AF66" s="53">
        <v>18.742500000000003</v>
      </c>
      <c r="AG66" s="220"/>
      <c r="AH66" s="220"/>
      <c r="AI66" s="220"/>
      <c r="AJ66" s="220"/>
      <c r="AK66" s="220"/>
      <c r="AL66" s="220"/>
      <c r="AM66" s="220"/>
      <c r="AN66" s="220"/>
      <c r="AO66" s="220"/>
      <c r="AP66" s="220"/>
      <c r="AQ66" s="220"/>
      <c r="AR66" s="220"/>
      <c r="AS66" s="220"/>
      <c r="AT66" s="220"/>
      <c r="AU66" s="220"/>
      <c r="AV66" s="220"/>
      <c r="AW66" s="220"/>
      <c r="AX66" s="220"/>
      <c r="AY66" s="220"/>
      <c r="AZ66" s="220"/>
      <c r="BA66" s="223"/>
      <c r="BB66" s="220"/>
      <c r="BC66" s="220"/>
      <c r="BD66" s="220"/>
      <c r="BE66" s="220"/>
      <c r="BF66" s="220"/>
      <c r="BG66" s="220"/>
      <c r="BH66" s="220"/>
      <c r="BI66" s="220"/>
      <c r="BJ66" s="220"/>
      <c r="BK66" s="220"/>
      <c r="BL66" s="53">
        <f>$AF66*BL33</f>
        <v>2.62395</v>
      </c>
    </row>
    <row r="67" ht="15.75" customHeight="1">
      <c r="A67" s="224" t="s">
        <v>171</v>
      </c>
      <c r="B67" s="225"/>
      <c r="C67" s="225"/>
      <c r="D67" s="118">
        <f t="shared" ref="D67:AD67" si="61">sum(D39:D66)</f>
        <v>0</v>
      </c>
      <c r="E67" s="118">
        <f t="shared" si="61"/>
        <v>0</v>
      </c>
      <c r="F67" s="118">
        <f t="shared" si="61"/>
        <v>0</v>
      </c>
      <c r="G67" s="118">
        <f t="shared" si="61"/>
        <v>1.780392157</v>
      </c>
      <c r="H67" s="118">
        <f t="shared" si="61"/>
        <v>1.980392157</v>
      </c>
      <c r="I67" s="118">
        <f t="shared" si="61"/>
        <v>2.000392157</v>
      </c>
      <c r="J67" s="118">
        <f t="shared" si="61"/>
        <v>3.780784314</v>
      </c>
      <c r="K67" s="118">
        <f t="shared" si="61"/>
        <v>3.980784314</v>
      </c>
      <c r="L67" s="118">
        <f t="shared" si="61"/>
        <v>4.000784314</v>
      </c>
      <c r="M67" s="118">
        <f t="shared" si="61"/>
        <v>4.000784314</v>
      </c>
      <c r="N67" s="118">
        <f t="shared" si="61"/>
        <v>7.56</v>
      </c>
      <c r="O67" s="118">
        <f t="shared" si="61"/>
        <v>10.096</v>
      </c>
      <c r="P67" s="118">
        <f t="shared" si="61"/>
        <v>9.308</v>
      </c>
      <c r="Q67" s="118">
        <f t="shared" si="61"/>
        <v>9.746</v>
      </c>
      <c r="R67" s="118">
        <f t="shared" si="61"/>
        <v>13.827925</v>
      </c>
      <c r="S67" s="118">
        <f t="shared" si="61"/>
        <v>14.28998529</v>
      </c>
      <c r="T67" s="118">
        <f t="shared" si="61"/>
        <v>16.29819265</v>
      </c>
      <c r="U67" s="118">
        <f t="shared" si="61"/>
        <v>16.51869265</v>
      </c>
      <c r="V67" s="118">
        <f t="shared" si="61"/>
        <v>18.503625</v>
      </c>
      <c r="W67" s="118">
        <f t="shared" si="61"/>
        <v>18.724125</v>
      </c>
      <c r="X67" s="118">
        <f t="shared" si="61"/>
        <v>18.746175</v>
      </c>
      <c r="Y67" s="118">
        <f t="shared" si="61"/>
        <v>18.746175</v>
      </c>
      <c r="Z67" s="118">
        <f t="shared" si="61"/>
        <v>18.7425</v>
      </c>
      <c r="AA67" s="118">
        <f t="shared" si="61"/>
        <v>18.7425</v>
      </c>
      <c r="AB67" s="118">
        <f t="shared" si="61"/>
        <v>18.7425</v>
      </c>
      <c r="AC67" s="118">
        <f t="shared" si="61"/>
        <v>18.7425</v>
      </c>
      <c r="AD67" s="118">
        <f t="shared" si="61"/>
        <v>18.7425</v>
      </c>
      <c r="AE67" s="226"/>
      <c r="AF67" s="225"/>
      <c r="AG67" s="225"/>
      <c r="AH67" s="225"/>
      <c r="AI67" s="225"/>
      <c r="AJ67" s="225"/>
      <c r="AK67" s="225"/>
      <c r="AL67" s="225"/>
      <c r="AM67" s="225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7"/>
      <c r="BB67" s="228"/>
      <c r="BC67" s="228"/>
      <c r="BD67" s="228"/>
      <c r="BE67" s="228"/>
      <c r="BF67" s="228"/>
      <c r="BG67" s="228"/>
      <c r="BH67" s="228"/>
      <c r="BI67" s="228"/>
      <c r="BJ67" s="228"/>
      <c r="BK67" s="228"/>
      <c r="BL67" s="229"/>
    </row>
    <row r="68" ht="15.75" customHeight="1">
      <c r="A68" s="230" t="s">
        <v>172</v>
      </c>
      <c r="B68" s="231"/>
      <c r="C68" s="231"/>
      <c r="D68" s="231"/>
      <c r="E68" s="231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  <c r="Y68" s="231"/>
      <c r="Z68" s="231"/>
      <c r="AA68" s="231"/>
      <c r="AB68" s="231"/>
      <c r="AC68" s="231"/>
      <c r="AD68" s="231"/>
      <c r="AE68" s="232"/>
      <c r="AF68" s="231"/>
      <c r="AG68" s="60">
        <f t="shared" ref="AG68:BL68" si="62">sum(AG35:AG66)</f>
        <v>0</v>
      </c>
      <c r="AH68" s="60">
        <f t="shared" si="62"/>
        <v>0</v>
      </c>
      <c r="AI68" s="60">
        <f t="shared" si="62"/>
        <v>0</v>
      </c>
      <c r="AJ68" s="60">
        <f t="shared" si="62"/>
        <v>0</v>
      </c>
      <c r="AK68" s="60">
        <f t="shared" si="62"/>
        <v>0</v>
      </c>
      <c r="AL68" s="60">
        <f t="shared" si="62"/>
        <v>0</v>
      </c>
      <c r="AM68" s="60">
        <f t="shared" si="62"/>
        <v>0</v>
      </c>
      <c r="AN68" s="60">
        <f t="shared" si="62"/>
        <v>0</v>
      </c>
      <c r="AO68" s="60">
        <f t="shared" si="62"/>
        <v>0.249254902</v>
      </c>
      <c r="AP68" s="60">
        <f t="shared" si="62"/>
        <v>0.8647843137</v>
      </c>
      <c r="AQ68" s="60">
        <f t="shared" si="62"/>
        <v>1.378682353</v>
      </c>
      <c r="AR68" s="60">
        <f t="shared" si="62"/>
        <v>1.951596078</v>
      </c>
      <c r="AS68" s="60">
        <f t="shared" si="62"/>
        <v>2.726752941</v>
      </c>
      <c r="AT68" s="60">
        <f t="shared" si="62"/>
        <v>3.328866667</v>
      </c>
      <c r="AU68" s="60">
        <f t="shared" si="62"/>
        <v>3.697533333</v>
      </c>
      <c r="AV68" s="60">
        <f t="shared" si="62"/>
        <v>4.36025098</v>
      </c>
      <c r="AW68" s="60">
        <f t="shared" si="62"/>
        <v>5.978447843</v>
      </c>
      <c r="AX68" s="60">
        <f t="shared" si="62"/>
        <v>7.639819608</v>
      </c>
      <c r="AY68" s="60">
        <f t="shared" si="62"/>
        <v>8.613781961</v>
      </c>
      <c r="AZ68" s="60">
        <f t="shared" si="62"/>
        <v>9.762736559</v>
      </c>
      <c r="BA68" s="60">
        <f t="shared" si="62"/>
        <v>11.48564888</v>
      </c>
      <c r="BB68" s="60">
        <f t="shared" si="62"/>
        <v>13.12292337</v>
      </c>
      <c r="BC68" s="60">
        <f t="shared" si="62"/>
        <v>14.59416562</v>
      </c>
      <c r="BD68" s="60">
        <f t="shared" si="62"/>
        <v>15.80367678</v>
      </c>
      <c r="BE68" s="60">
        <f t="shared" si="62"/>
        <v>17.05031178</v>
      </c>
      <c r="BF68" s="60">
        <f t="shared" si="62"/>
        <v>17.89616729</v>
      </c>
      <c r="BG68" s="60">
        <f t="shared" si="62"/>
        <v>18.36131315</v>
      </c>
      <c r="BH68" s="60">
        <f t="shared" si="62"/>
        <v>18.58731556</v>
      </c>
      <c r="BI68" s="60">
        <f t="shared" si="62"/>
        <v>18.6886526</v>
      </c>
      <c r="BJ68" s="60">
        <f t="shared" si="62"/>
        <v>18.737796</v>
      </c>
      <c r="BK68" s="60">
        <f t="shared" si="62"/>
        <v>18.74253675</v>
      </c>
      <c r="BL68" s="60">
        <f t="shared" si="62"/>
        <v>18.7427205</v>
      </c>
    </row>
    <row r="69" ht="15.75" customHeight="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/>
      <c r="AD69" s="185"/>
      <c r="AE69" s="233"/>
      <c r="AF69" s="185"/>
      <c r="AG69" s="185"/>
      <c r="AH69" s="185"/>
      <c r="AI69" s="185"/>
      <c r="AJ69" s="185"/>
      <c r="AK69" s="185"/>
      <c r="AL69" s="185"/>
      <c r="AM69" s="185"/>
      <c r="AN69" s="185"/>
      <c r="AO69" s="185"/>
      <c r="AP69" s="185"/>
      <c r="AQ69" s="185"/>
      <c r="AR69" s="185"/>
      <c r="AS69" s="185"/>
      <c r="AT69" s="185"/>
      <c r="AU69" s="185"/>
      <c r="AV69" s="185"/>
      <c r="AW69" s="234">
        <v>10.0</v>
      </c>
      <c r="AX69" s="234">
        <v>5.0</v>
      </c>
      <c r="AY69" s="185"/>
      <c r="AZ69" s="185"/>
      <c r="BA69" s="185"/>
      <c r="BB69" s="185"/>
      <c r="BC69" s="185"/>
      <c r="BD69" s="185"/>
      <c r="BE69" s="185"/>
      <c r="BF69" s="185"/>
      <c r="BG69" s="185"/>
      <c r="BH69" s="185"/>
      <c r="BI69" s="185"/>
      <c r="BJ69" s="185"/>
      <c r="BK69" s="185"/>
      <c r="BL69" s="185"/>
    </row>
    <row r="70" ht="15.75" customHeight="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/>
      <c r="AD70" s="185"/>
      <c r="AE70" s="233"/>
      <c r="AF70" s="185"/>
      <c r="AG70" s="185"/>
      <c r="AH70" s="185"/>
      <c r="AI70" s="185"/>
      <c r="AJ70" s="185"/>
      <c r="AK70" s="185"/>
      <c r="AL70" s="185"/>
      <c r="AM70" s="185"/>
      <c r="AN70" s="185"/>
      <c r="AO70" s="185"/>
      <c r="AP70" s="185"/>
      <c r="AQ70" s="185"/>
      <c r="AR70" s="185"/>
      <c r="AS70" s="185"/>
      <c r="AT70" s="185"/>
      <c r="AU70" s="185"/>
      <c r="AV70" s="185"/>
      <c r="AW70" s="185"/>
      <c r="AX70" s="185"/>
      <c r="AY70" s="185"/>
      <c r="AZ70" s="185"/>
      <c r="BA70" s="185"/>
      <c r="BB70" s="185"/>
      <c r="BC70" s="185"/>
      <c r="BD70" s="185"/>
      <c r="BE70" s="185"/>
      <c r="BF70" s="185"/>
      <c r="BG70" s="185"/>
      <c r="BH70" s="185"/>
      <c r="BI70" s="185"/>
      <c r="BJ70" s="185"/>
      <c r="BK70" s="185"/>
      <c r="BL70" s="185"/>
    </row>
    <row r="71" ht="15.75" customHeight="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/>
      <c r="AD71" s="185"/>
      <c r="AE71" s="233"/>
      <c r="AF71" s="185"/>
      <c r="AG71" s="185"/>
      <c r="AH71" s="185"/>
      <c r="AI71" s="185"/>
      <c r="AJ71" s="185"/>
      <c r="AK71" s="185"/>
      <c r="AL71" s="185"/>
      <c r="AM71" s="185"/>
      <c r="AN71" s="185"/>
      <c r="AO71" s="185"/>
      <c r="AP71" s="185"/>
      <c r="AQ71" s="185"/>
      <c r="AR71" s="185"/>
      <c r="AS71" s="185"/>
      <c r="AT71" s="185"/>
      <c r="AU71" s="185"/>
      <c r="AV71" s="185"/>
      <c r="AW71" s="185"/>
      <c r="AX71" s="185"/>
      <c r="AY71" s="185"/>
      <c r="AZ71" s="185"/>
      <c r="BA71" s="185"/>
      <c r="BB71" s="185"/>
      <c r="BC71" s="185"/>
      <c r="BD71" s="185"/>
      <c r="BE71" s="185"/>
      <c r="BF71" s="185"/>
      <c r="BG71" s="185"/>
      <c r="BH71" s="185"/>
      <c r="BI71" s="185"/>
      <c r="BJ71" s="185"/>
      <c r="BK71" s="185"/>
      <c r="BL71" s="185"/>
    </row>
    <row r="72" ht="15.75" customHeight="1">
      <c r="A72" s="185"/>
      <c r="B72" s="185"/>
      <c r="C72" s="185"/>
      <c r="D72" s="185"/>
      <c r="E72" s="185"/>
      <c r="F72" s="185"/>
      <c r="G72" s="185"/>
      <c r="H72" s="185"/>
      <c r="I72" s="185"/>
      <c r="J72" s="23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/>
      <c r="AD72" s="185"/>
      <c r="AE72" s="233"/>
      <c r="AF72" s="185"/>
      <c r="AG72" s="185"/>
      <c r="AH72" s="185"/>
      <c r="AI72" s="185"/>
      <c r="AJ72" s="185"/>
      <c r="AK72" s="185"/>
      <c r="AL72" s="185"/>
      <c r="AM72" s="185"/>
      <c r="AN72" s="185"/>
      <c r="AO72" s="185"/>
      <c r="AP72" s="185"/>
      <c r="AQ72" s="185"/>
      <c r="AR72" s="185"/>
      <c r="AS72" s="185"/>
      <c r="AT72" s="185"/>
      <c r="AU72" s="185"/>
      <c r="AV72" s="185"/>
      <c r="AW72" s="185"/>
      <c r="AX72" s="185"/>
      <c r="AY72" s="185"/>
      <c r="AZ72" s="185"/>
      <c r="BA72" s="185"/>
      <c r="BB72" s="185"/>
      <c r="BC72" s="185"/>
      <c r="BD72" s="185"/>
      <c r="BE72" s="185"/>
      <c r="BF72" s="185"/>
      <c r="BG72" s="185"/>
      <c r="BH72" s="185"/>
      <c r="BI72" s="185"/>
      <c r="BJ72" s="185"/>
      <c r="BK72" s="185"/>
      <c r="BL72" s="185"/>
    </row>
    <row r="73" ht="15.75" customHeight="1">
      <c r="A73" s="185"/>
      <c r="B73" s="185"/>
      <c r="C73" s="185"/>
      <c r="D73" s="185"/>
      <c r="E73" s="185"/>
      <c r="F73" s="185"/>
      <c r="G73" s="185"/>
      <c r="H73" s="185"/>
      <c r="I73" s="185"/>
      <c r="J73" s="23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/>
      <c r="AD73" s="185"/>
      <c r="AE73" s="233"/>
      <c r="AF73" s="185"/>
      <c r="AG73" s="185"/>
      <c r="AH73" s="185"/>
      <c r="AI73" s="185"/>
      <c r="AJ73" s="185"/>
      <c r="AK73" s="185"/>
      <c r="AL73" s="185"/>
      <c r="AM73" s="185"/>
      <c r="AN73" s="185"/>
      <c r="AO73" s="185"/>
      <c r="AP73" s="185"/>
      <c r="AQ73" s="185"/>
      <c r="AR73" s="185"/>
      <c r="AS73" s="185"/>
      <c r="AT73" s="185"/>
      <c r="AU73" s="185"/>
      <c r="AV73" s="185"/>
      <c r="AW73" s="185"/>
      <c r="AX73" s="185"/>
      <c r="AY73" s="185"/>
      <c r="AZ73" s="185"/>
      <c r="BA73" s="185"/>
      <c r="BB73" s="185"/>
      <c r="BC73" s="185"/>
      <c r="BD73" s="185"/>
      <c r="BE73" s="185"/>
      <c r="BF73" s="185"/>
      <c r="BG73" s="185"/>
      <c r="BH73" s="185"/>
      <c r="BI73" s="185"/>
      <c r="BJ73" s="185"/>
      <c r="BK73" s="185"/>
      <c r="BL73" s="185"/>
    </row>
    <row r="74" ht="15.75" customHeight="1">
      <c r="A74" s="185"/>
      <c r="B74" s="185"/>
      <c r="C74" s="185"/>
      <c r="D74" s="185"/>
      <c r="E74" s="185"/>
      <c r="F74" s="185"/>
      <c r="G74" s="185"/>
      <c r="H74" s="185"/>
      <c r="I74" s="185"/>
      <c r="J74" s="23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233"/>
      <c r="AF74" s="185"/>
      <c r="AG74" s="185"/>
      <c r="AH74" s="185"/>
      <c r="AI74" s="185"/>
      <c r="AJ74" s="185"/>
      <c r="AK74" s="185"/>
      <c r="AL74" s="185"/>
      <c r="AM74" s="185"/>
      <c r="AN74" s="185"/>
      <c r="AO74" s="185"/>
      <c r="AP74" s="185"/>
      <c r="AQ74" s="185"/>
      <c r="AR74" s="185"/>
      <c r="AS74" s="185"/>
      <c r="AT74" s="185"/>
      <c r="AU74" s="185"/>
      <c r="AV74" s="185"/>
      <c r="AW74" s="185"/>
      <c r="AX74" s="185"/>
      <c r="AY74" s="185"/>
      <c r="AZ74" s="185"/>
      <c r="BA74" s="185"/>
      <c r="BB74" s="185"/>
      <c r="BC74" s="185"/>
      <c r="BD74" s="185"/>
      <c r="BE74" s="185"/>
      <c r="BF74" s="185"/>
      <c r="BG74" s="185"/>
      <c r="BH74" s="185"/>
      <c r="BI74" s="185"/>
      <c r="BJ74" s="185"/>
      <c r="BK74" s="185"/>
      <c r="BL74" s="185"/>
    </row>
    <row r="75" ht="15.75" customHeight="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/>
      <c r="AD75" s="185"/>
      <c r="AE75" s="233"/>
      <c r="AF75" s="185"/>
      <c r="AG75" s="185"/>
      <c r="AH75" s="185"/>
      <c r="AI75" s="185"/>
      <c r="AJ75" s="185"/>
      <c r="AK75" s="185"/>
      <c r="AL75" s="185"/>
      <c r="AM75" s="185"/>
      <c r="AN75" s="185"/>
      <c r="AO75" s="185"/>
      <c r="AP75" s="185"/>
      <c r="AQ75" s="185"/>
      <c r="AR75" s="185"/>
      <c r="AS75" s="185"/>
      <c r="AT75" s="185"/>
      <c r="AU75" s="185"/>
      <c r="AV75" s="185"/>
      <c r="AW75" s="185"/>
      <c r="AX75" s="185"/>
      <c r="AY75" s="185"/>
      <c r="AZ75" s="185"/>
      <c r="BA75" s="185"/>
      <c r="BB75" s="185"/>
      <c r="BC75" s="185"/>
      <c r="BD75" s="185"/>
      <c r="BE75" s="185"/>
      <c r="BF75" s="185"/>
      <c r="BG75" s="185"/>
      <c r="BH75" s="185"/>
      <c r="BI75" s="185"/>
      <c r="BJ75" s="185"/>
      <c r="BK75" s="185"/>
      <c r="BL75" s="185"/>
    </row>
    <row r="76" ht="15.75" customHeight="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233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</row>
    <row r="77" ht="15.75" customHeight="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/>
      <c r="AD77" s="185"/>
      <c r="AE77" s="233"/>
      <c r="AF77" s="185"/>
      <c r="AG77" s="185"/>
      <c r="AH77" s="185"/>
      <c r="AI77" s="185"/>
      <c r="AJ77" s="185"/>
      <c r="AK77" s="185"/>
      <c r="AL77" s="185"/>
      <c r="AM77" s="185"/>
      <c r="AN77" s="185"/>
      <c r="AO77" s="185"/>
      <c r="AP77" s="185"/>
      <c r="AQ77" s="185"/>
      <c r="AR77" s="185"/>
      <c r="AS77" s="185"/>
      <c r="AT77" s="185"/>
      <c r="AU77" s="185"/>
      <c r="AV77" s="185"/>
      <c r="AW77" s="185"/>
      <c r="AX77" s="185"/>
      <c r="AY77" s="185"/>
      <c r="AZ77" s="185"/>
      <c r="BA77" s="185"/>
      <c r="BB77" s="185"/>
      <c r="BC77" s="185"/>
      <c r="BD77" s="185"/>
      <c r="BE77" s="185"/>
      <c r="BF77" s="185"/>
      <c r="BG77" s="185"/>
      <c r="BH77" s="185"/>
      <c r="BI77" s="185"/>
      <c r="BJ77" s="185"/>
      <c r="BK77" s="185"/>
      <c r="BL77" s="185"/>
    </row>
    <row r="78" ht="15.75" customHeight="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233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5"/>
      <c r="AU78" s="185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5"/>
      <c r="BG78" s="185"/>
      <c r="BH78" s="185"/>
      <c r="BI78" s="185"/>
      <c r="BJ78" s="185"/>
      <c r="BK78" s="185"/>
      <c r="BL78" s="185"/>
    </row>
    <row r="79" ht="15.75" customHeight="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233"/>
      <c r="AF79" s="185"/>
      <c r="AG79" s="185"/>
      <c r="AH79" s="185"/>
      <c r="AI79" s="185"/>
      <c r="AJ79" s="185"/>
      <c r="AK79" s="185"/>
      <c r="AL79" s="185"/>
      <c r="AM79" s="185"/>
      <c r="AN79" s="185"/>
      <c r="AO79" s="185"/>
      <c r="AP79" s="185"/>
      <c r="AQ79" s="185"/>
      <c r="AR79" s="185"/>
      <c r="AS79" s="185"/>
      <c r="AT79" s="185"/>
      <c r="AU79" s="185"/>
      <c r="AV79" s="185"/>
      <c r="AW79" s="185"/>
      <c r="AX79" s="185"/>
      <c r="AY79" s="185"/>
      <c r="AZ79" s="185"/>
      <c r="BA79" s="185"/>
      <c r="BB79" s="185"/>
      <c r="BC79" s="185"/>
      <c r="BD79" s="185"/>
      <c r="BE79" s="185"/>
      <c r="BF79" s="185"/>
      <c r="BG79" s="185"/>
      <c r="BH79" s="185"/>
      <c r="BI79" s="185"/>
      <c r="BJ79" s="185"/>
      <c r="BK79" s="185"/>
      <c r="BL79" s="185"/>
    </row>
    <row r="80" ht="15.75" customHeight="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233"/>
      <c r="AF80" s="185"/>
      <c r="AG80" s="185"/>
      <c r="AH80" s="185"/>
      <c r="AI80" s="185"/>
      <c r="AJ80" s="185"/>
      <c r="AK80" s="185"/>
      <c r="AL80" s="185"/>
      <c r="AM80" s="185"/>
      <c r="AN80" s="185"/>
      <c r="AO80" s="185"/>
      <c r="AP80" s="185"/>
      <c r="AQ80" s="185"/>
      <c r="AR80" s="185"/>
      <c r="AS80" s="185"/>
      <c r="AT80" s="185"/>
      <c r="AU80" s="185"/>
      <c r="AV80" s="185"/>
      <c r="AW80" s="185"/>
      <c r="AX80" s="185"/>
      <c r="AY80" s="185"/>
      <c r="AZ80" s="185"/>
      <c r="BA80" s="185"/>
      <c r="BB80" s="185"/>
      <c r="BC80" s="185"/>
      <c r="BD80" s="185"/>
      <c r="BE80" s="185"/>
      <c r="BF80" s="185"/>
      <c r="BG80" s="185"/>
      <c r="BH80" s="185"/>
      <c r="BI80" s="185"/>
      <c r="BJ80" s="185"/>
      <c r="BK80" s="185"/>
      <c r="BL80" s="185"/>
    </row>
    <row r="81" ht="15.75" customHeight="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233"/>
      <c r="AF81" s="185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5"/>
      <c r="AR81" s="185"/>
      <c r="AS81" s="185"/>
      <c r="AT81" s="185"/>
      <c r="AU81" s="185"/>
      <c r="AV81" s="185"/>
      <c r="AW81" s="185"/>
      <c r="AX81" s="185"/>
      <c r="AY81" s="185"/>
      <c r="AZ81" s="185"/>
      <c r="BA81" s="185"/>
      <c r="BB81" s="185"/>
      <c r="BC81" s="185"/>
      <c r="BD81" s="185"/>
      <c r="BE81" s="185"/>
      <c r="BF81" s="185"/>
      <c r="BG81" s="185"/>
      <c r="BH81" s="185"/>
      <c r="BI81" s="185"/>
      <c r="BJ81" s="185"/>
      <c r="BK81" s="185"/>
      <c r="BL81" s="185"/>
    </row>
    <row r="82" ht="15.75" customHeight="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233"/>
      <c r="AF82" s="185"/>
      <c r="AG82" s="185"/>
      <c r="AH82" s="185"/>
      <c r="AI82" s="185"/>
      <c r="AJ82" s="185"/>
      <c r="AK82" s="185"/>
      <c r="AL82" s="185"/>
      <c r="AM82" s="185"/>
      <c r="AN82" s="185"/>
      <c r="AO82" s="185"/>
      <c r="AP82" s="185"/>
      <c r="AQ82" s="185"/>
      <c r="AR82" s="185"/>
      <c r="AS82" s="185"/>
      <c r="AT82" s="185"/>
      <c r="AU82" s="185"/>
      <c r="AV82" s="185"/>
      <c r="AW82" s="185"/>
      <c r="AX82" s="185"/>
      <c r="AY82" s="185"/>
      <c r="AZ82" s="185"/>
      <c r="BA82" s="185"/>
      <c r="BB82" s="185"/>
      <c r="BC82" s="185"/>
      <c r="BD82" s="185"/>
      <c r="BE82" s="185"/>
      <c r="BF82" s="185"/>
      <c r="BG82" s="185"/>
      <c r="BH82" s="185"/>
      <c r="BI82" s="185"/>
      <c r="BJ82" s="185"/>
      <c r="BK82" s="185"/>
      <c r="BL82" s="185"/>
    </row>
    <row r="83" ht="15.75" customHeight="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233"/>
      <c r="AF83" s="185"/>
      <c r="AG83" s="185"/>
      <c r="AH83" s="185"/>
      <c r="AI83" s="185"/>
      <c r="AJ83" s="185"/>
      <c r="AK83" s="185"/>
      <c r="AL83" s="185"/>
      <c r="AM83" s="185"/>
      <c r="AN83" s="185"/>
      <c r="AO83" s="185"/>
      <c r="AP83" s="185"/>
      <c r="AQ83" s="185"/>
      <c r="AR83" s="185"/>
      <c r="AS83" s="185"/>
      <c r="AT83" s="185"/>
      <c r="AU83" s="185"/>
      <c r="AV83" s="185"/>
      <c r="AW83" s="185"/>
      <c r="AX83" s="185"/>
      <c r="AY83" s="185"/>
      <c r="AZ83" s="185"/>
      <c r="BA83" s="185"/>
      <c r="BB83" s="185"/>
      <c r="BC83" s="185"/>
      <c r="BD83" s="185"/>
      <c r="BE83" s="185"/>
      <c r="BF83" s="185"/>
      <c r="BG83" s="185"/>
      <c r="BH83" s="185"/>
      <c r="BI83" s="185"/>
      <c r="BJ83" s="185"/>
      <c r="BK83" s="185"/>
      <c r="BL83" s="185"/>
    </row>
    <row r="84" ht="15.75" customHeight="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233"/>
      <c r="AF84" s="185"/>
      <c r="AG84" s="185"/>
      <c r="AH84" s="185"/>
      <c r="AI84" s="185"/>
      <c r="AJ84" s="185"/>
      <c r="AK84" s="185"/>
      <c r="AL84" s="185"/>
      <c r="AM84" s="185"/>
      <c r="AN84" s="185"/>
      <c r="AO84" s="185"/>
      <c r="AP84" s="185"/>
      <c r="AQ84" s="185"/>
      <c r="AR84" s="185"/>
      <c r="AS84" s="185"/>
      <c r="AT84" s="185"/>
      <c r="AU84" s="185"/>
      <c r="AV84" s="185"/>
      <c r="AW84" s="185"/>
      <c r="AX84" s="185"/>
      <c r="AY84" s="185"/>
      <c r="AZ84" s="185"/>
      <c r="BA84" s="185"/>
      <c r="BB84" s="185"/>
      <c r="BC84" s="185"/>
      <c r="BD84" s="185"/>
      <c r="BE84" s="185"/>
      <c r="BF84" s="185"/>
      <c r="BG84" s="185"/>
      <c r="BH84" s="185"/>
      <c r="BI84" s="185"/>
      <c r="BJ84" s="185"/>
      <c r="BK84" s="185"/>
      <c r="BL84" s="185"/>
    </row>
    <row r="85" ht="15.75" customHeight="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233"/>
      <c r="AF85" s="185"/>
      <c r="AG85" s="185"/>
      <c r="AH85" s="185"/>
      <c r="AI85" s="185"/>
      <c r="AJ85" s="185"/>
      <c r="AK85" s="185"/>
      <c r="AL85" s="185"/>
      <c r="AM85" s="185"/>
      <c r="AN85" s="185"/>
      <c r="AO85" s="185"/>
      <c r="AP85" s="185"/>
      <c r="AQ85" s="185"/>
      <c r="AR85" s="185"/>
      <c r="AS85" s="185"/>
      <c r="AT85" s="185"/>
      <c r="AU85" s="185"/>
      <c r="AV85" s="185"/>
      <c r="AW85" s="185"/>
      <c r="AX85" s="185"/>
      <c r="AY85" s="185"/>
      <c r="AZ85" s="185"/>
      <c r="BA85" s="185"/>
      <c r="BB85" s="185"/>
      <c r="BC85" s="185"/>
      <c r="BD85" s="185"/>
      <c r="BE85" s="185"/>
      <c r="BF85" s="185"/>
      <c r="BG85" s="185"/>
      <c r="BH85" s="185"/>
      <c r="BI85" s="185"/>
      <c r="BJ85" s="185"/>
      <c r="BK85" s="185"/>
      <c r="BL85" s="185"/>
    </row>
    <row r="86" ht="15.75" customHeight="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  <c r="AA86" s="185"/>
      <c r="AB86" s="185"/>
      <c r="AC86" s="185"/>
      <c r="AD86" s="185"/>
      <c r="AE86" s="233"/>
      <c r="AF86" s="185"/>
      <c r="AG86" s="185"/>
      <c r="AH86" s="185"/>
      <c r="AI86" s="185"/>
      <c r="AJ86" s="185"/>
      <c r="AK86" s="185"/>
      <c r="AL86" s="185"/>
      <c r="AM86" s="185"/>
      <c r="AN86" s="185"/>
      <c r="AO86" s="185"/>
      <c r="AP86" s="185"/>
      <c r="AQ86" s="185"/>
      <c r="AR86" s="185"/>
      <c r="AS86" s="185"/>
      <c r="AT86" s="185"/>
      <c r="AU86" s="185"/>
      <c r="AV86" s="185"/>
      <c r="AW86" s="185"/>
      <c r="AX86" s="185"/>
      <c r="AY86" s="185"/>
      <c r="AZ86" s="185"/>
      <c r="BA86" s="185"/>
      <c r="BB86" s="185"/>
      <c r="BC86" s="185"/>
      <c r="BD86" s="185"/>
      <c r="BE86" s="185"/>
      <c r="BF86" s="185"/>
      <c r="BG86" s="185"/>
      <c r="BH86" s="185"/>
      <c r="BI86" s="185"/>
      <c r="BJ86" s="185"/>
      <c r="BK86" s="185"/>
      <c r="BL86" s="185"/>
    </row>
    <row r="87" ht="15.75" customHeight="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  <c r="AA87" s="185"/>
      <c r="AB87" s="185"/>
      <c r="AC87" s="185"/>
      <c r="AD87" s="185"/>
      <c r="AE87" s="233"/>
      <c r="AF87" s="185"/>
      <c r="AG87" s="185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5"/>
      <c r="AS87" s="185"/>
      <c r="AT87" s="185"/>
      <c r="AU87" s="185"/>
      <c r="AV87" s="185"/>
      <c r="AW87" s="185"/>
      <c r="AX87" s="185"/>
      <c r="AY87" s="185"/>
      <c r="AZ87" s="185"/>
      <c r="BA87" s="185"/>
      <c r="BB87" s="185"/>
      <c r="BC87" s="185"/>
      <c r="BD87" s="185"/>
      <c r="BE87" s="185"/>
      <c r="BF87" s="185"/>
      <c r="BG87" s="185"/>
      <c r="BH87" s="185"/>
      <c r="BI87" s="185"/>
      <c r="BJ87" s="185"/>
      <c r="BK87" s="185"/>
      <c r="BL87" s="185"/>
    </row>
    <row r="88" ht="15.75" customHeight="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  <c r="AA88" s="185"/>
      <c r="AB88" s="185"/>
      <c r="AC88" s="185"/>
      <c r="AD88" s="185"/>
      <c r="AE88" s="233"/>
      <c r="AF88" s="185"/>
      <c r="AG88" s="185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5"/>
      <c r="AS88" s="185"/>
      <c r="AT88" s="185"/>
      <c r="AU88" s="185"/>
      <c r="AV88" s="185"/>
      <c r="AW88" s="185"/>
      <c r="AX88" s="185"/>
      <c r="AY88" s="185"/>
      <c r="AZ88" s="185"/>
      <c r="BA88" s="185"/>
      <c r="BB88" s="185"/>
      <c r="BC88" s="185"/>
      <c r="BD88" s="185"/>
      <c r="BE88" s="185"/>
      <c r="BF88" s="185"/>
      <c r="BG88" s="185"/>
      <c r="BH88" s="185"/>
      <c r="BI88" s="185"/>
      <c r="BJ88" s="185"/>
      <c r="BK88" s="185"/>
      <c r="BL88" s="185"/>
    </row>
    <row r="89" ht="15.75" customHeight="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  <c r="AA89" s="185"/>
      <c r="AB89" s="185"/>
      <c r="AC89" s="185"/>
      <c r="AD89" s="185"/>
      <c r="AE89" s="233"/>
      <c r="AF89" s="185"/>
      <c r="AG89" s="185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5"/>
      <c r="AS89" s="185"/>
      <c r="AT89" s="185"/>
      <c r="AU89" s="185"/>
      <c r="AV89" s="185"/>
      <c r="AW89" s="185"/>
      <c r="AX89" s="185"/>
      <c r="AY89" s="185"/>
      <c r="AZ89" s="185"/>
      <c r="BA89" s="185"/>
      <c r="BB89" s="185"/>
      <c r="BC89" s="185"/>
      <c r="BD89" s="185"/>
      <c r="BE89" s="185"/>
      <c r="BF89" s="185"/>
      <c r="BG89" s="185"/>
      <c r="BH89" s="185"/>
      <c r="BI89" s="185"/>
      <c r="BJ89" s="185"/>
      <c r="BK89" s="185"/>
      <c r="BL89" s="185"/>
    </row>
    <row r="90" ht="15.75" customHeight="1">
      <c r="A90" s="185"/>
      <c r="B90" s="185"/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85"/>
      <c r="AD90" s="185"/>
      <c r="AE90" s="233"/>
      <c r="AF90" s="185"/>
      <c r="AG90" s="185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5"/>
      <c r="AS90" s="185"/>
      <c r="AT90" s="185"/>
      <c r="AU90" s="185"/>
      <c r="AV90" s="185"/>
      <c r="AW90" s="185"/>
      <c r="AX90" s="185"/>
      <c r="AY90" s="185"/>
      <c r="AZ90" s="185"/>
      <c r="BA90" s="185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</row>
    <row r="91" ht="15.75" customHeight="1">
      <c r="A91" s="185"/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233"/>
      <c r="AF91" s="185"/>
      <c r="AG91" s="185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</row>
    <row r="92" ht="15.75" customHeight="1">
      <c r="A92" s="185"/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233"/>
      <c r="AF92" s="185"/>
      <c r="AG92" s="185"/>
      <c r="AH92" s="185"/>
      <c r="AI92" s="185"/>
      <c r="AJ92" s="185"/>
      <c r="AK92" s="185"/>
      <c r="AL92" s="185"/>
      <c r="AM92" s="185"/>
      <c r="AN92" s="185"/>
      <c r="AO92" s="185"/>
      <c r="AP92" s="185"/>
      <c r="AQ92" s="185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</row>
    <row r="93" ht="15.75" customHeight="1">
      <c r="A93" s="185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233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5"/>
      <c r="AU93" s="185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</row>
    <row r="94" ht="15.75" customHeight="1">
      <c r="A94" s="185"/>
      <c r="B94" s="185"/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233"/>
      <c r="AF94" s="185"/>
      <c r="AG94" s="185"/>
      <c r="AH94" s="185"/>
      <c r="AI94" s="185"/>
      <c r="AJ94" s="185"/>
      <c r="AK94" s="185"/>
      <c r="AL94" s="185"/>
      <c r="AM94" s="185"/>
      <c r="AN94" s="185"/>
      <c r="AO94" s="185"/>
      <c r="AP94" s="185"/>
      <c r="AQ94" s="185"/>
      <c r="AR94" s="185"/>
      <c r="AS94" s="185"/>
      <c r="AT94" s="185"/>
      <c r="AU94" s="185"/>
      <c r="AV94" s="185"/>
      <c r="AW94" s="185"/>
      <c r="AX94" s="185"/>
      <c r="AY94" s="185"/>
      <c r="AZ94" s="185"/>
      <c r="BA94" s="185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</row>
    <row r="95" ht="15.75" customHeight="1">
      <c r="A95" s="185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233"/>
      <c r="AF95" s="185"/>
      <c r="AG95" s="185"/>
      <c r="AH95" s="185"/>
      <c r="AI95" s="185"/>
      <c r="AJ95" s="185"/>
      <c r="AK95" s="185"/>
      <c r="AL95" s="185"/>
      <c r="AM95" s="185"/>
      <c r="AN95" s="185"/>
      <c r="AO95" s="185"/>
      <c r="AP95" s="185"/>
      <c r="AQ95" s="185"/>
      <c r="AR95" s="185"/>
      <c r="AS95" s="185"/>
      <c r="AT95" s="185"/>
      <c r="AU95" s="185"/>
      <c r="AV95" s="185"/>
      <c r="AW95" s="185"/>
      <c r="AX95" s="185"/>
      <c r="AY95" s="185"/>
      <c r="AZ95" s="185"/>
      <c r="BA95" s="185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</row>
    <row r="96" ht="15.75" customHeight="1">
      <c r="A96" s="185"/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233"/>
      <c r="AF96" s="185"/>
      <c r="AG96" s="185"/>
      <c r="AH96" s="185"/>
      <c r="AI96" s="185"/>
      <c r="AJ96" s="185"/>
      <c r="AK96" s="185"/>
      <c r="AL96" s="185"/>
      <c r="AM96" s="185"/>
      <c r="AN96" s="185"/>
      <c r="AO96" s="185"/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</row>
    <row r="97" ht="15.75" customHeight="1">
      <c r="A97" s="185"/>
      <c r="B97" s="185"/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233"/>
      <c r="AF97" s="185"/>
      <c r="AG97" s="185"/>
      <c r="AH97" s="185"/>
      <c r="AI97" s="185"/>
      <c r="AJ97" s="185"/>
      <c r="AK97" s="185"/>
      <c r="AL97" s="185"/>
      <c r="AM97" s="185"/>
      <c r="AN97" s="185"/>
      <c r="AO97" s="185"/>
      <c r="AP97" s="185"/>
      <c r="AQ97" s="185"/>
      <c r="AR97" s="185"/>
      <c r="AS97" s="185"/>
      <c r="AT97" s="185"/>
      <c r="AU97" s="185"/>
      <c r="AV97" s="185"/>
      <c r="AW97" s="185"/>
      <c r="AX97" s="185"/>
      <c r="AY97" s="185"/>
      <c r="AZ97" s="185"/>
      <c r="BA97" s="185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</row>
    <row r="98" ht="15.75" customHeight="1">
      <c r="A98" s="185"/>
      <c r="B98" s="185"/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/>
      <c r="AD98" s="185"/>
      <c r="AE98" s="233"/>
      <c r="AF98" s="185"/>
      <c r="AG98" s="185"/>
      <c r="AH98" s="185"/>
      <c r="AI98" s="185"/>
      <c r="AJ98" s="185"/>
      <c r="AK98" s="185"/>
      <c r="AL98" s="185"/>
      <c r="AM98" s="185"/>
      <c r="AN98" s="185"/>
      <c r="AO98" s="185"/>
      <c r="AP98" s="185"/>
      <c r="AQ98" s="185"/>
      <c r="AR98" s="185"/>
      <c r="AS98" s="185"/>
      <c r="AT98" s="185"/>
      <c r="AU98" s="185"/>
      <c r="AV98" s="185"/>
      <c r="AW98" s="185"/>
      <c r="AX98" s="185"/>
      <c r="AY98" s="185"/>
      <c r="AZ98" s="185"/>
      <c r="BA98" s="185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</row>
    <row r="99" ht="15.75" customHeight="1">
      <c r="A99" s="185"/>
      <c r="B99" s="185"/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/>
      <c r="AD99" s="185"/>
      <c r="AE99" s="233"/>
      <c r="AF99" s="185"/>
      <c r="AG99" s="185"/>
      <c r="AH99" s="185"/>
      <c r="AI99" s="185"/>
      <c r="AJ99" s="185"/>
      <c r="AK99" s="185"/>
      <c r="AL99" s="185"/>
      <c r="AM99" s="185"/>
      <c r="AN99" s="185"/>
      <c r="AO99" s="185"/>
      <c r="AP99" s="185"/>
      <c r="AQ99" s="185"/>
      <c r="AR99" s="185"/>
      <c r="AS99" s="185"/>
      <c r="AT99" s="185"/>
      <c r="AU99" s="185"/>
      <c r="AV99" s="185"/>
      <c r="AW99" s="185"/>
      <c r="AX99" s="185"/>
      <c r="AY99" s="185"/>
      <c r="AZ99" s="185"/>
      <c r="BA99" s="185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</row>
    <row r="100" ht="15.75" customHeight="1">
      <c r="A100" s="185"/>
      <c r="B100" s="185"/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/>
      <c r="AD100" s="185"/>
      <c r="AE100" s="233"/>
      <c r="AF100" s="185"/>
      <c r="AG100" s="185"/>
      <c r="AH100" s="185"/>
      <c r="AI100" s="185"/>
      <c r="AJ100" s="185"/>
      <c r="AK100" s="185"/>
      <c r="AL100" s="185"/>
      <c r="AM100" s="185"/>
      <c r="AN100" s="185"/>
      <c r="AO100" s="185"/>
      <c r="AP100" s="185"/>
      <c r="AQ100" s="185"/>
      <c r="AR100" s="185"/>
      <c r="AS100" s="185"/>
      <c r="AT100" s="185"/>
      <c r="AU100" s="185"/>
      <c r="AV100" s="185"/>
      <c r="AW100" s="185"/>
      <c r="AX100" s="185"/>
      <c r="AY100" s="185"/>
      <c r="AZ100" s="185"/>
      <c r="BA100" s="185"/>
      <c r="BB100" s="185"/>
      <c r="BC100" s="185"/>
      <c r="BD100" s="185"/>
      <c r="BE100" s="185"/>
      <c r="BF100" s="185"/>
      <c r="BG100" s="185"/>
      <c r="BH100" s="185"/>
      <c r="BI100" s="185"/>
      <c r="BJ100" s="185"/>
      <c r="BK100" s="185"/>
      <c r="BL100" s="185"/>
    </row>
    <row r="101" ht="15.75" customHeight="1">
      <c r="A101" s="185"/>
      <c r="B101" s="185"/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/>
      <c r="AD101" s="185"/>
      <c r="AE101" s="233"/>
      <c r="AF101" s="185"/>
      <c r="AG101" s="185"/>
      <c r="AH101" s="185"/>
      <c r="AI101" s="185"/>
      <c r="AJ101" s="185"/>
      <c r="AK101" s="185"/>
      <c r="AL101" s="185"/>
      <c r="AM101" s="185"/>
      <c r="AN101" s="185"/>
      <c r="AO101" s="185"/>
      <c r="AP101" s="185"/>
      <c r="AQ101" s="185"/>
      <c r="AR101" s="185"/>
      <c r="AS101" s="185"/>
      <c r="AT101" s="185"/>
      <c r="AU101" s="185"/>
      <c r="AV101" s="185"/>
      <c r="AW101" s="185"/>
      <c r="AX101" s="185"/>
      <c r="AY101" s="185"/>
      <c r="AZ101" s="185"/>
      <c r="BA101" s="185"/>
      <c r="BB101" s="185"/>
      <c r="BC101" s="185"/>
      <c r="BD101" s="185"/>
      <c r="BE101" s="185"/>
      <c r="BF101" s="185"/>
      <c r="BG101" s="185"/>
      <c r="BH101" s="185"/>
      <c r="BI101" s="185"/>
      <c r="BJ101" s="185"/>
      <c r="BK101" s="185"/>
      <c r="BL101" s="185"/>
    </row>
    <row r="102" ht="15.75" customHeight="1">
      <c r="A102" s="185"/>
      <c r="B102" s="185"/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/>
      <c r="AD102" s="185"/>
      <c r="AE102" s="233"/>
      <c r="AF102" s="185"/>
      <c r="AG102" s="185"/>
      <c r="AH102" s="185"/>
      <c r="AI102" s="185"/>
      <c r="AJ102" s="185"/>
      <c r="AK102" s="185"/>
      <c r="AL102" s="185"/>
      <c r="AM102" s="185"/>
      <c r="AN102" s="185"/>
      <c r="AO102" s="185"/>
      <c r="AP102" s="185"/>
      <c r="AQ102" s="185"/>
      <c r="AR102" s="185"/>
      <c r="AS102" s="185"/>
      <c r="AT102" s="185"/>
      <c r="AU102" s="185"/>
      <c r="AV102" s="185"/>
      <c r="AW102" s="185"/>
      <c r="AX102" s="185"/>
      <c r="AY102" s="185"/>
      <c r="AZ102" s="185"/>
      <c r="BA102" s="185"/>
      <c r="BB102" s="185"/>
      <c r="BC102" s="185"/>
      <c r="BD102" s="185"/>
      <c r="BE102" s="185"/>
      <c r="BF102" s="185"/>
      <c r="BG102" s="185"/>
      <c r="BH102" s="185"/>
      <c r="BI102" s="185"/>
      <c r="BJ102" s="185"/>
      <c r="BK102" s="185"/>
      <c r="BL102" s="185"/>
    </row>
    <row r="103" ht="15.75" customHeight="1">
      <c r="A103" s="185"/>
      <c r="B103" s="185"/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233"/>
      <c r="AF103" s="185"/>
      <c r="AG103" s="185"/>
      <c r="AH103" s="185"/>
      <c r="AI103" s="185"/>
      <c r="AJ103" s="185"/>
      <c r="AK103" s="185"/>
      <c r="AL103" s="185"/>
      <c r="AM103" s="185"/>
      <c r="AN103" s="185"/>
      <c r="AO103" s="185"/>
      <c r="AP103" s="185"/>
      <c r="AQ103" s="185"/>
      <c r="AR103" s="185"/>
      <c r="AS103" s="185"/>
      <c r="AT103" s="185"/>
      <c r="AU103" s="185"/>
      <c r="AV103" s="185"/>
      <c r="AW103" s="185"/>
      <c r="AX103" s="185"/>
      <c r="AY103" s="185"/>
      <c r="AZ103" s="185"/>
      <c r="BA103" s="185"/>
      <c r="BB103" s="185"/>
      <c r="BC103" s="185"/>
      <c r="BD103" s="185"/>
      <c r="BE103" s="185"/>
      <c r="BF103" s="185"/>
      <c r="BG103" s="185"/>
      <c r="BH103" s="185"/>
      <c r="BI103" s="185"/>
      <c r="BJ103" s="185"/>
      <c r="BK103" s="185"/>
      <c r="BL103" s="185"/>
    </row>
    <row r="104" ht="15.75" customHeight="1">
      <c r="A104" s="185"/>
      <c r="B104" s="185"/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/>
      <c r="AD104" s="185"/>
      <c r="AE104" s="233"/>
      <c r="AF104" s="185"/>
      <c r="AG104" s="185"/>
      <c r="AH104" s="185"/>
      <c r="AI104" s="185"/>
      <c r="AJ104" s="185"/>
      <c r="AK104" s="185"/>
      <c r="AL104" s="185"/>
      <c r="AM104" s="185"/>
      <c r="AN104" s="185"/>
      <c r="AO104" s="185"/>
      <c r="AP104" s="185"/>
      <c r="AQ104" s="185"/>
      <c r="AR104" s="185"/>
      <c r="AS104" s="185"/>
      <c r="AT104" s="185"/>
      <c r="AU104" s="185"/>
      <c r="AV104" s="185"/>
      <c r="AW104" s="185"/>
      <c r="AX104" s="185"/>
      <c r="AY104" s="185"/>
      <c r="AZ104" s="185"/>
      <c r="BA104" s="185"/>
      <c r="BB104" s="185"/>
      <c r="BC104" s="185"/>
      <c r="BD104" s="185"/>
      <c r="BE104" s="185"/>
      <c r="BF104" s="185"/>
      <c r="BG104" s="185"/>
      <c r="BH104" s="185"/>
      <c r="BI104" s="185"/>
      <c r="BJ104" s="185"/>
      <c r="BK104" s="185"/>
      <c r="BL104" s="185"/>
    </row>
    <row r="105" ht="15.75" customHeight="1">
      <c r="A105" s="185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233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5"/>
      <c r="AU105" s="185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185"/>
      <c r="BL105" s="185"/>
    </row>
    <row r="106" ht="15.75" customHeight="1">
      <c r="A106" s="185"/>
      <c r="B106" s="185"/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/>
      <c r="AD106" s="185"/>
      <c r="AE106" s="233"/>
      <c r="AF106" s="185"/>
      <c r="AG106" s="185"/>
      <c r="AH106" s="185"/>
      <c r="AI106" s="185"/>
      <c r="AJ106" s="185"/>
      <c r="AK106" s="185"/>
      <c r="AL106" s="185"/>
      <c r="AM106" s="185"/>
      <c r="AN106" s="185"/>
      <c r="AO106" s="185"/>
      <c r="AP106" s="185"/>
      <c r="AQ106" s="185"/>
      <c r="AR106" s="185"/>
      <c r="AS106" s="185"/>
      <c r="AT106" s="185"/>
      <c r="AU106" s="185"/>
      <c r="AV106" s="185"/>
      <c r="AW106" s="185"/>
      <c r="AX106" s="185"/>
      <c r="AY106" s="185"/>
      <c r="AZ106" s="185"/>
      <c r="BA106" s="185"/>
      <c r="BB106" s="185"/>
      <c r="BC106" s="185"/>
      <c r="BD106" s="185"/>
      <c r="BE106" s="185"/>
      <c r="BF106" s="185"/>
      <c r="BG106" s="185"/>
      <c r="BH106" s="185"/>
      <c r="BI106" s="185"/>
      <c r="BJ106" s="185"/>
      <c r="BK106" s="185"/>
      <c r="BL106" s="185"/>
    </row>
    <row r="107" ht="15.75" customHeight="1">
      <c r="A107" s="185"/>
      <c r="B107" s="185"/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/>
      <c r="AD107" s="185"/>
      <c r="AE107" s="233"/>
      <c r="AF107" s="185"/>
      <c r="AG107" s="185"/>
      <c r="AH107" s="185"/>
      <c r="AI107" s="185"/>
      <c r="AJ107" s="185"/>
      <c r="AK107" s="185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185"/>
      <c r="AV107" s="185"/>
      <c r="AW107" s="185"/>
      <c r="AX107" s="185"/>
      <c r="AY107" s="185"/>
      <c r="AZ107" s="185"/>
      <c r="BA107" s="185"/>
      <c r="BB107" s="185"/>
      <c r="BC107" s="185"/>
      <c r="BD107" s="185"/>
      <c r="BE107" s="185"/>
      <c r="BF107" s="185"/>
      <c r="BG107" s="185"/>
      <c r="BH107" s="185"/>
      <c r="BI107" s="185"/>
      <c r="BJ107" s="185"/>
      <c r="BK107" s="185"/>
      <c r="BL107" s="185"/>
    </row>
    <row r="108" ht="15.75" customHeight="1">
      <c r="A108" s="185"/>
      <c r="B108" s="185"/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/>
      <c r="AD108" s="185"/>
      <c r="AE108" s="233"/>
      <c r="AF108" s="185"/>
      <c r="AG108" s="185"/>
      <c r="AH108" s="185"/>
      <c r="AI108" s="185"/>
      <c r="AJ108" s="185"/>
      <c r="AK108" s="185"/>
      <c r="AL108" s="185"/>
      <c r="AM108" s="185"/>
      <c r="AN108" s="185"/>
      <c r="AO108" s="185"/>
      <c r="AP108" s="185"/>
      <c r="AQ108" s="185"/>
      <c r="AR108" s="185"/>
      <c r="AS108" s="185"/>
      <c r="AT108" s="185"/>
      <c r="AU108" s="185"/>
      <c r="AV108" s="185"/>
      <c r="AW108" s="185"/>
      <c r="AX108" s="185"/>
      <c r="AY108" s="185"/>
      <c r="AZ108" s="185"/>
      <c r="BA108" s="185"/>
      <c r="BB108" s="185"/>
      <c r="BC108" s="185"/>
      <c r="BD108" s="185"/>
      <c r="BE108" s="185"/>
      <c r="BF108" s="185"/>
      <c r="BG108" s="185"/>
      <c r="BH108" s="185"/>
      <c r="BI108" s="185"/>
      <c r="BJ108" s="185"/>
      <c r="BK108" s="185"/>
      <c r="BL108" s="185"/>
    </row>
    <row r="109" ht="15.75" customHeight="1">
      <c r="A109" s="185"/>
      <c r="B109" s="185"/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/>
      <c r="AD109" s="185"/>
      <c r="AE109" s="233"/>
      <c r="AF109" s="185"/>
      <c r="AG109" s="185"/>
      <c r="AH109" s="185"/>
      <c r="AI109" s="185"/>
      <c r="AJ109" s="185"/>
      <c r="AK109" s="185"/>
      <c r="AL109" s="185"/>
      <c r="AM109" s="185"/>
      <c r="AN109" s="185"/>
      <c r="AO109" s="185"/>
      <c r="AP109" s="185"/>
      <c r="AQ109" s="185"/>
      <c r="AR109" s="185"/>
      <c r="AS109" s="185"/>
      <c r="AT109" s="185"/>
      <c r="AU109" s="185"/>
      <c r="AV109" s="185"/>
      <c r="AW109" s="185"/>
      <c r="AX109" s="185"/>
      <c r="AY109" s="185"/>
      <c r="AZ109" s="185"/>
      <c r="BA109" s="185"/>
      <c r="BB109" s="185"/>
      <c r="BC109" s="185"/>
      <c r="BD109" s="185"/>
      <c r="BE109" s="185"/>
      <c r="BF109" s="185"/>
      <c r="BG109" s="185"/>
      <c r="BH109" s="185"/>
      <c r="BI109" s="185"/>
      <c r="BJ109" s="185"/>
      <c r="BK109" s="185"/>
      <c r="BL109" s="185"/>
    </row>
    <row r="110" ht="15.75" customHeight="1">
      <c r="A110" s="185"/>
      <c r="B110" s="185"/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/>
      <c r="AD110" s="185"/>
      <c r="AE110" s="233"/>
      <c r="AF110" s="185"/>
      <c r="AG110" s="185"/>
      <c r="AH110" s="185"/>
      <c r="AI110" s="185"/>
      <c r="AJ110" s="185"/>
      <c r="AK110" s="185"/>
      <c r="AL110" s="185"/>
      <c r="AM110" s="185"/>
      <c r="AN110" s="185"/>
      <c r="AO110" s="185"/>
      <c r="AP110" s="185"/>
      <c r="AQ110" s="185"/>
      <c r="AR110" s="185"/>
      <c r="AS110" s="185"/>
      <c r="AT110" s="185"/>
      <c r="AU110" s="185"/>
      <c r="AV110" s="185"/>
      <c r="AW110" s="185"/>
      <c r="AX110" s="185"/>
      <c r="AY110" s="185"/>
      <c r="AZ110" s="185"/>
      <c r="BA110" s="185"/>
      <c r="BB110" s="185"/>
      <c r="BC110" s="185"/>
      <c r="BD110" s="185"/>
      <c r="BE110" s="185"/>
      <c r="BF110" s="185"/>
      <c r="BG110" s="185"/>
      <c r="BH110" s="185"/>
      <c r="BI110" s="185"/>
      <c r="BJ110" s="185"/>
      <c r="BK110" s="185"/>
      <c r="BL110" s="185"/>
    </row>
    <row r="111" ht="15.75" customHeight="1">
      <c r="A111" s="185"/>
      <c r="B111" s="185"/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/>
      <c r="AD111" s="185"/>
      <c r="AE111" s="233"/>
      <c r="AF111" s="185"/>
      <c r="AG111" s="185"/>
      <c r="AH111" s="185"/>
      <c r="AI111" s="185"/>
      <c r="AJ111" s="185"/>
      <c r="AK111" s="185"/>
      <c r="AL111" s="185"/>
      <c r="AM111" s="185"/>
      <c r="AN111" s="185"/>
      <c r="AO111" s="185"/>
      <c r="AP111" s="185"/>
      <c r="AQ111" s="185"/>
      <c r="AR111" s="185"/>
      <c r="AS111" s="185"/>
      <c r="AT111" s="185"/>
      <c r="AU111" s="185"/>
      <c r="AV111" s="185"/>
      <c r="AW111" s="185"/>
      <c r="AX111" s="185"/>
      <c r="AY111" s="185"/>
      <c r="AZ111" s="185"/>
      <c r="BA111" s="185"/>
      <c r="BB111" s="185"/>
      <c r="BC111" s="185"/>
      <c r="BD111" s="185"/>
      <c r="BE111" s="185"/>
      <c r="BF111" s="185"/>
      <c r="BG111" s="185"/>
      <c r="BH111" s="185"/>
      <c r="BI111" s="185"/>
      <c r="BJ111" s="185"/>
      <c r="BK111" s="185"/>
      <c r="BL111" s="185"/>
    </row>
    <row r="112" ht="15.75" customHeight="1">
      <c r="A112" s="185"/>
      <c r="B112" s="185"/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/>
      <c r="AD112" s="185"/>
      <c r="AE112" s="233"/>
      <c r="AF112" s="185"/>
      <c r="AG112" s="185"/>
      <c r="AH112" s="185"/>
      <c r="AI112" s="185"/>
      <c r="AJ112" s="185"/>
      <c r="AK112" s="185"/>
      <c r="AL112" s="185"/>
      <c r="AM112" s="185"/>
      <c r="AN112" s="185"/>
      <c r="AO112" s="185"/>
      <c r="AP112" s="185"/>
      <c r="AQ112" s="185"/>
      <c r="AR112" s="185"/>
      <c r="AS112" s="185"/>
      <c r="AT112" s="185"/>
      <c r="AU112" s="185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185"/>
    </row>
    <row r="113" ht="15.75" customHeight="1">
      <c r="A113" s="185"/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/>
      <c r="AD113" s="185"/>
      <c r="AE113" s="233"/>
      <c r="AF113" s="185"/>
      <c r="AG113" s="185"/>
      <c r="AH113" s="185"/>
      <c r="AI113" s="185"/>
      <c r="AJ113" s="185"/>
      <c r="AK113" s="185"/>
      <c r="AL113" s="185"/>
      <c r="AM113" s="185"/>
      <c r="AN113" s="185"/>
      <c r="AO113" s="185"/>
      <c r="AP113" s="185"/>
      <c r="AQ113" s="185"/>
      <c r="AR113" s="185"/>
      <c r="AS113" s="185"/>
      <c r="AT113" s="185"/>
      <c r="AU113" s="185"/>
      <c r="AV113" s="185"/>
      <c r="AW113" s="185"/>
      <c r="AX113" s="185"/>
      <c r="AY113" s="185"/>
      <c r="AZ113" s="185"/>
      <c r="BA113" s="185"/>
      <c r="BB113" s="185"/>
      <c r="BC113" s="185"/>
      <c r="BD113" s="185"/>
      <c r="BE113" s="185"/>
      <c r="BF113" s="185"/>
      <c r="BG113" s="185"/>
      <c r="BH113" s="185"/>
      <c r="BI113" s="185"/>
      <c r="BJ113" s="185"/>
      <c r="BK113" s="185"/>
      <c r="BL113" s="185"/>
    </row>
    <row r="114" ht="15.75" customHeight="1">
      <c r="A114" s="185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/>
      <c r="AD114" s="185"/>
      <c r="AE114" s="233"/>
      <c r="AF114" s="185"/>
      <c r="AG114" s="185"/>
      <c r="AH114" s="185"/>
      <c r="AI114" s="185"/>
      <c r="AJ114" s="185"/>
      <c r="AK114" s="185"/>
      <c r="AL114" s="185"/>
      <c r="AM114" s="185"/>
      <c r="AN114" s="185"/>
      <c r="AO114" s="185"/>
      <c r="AP114" s="185"/>
      <c r="AQ114" s="185"/>
      <c r="AR114" s="185"/>
      <c r="AS114" s="185"/>
      <c r="AT114" s="185"/>
      <c r="AU114" s="185"/>
      <c r="AV114" s="185"/>
      <c r="AW114" s="185"/>
      <c r="AX114" s="185"/>
      <c r="AY114" s="185"/>
      <c r="AZ114" s="185"/>
      <c r="BA114" s="185"/>
      <c r="BB114" s="185"/>
      <c r="BC114" s="185"/>
      <c r="BD114" s="185"/>
      <c r="BE114" s="185"/>
      <c r="BF114" s="185"/>
      <c r="BG114" s="185"/>
      <c r="BH114" s="185"/>
      <c r="BI114" s="185"/>
      <c r="BJ114" s="185"/>
      <c r="BK114" s="185"/>
      <c r="BL114" s="185"/>
    </row>
    <row r="115" ht="15.75" customHeight="1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/>
      <c r="AD115" s="185"/>
      <c r="AE115" s="233"/>
      <c r="AF115" s="185"/>
      <c r="AG115" s="185"/>
      <c r="AH115" s="185"/>
      <c r="AI115" s="185"/>
      <c r="AJ115" s="185"/>
      <c r="AK115" s="185"/>
      <c r="AL115" s="185"/>
      <c r="AM115" s="185"/>
      <c r="AN115" s="185"/>
      <c r="AO115" s="185"/>
      <c r="AP115" s="185"/>
      <c r="AQ115" s="185"/>
      <c r="AR115" s="185"/>
      <c r="AS115" s="185"/>
      <c r="AT115" s="185"/>
      <c r="AU115" s="185"/>
      <c r="AV115" s="185"/>
      <c r="AW115" s="185"/>
      <c r="AX115" s="185"/>
      <c r="AY115" s="185"/>
      <c r="AZ115" s="185"/>
      <c r="BA115" s="185"/>
      <c r="BB115" s="185"/>
      <c r="BC115" s="185"/>
      <c r="BD115" s="185"/>
      <c r="BE115" s="185"/>
      <c r="BF115" s="185"/>
      <c r="BG115" s="185"/>
      <c r="BH115" s="185"/>
      <c r="BI115" s="185"/>
      <c r="BJ115" s="185"/>
      <c r="BK115" s="185"/>
      <c r="BL115" s="185"/>
    </row>
    <row r="116" ht="15.75" customHeight="1">
      <c r="A116" s="185"/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/>
      <c r="AD116" s="185"/>
      <c r="AE116" s="233"/>
      <c r="AF116" s="185"/>
      <c r="AG116" s="185"/>
      <c r="AH116" s="185"/>
      <c r="AI116" s="185"/>
      <c r="AJ116" s="185"/>
      <c r="AK116" s="185"/>
      <c r="AL116" s="185"/>
      <c r="AM116" s="185"/>
      <c r="AN116" s="185"/>
      <c r="AO116" s="185"/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5"/>
      <c r="BI116" s="185"/>
      <c r="BJ116" s="185"/>
      <c r="BK116" s="185"/>
      <c r="BL116" s="185"/>
    </row>
    <row r="117" ht="15.75" customHeight="1">
      <c r="A117" s="185"/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/>
      <c r="AD117" s="185"/>
      <c r="AE117" s="233"/>
      <c r="AF117" s="185"/>
      <c r="AG117" s="185"/>
      <c r="AH117" s="185"/>
      <c r="AI117" s="185"/>
      <c r="AJ117" s="185"/>
      <c r="AK117" s="185"/>
      <c r="AL117" s="185"/>
      <c r="AM117" s="185"/>
      <c r="AN117" s="185"/>
      <c r="AO117" s="185"/>
      <c r="AP117" s="185"/>
      <c r="AQ117" s="185"/>
      <c r="AR117" s="185"/>
      <c r="AS117" s="185"/>
      <c r="AT117" s="185"/>
      <c r="AU117" s="185"/>
      <c r="AV117" s="185"/>
      <c r="AW117" s="185"/>
      <c r="AX117" s="185"/>
      <c r="AY117" s="185"/>
      <c r="AZ117" s="185"/>
      <c r="BA117" s="185"/>
      <c r="BB117" s="185"/>
      <c r="BC117" s="185"/>
      <c r="BD117" s="185"/>
      <c r="BE117" s="185"/>
      <c r="BF117" s="185"/>
      <c r="BG117" s="185"/>
      <c r="BH117" s="185"/>
      <c r="BI117" s="185"/>
      <c r="BJ117" s="185"/>
      <c r="BK117" s="185"/>
      <c r="BL117" s="185"/>
    </row>
    <row r="118" ht="15.75" customHeight="1">
      <c r="A118" s="185"/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/>
      <c r="AD118" s="185"/>
      <c r="AE118" s="233"/>
      <c r="AF118" s="185"/>
      <c r="AG118" s="185"/>
      <c r="AH118" s="185"/>
      <c r="AI118" s="185"/>
      <c r="AJ118" s="185"/>
      <c r="AK118" s="185"/>
      <c r="AL118" s="185"/>
      <c r="AM118" s="185"/>
      <c r="AN118" s="185"/>
      <c r="AO118" s="185"/>
      <c r="AP118" s="185"/>
      <c r="AQ118" s="185"/>
      <c r="AR118" s="185"/>
      <c r="AS118" s="185"/>
      <c r="AT118" s="185"/>
      <c r="AU118" s="185"/>
      <c r="AV118" s="185"/>
      <c r="AW118" s="185"/>
      <c r="AX118" s="185"/>
      <c r="AY118" s="185"/>
      <c r="AZ118" s="185"/>
      <c r="BA118" s="185"/>
      <c r="BB118" s="185"/>
      <c r="BC118" s="185"/>
      <c r="BD118" s="185"/>
      <c r="BE118" s="185"/>
      <c r="BF118" s="185"/>
      <c r="BG118" s="185"/>
      <c r="BH118" s="185"/>
      <c r="BI118" s="185"/>
      <c r="BJ118" s="185"/>
      <c r="BK118" s="185"/>
      <c r="BL118" s="185"/>
    </row>
    <row r="119" ht="15.75" customHeight="1">
      <c r="A119" s="185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233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5"/>
      <c r="AU119" s="185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5"/>
      <c r="BL119" s="185"/>
    </row>
    <row r="120" ht="15.75" customHeight="1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233"/>
      <c r="AF120" s="185"/>
      <c r="AG120" s="185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5"/>
      <c r="AS120" s="185"/>
      <c r="AT120" s="185"/>
      <c r="AU120" s="185"/>
      <c r="AV120" s="185"/>
      <c r="AW120" s="185"/>
      <c r="AX120" s="185"/>
      <c r="AY120" s="185"/>
      <c r="AZ120" s="185"/>
      <c r="BA120" s="185"/>
      <c r="BB120" s="185"/>
      <c r="BC120" s="185"/>
      <c r="BD120" s="185"/>
      <c r="BE120" s="185"/>
      <c r="BF120" s="185"/>
      <c r="BG120" s="185"/>
      <c r="BH120" s="185"/>
      <c r="BI120" s="185"/>
      <c r="BJ120" s="185"/>
      <c r="BK120" s="185"/>
      <c r="BL120" s="185"/>
    </row>
    <row r="121" ht="15.75" customHeight="1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233"/>
      <c r="AF121" s="185"/>
      <c r="AG121" s="185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5"/>
      <c r="AS121" s="185"/>
      <c r="AT121" s="185"/>
      <c r="AU121" s="185"/>
      <c r="AV121" s="185"/>
      <c r="AW121" s="185"/>
      <c r="AX121" s="185"/>
      <c r="AY121" s="185"/>
      <c r="AZ121" s="185"/>
      <c r="BA121" s="185"/>
      <c r="BB121" s="185"/>
      <c r="BC121" s="185"/>
      <c r="BD121" s="185"/>
      <c r="BE121" s="185"/>
      <c r="BF121" s="185"/>
      <c r="BG121" s="185"/>
      <c r="BH121" s="185"/>
      <c r="BI121" s="185"/>
      <c r="BJ121" s="185"/>
      <c r="BK121" s="185"/>
      <c r="BL121" s="185"/>
    </row>
    <row r="122" ht="15.75" customHeight="1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/>
      <c r="AD122" s="185"/>
      <c r="AE122" s="233"/>
      <c r="AF122" s="185"/>
      <c r="AG122" s="185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5"/>
      <c r="AS122" s="185"/>
      <c r="AT122" s="185"/>
      <c r="AU122" s="185"/>
      <c r="AV122" s="185"/>
      <c r="AW122" s="185"/>
      <c r="AX122" s="185"/>
      <c r="AY122" s="185"/>
      <c r="AZ122" s="185"/>
      <c r="BA122" s="185"/>
      <c r="BB122" s="185"/>
      <c r="BC122" s="185"/>
      <c r="BD122" s="185"/>
      <c r="BE122" s="185"/>
      <c r="BF122" s="185"/>
      <c r="BG122" s="185"/>
      <c r="BH122" s="185"/>
      <c r="BI122" s="185"/>
      <c r="BJ122" s="185"/>
      <c r="BK122" s="185"/>
      <c r="BL122" s="185"/>
    </row>
    <row r="123" ht="15.75" customHeight="1">
      <c r="A123" s="185"/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233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</row>
    <row r="124" ht="15.75" customHeight="1">
      <c r="A124" s="185"/>
      <c r="B124" s="185"/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/>
      <c r="AD124" s="185"/>
      <c r="AE124" s="233"/>
      <c r="AF124" s="185"/>
      <c r="AG124" s="185"/>
      <c r="AH124" s="185"/>
      <c r="AI124" s="185"/>
      <c r="AJ124" s="185"/>
      <c r="AK124" s="185"/>
      <c r="AL124" s="185"/>
      <c r="AM124" s="185"/>
      <c r="AN124" s="185"/>
      <c r="AO124" s="185"/>
      <c r="AP124" s="185"/>
      <c r="AQ124" s="185"/>
      <c r="AR124" s="185"/>
      <c r="AS124" s="185"/>
      <c r="AT124" s="185"/>
      <c r="AU124" s="185"/>
      <c r="AV124" s="185"/>
      <c r="AW124" s="185"/>
      <c r="AX124" s="185"/>
      <c r="AY124" s="185"/>
      <c r="AZ124" s="185"/>
      <c r="BA124" s="185"/>
      <c r="BB124" s="185"/>
      <c r="BC124" s="185"/>
      <c r="BD124" s="185"/>
      <c r="BE124" s="185"/>
      <c r="BF124" s="185"/>
      <c r="BG124" s="185"/>
      <c r="BH124" s="185"/>
      <c r="BI124" s="185"/>
      <c r="BJ124" s="185"/>
      <c r="BK124" s="185"/>
      <c r="BL124" s="185"/>
    </row>
    <row r="125" ht="15.75" customHeight="1">
      <c r="A125" s="185"/>
      <c r="B125" s="185"/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/>
      <c r="AD125" s="185"/>
      <c r="AE125" s="233"/>
      <c r="AF125" s="185"/>
      <c r="AG125" s="185"/>
      <c r="AH125" s="185"/>
      <c r="AI125" s="185"/>
      <c r="AJ125" s="185"/>
      <c r="AK125" s="185"/>
      <c r="AL125" s="185"/>
      <c r="AM125" s="185"/>
      <c r="AN125" s="185"/>
      <c r="AO125" s="185"/>
      <c r="AP125" s="185"/>
      <c r="AQ125" s="185"/>
      <c r="AR125" s="185"/>
      <c r="AS125" s="185"/>
      <c r="AT125" s="185"/>
      <c r="AU125" s="185"/>
      <c r="AV125" s="185"/>
      <c r="AW125" s="185"/>
      <c r="AX125" s="185"/>
      <c r="AY125" s="185"/>
      <c r="AZ125" s="185"/>
      <c r="BA125" s="185"/>
      <c r="BB125" s="185"/>
      <c r="BC125" s="185"/>
      <c r="BD125" s="185"/>
      <c r="BE125" s="185"/>
      <c r="BF125" s="185"/>
      <c r="BG125" s="185"/>
      <c r="BH125" s="185"/>
      <c r="BI125" s="185"/>
      <c r="BJ125" s="185"/>
      <c r="BK125" s="185"/>
      <c r="BL125" s="185"/>
    </row>
    <row r="126" ht="15.75" customHeight="1">
      <c r="A126" s="185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/>
      <c r="AD126" s="185"/>
      <c r="AE126" s="233"/>
      <c r="AF126" s="185"/>
      <c r="AG126" s="185"/>
      <c r="AH126" s="185"/>
      <c r="AI126" s="185"/>
      <c r="AJ126" s="185"/>
      <c r="AK126" s="185"/>
      <c r="AL126" s="185"/>
      <c r="AM126" s="185"/>
      <c r="AN126" s="185"/>
      <c r="AO126" s="185"/>
      <c r="AP126" s="185"/>
      <c r="AQ126" s="185"/>
      <c r="AR126" s="185"/>
      <c r="AS126" s="185"/>
      <c r="AT126" s="185"/>
      <c r="AU126" s="185"/>
      <c r="AV126" s="185"/>
      <c r="AW126" s="185"/>
      <c r="AX126" s="185"/>
      <c r="AY126" s="185"/>
      <c r="AZ126" s="185"/>
      <c r="BA126" s="185"/>
      <c r="BB126" s="185"/>
      <c r="BC126" s="185"/>
      <c r="BD126" s="185"/>
      <c r="BE126" s="185"/>
      <c r="BF126" s="185"/>
      <c r="BG126" s="185"/>
      <c r="BH126" s="185"/>
      <c r="BI126" s="185"/>
      <c r="BJ126" s="185"/>
      <c r="BK126" s="185"/>
      <c r="BL126" s="185"/>
    </row>
    <row r="127" ht="15.75" customHeight="1">
      <c r="A127" s="185"/>
      <c r="B127" s="185"/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/>
      <c r="AD127" s="185"/>
      <c r="AE127" s="233"/>
      <c r="AF127" s="185"/>
      <c r="AG127" s="185"/>
      <c r="AH127" s="185"/>
      <c r="AI127" s="185"/>
      <c r="AJ127" s="185"/>
      <c r="AK127" s="185"/>
      <c r="AL127" s="185"/>
      <c r="AM127" s="185"/>
      <c r="AN127" s="185"/>
      <c r="AO127" s="185"/>
      <c r="AP127" s="185"/>
      <c r="AQ127" s="185"/>
      <c r="AR127" s="185"/>
      <c r="AS127" s="185"/>
      <c r="AT127" s="185"/>
      <c r="AU127" s="185"/>
      <c r="AV127" s="185"/>
      <c r="AW127" s="185"/>
      <c r="AX127" s="185"/>
      <c r="AY127" s="185"/>
      <c r="AZ127" s="185"/>
      <c r="BA127" s="185"/>
      <c r="BB127" s="185"/>
      <c r="BC127" s="185"/>
      <c r="BD127" s="185"/>
      <c r="BE127" s="185"/>
      <c r="BF127" s="185"/>
      <c r="BG127" s="185"/>
      <c r="BH127" s="185"/>
      <c r="BI127" s="185"/>
      <c r="BJ127" s="185"/>
      <c r="BK127" s="185"/>
      <c r="BL127" s="185"/>
    </row>
    <row r="128" ht="15.75" customHeight="1">
      <c r="A128" s="185"/>
      <c r="B128" s="185"/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  <c r="AA128" s="185"/>
      <c r="AB128" s="185"/>
      <c r="AC128" s="185"/>
      <c r="AD128" s="185"/>
      <c r="AE128" s="233"/>
      <c r="AF128" s="185"/>
      <c r="AG128" s="185"/>
      <c r="AH128" s="185"/>
      <c r="AI128" s="185"/>
      <c r="AJ128" s="185"/>
      <c r="AK128" s="185"/>
      <c r="AL128" s="185"/>
      <c r="AM128" s="185"/>
      <c r="AN128" s="185"/>
      <c r="AO128" s="185"/>
      <c r="AP128" s="185"/>
      <c r="AQ128" s="185"/>
      <c r="AR128" s="185"/>
      <c r="AS128" s="185"/>
      <c r="AT128" s="185"/>
      <c r="AU128" s="185"/>
      <c r="AV128" s="185"/>
      <c r="AW128" s="185"/>
      <c r="AX128" s="185"/>
      <c r="AY128" s="185"/>
      <c r="AZ128" s="185"/>
      <c r="BA128" s="185"/>
      <c r="BB128" s="185"/>
      <c r="BC128" s="185"/>
      <c r="BD128" s="185"/>
      <c r="BE128" s="185"/>
      <c r="BF128" s="185"/>
      <c r="BG128" s="185"/>
      <c r="BH128" s="185"/>
      <c r="BI128" s="185"/>
      <c r="BJ128" s="185"/>
      <c r="BK128" s="185"/>
      <c r="BL128" s="185"/>
    </row>
    <row r="129" ht="15.75" customHeight="1">
      <c r="A129" s="185"/>
      <c r="B129" s="185"/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/>
      <c r="AD129" s="185"/>
      <c r="AE129" s="233"/>
      <c r="AF129" s="185"/>
      <c r="AG129" s="185"/>
      <c r="AH129" s="185"/>
      <c r="AI129" s="185"/>
      <c r="AJ129" s="185"/>
      <c r="AK129" s="185"/>
      <c r="AL129" s="185"/>
      <c r="AM129" s="185"/>
      <c r="AN129" s="185"/>
      <c r="AO129" s="185"/>
      <c r="AP129" s="185"/>
      <c r="AQ129" s="185"/>
      <c r="AR129" s="185"/>
      <c r="AS129" s="185"/>
      <c r="AT129" s="185"/>
      <c r="AU129" s="185"/>
      <c r="AV129" s="185"/>
      <c r="AW129" s="185"/>
      <c r="AX129" s="185"/>
      <c r="AY129" s="185"/>
      <c r="AZ129" s="185"/>
      <c r="BA129" s="185"/>
      <c r="BB129" s="185"/>
      <c r="BC129" s="185"/>
      <c r="BD129" s="185"/>
      <c r="BE129" s="185"/>
      <c r="BF129" s="185"/>
      <c r="BG129" s="185"/>
      <c r="BH129" s="185"/>
      <c r="BI129" s="185"/>
      <c r="BJ129" s="185"/>
      <c r="BK129" s="185"/>
      <c r="BL129" s="185"/>
    </row>
    <row r="130" ht="15.75" customHeight="1">
      <c r="A130" s="185"/>
      <c r="B130" s="185"/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/>
      <c r="AD130" s="185"/>
      <c r="AE130" s="233"/>
      <c r="AF130" s="185"/>
      <c r="AG130" s="185"/>
      <c r="AH130" s="185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5"/>
      <c r="AT130" s="185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5"/>
      <c r="BF130" s="185"/>
      <c r="BG130" s="185"/>
      <c r="BH130" s="185"/>
      <c r="BI130" s="185"/>
      <c r="BJ130" s="185"/>
      <c r="BK130" s="185"/>
      <c r="BL130" s="185"/>
    </row>
    <row r="131" ht="15.75" customHeight="1">
      <c r="A131" s="185"/>
      <c r="B131" s="185"/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/>
      <c r="AD131" s="185"/>
      <c r="AE131" s="233"/>
      <c r="AF131" s="185"/>
      <c r="AG131" s="185"/>
      <c r="AH131" s="185"/>
      <c r="AI131" s="185"/>
      <c r="AJ131" s="185"/>
      <c r="AK131" s="185"/>
      <c r="AL131" s="185"/>
      <c r="AM131" s="185"/>
      <c r="AN131" s="185"/>
      <c r="AO131" s="185"/>
      <c r="AP131" s="185"/>
      <c r="AQ131" s="185"/>
      <c r="AR131" s="185"/>
      <c r="AS131" s="185"/>
      <c r="AT131" s="185"/>
      <c r="AU131" s="185"/>
      <c r="AV131" s="185"/>
      <c r="AW131" s="185"/>
      <c r="AX131" s="185"/>
      <c r="AY131" s="185"/>
      <c r="AZ131" s="185"/>
      <c r="BA131" s="185"/>
      <c r="BB131" s="185"/>
      <c r="BC131" s="185"/>
      <c r="BD131" s="185"/>
      <c r="BE131" s="185"/>
      <c r="BF131" s="185"/>
      <c r="BG131" s="185"/>
      <c r="BH131" s="185"/>
      <c r="BI131" s="185"/>
      <c r="BJ131" s="185"/>
      <c r="BK131" s="185"/>
      <c r="BL131" s="185"/>
    </row>
    <row r="132" ht="15.75" customHeight="1">
      <c r="A132" s="185"/>
      <c r="B132" s="185"/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  <c r="AA132" s="185"/>
      <c r="AB132" s="185"/>
      <c r="AC132" s="185"/>
      <c r="AD132" s="185"/>
      <c r="AE132" s="233"/>
      <c r="AF132" s="185"/>
      <c r="AG132" s="185"/>
      <c r="AH132" s="185"/>
      <c r="AI132" s="185"/>
      <c r="AJ132" s="185"/>
      <c r="AK132" s="185"/>
      <c r="AL132" s="185"/>
      <c r="AM132" s="185"/>
      <c r="AN132" s="185"/>
      <c r="AO132" s="185"/>
      <c r="AP132" s="185"/>
      <c r="AQ132" s="185"/>
      <c r="AR132" s="185"/>
      <c r="AS132" s="185"/>
      <c r="AT132" s="185"/>
      <c r="AU132" s="185"/>
      <c r="AV132" s="185"/>
      <c r="AW132" s="185"/>
      <c r="AX132" s="185"/>
      <c r="AY132" s="185"/>
      <c r="AZ132" s="185"/>
      <c r="BA132" s="185"/>
      <c r="BB132" s="185"/>
      <c r="BC132" s="185"/>
      <c r="BD132" s="185"/>
      <c r="BE132" s="185"/>
      <c r="BF132" s="185"/>
      <c r="BG132" s="185"/>
      <c r="BH132" s="185"/>
      <c r="BI132" s="185"/>
      <c r="BJ132" s="185"/>
      <c r="BK132" s="185"/>
      <c r="BL132" s="185"/>
    </row>
    <row r="133" ht="15.75" customHeight="1">
      <c r="A133" s="185"/>
      <c r="B133" s="185"/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/>
      <c r="AD133" s="185"/>
      <c r="AE133" s="233"/>
      <c r="AF133" s="185"/>
      <c r="AG133" s="185"/>
      <c r="AH133" s="185"/>
      <c r="AI133" s="185"/>
      <c r="AJ133" s="185"/>
      <c r="AK133" s="185"/>
      <c r="AL133" s="185"/>
      <c r="AM133" s="185"/>
      <c r="AN133" s="185"/>
      <c r="AO133" s="185"/>
      <c r="AP133" s="185"/>
      <c r="AQ133" s="185"/>
      <c r="AR133" s="185"/>
      <c r="AS133" s="185"/>
      <c r="AT133" s="185"/>
      <c r="AU133" s="185"/>
      <c r="AV133" s="185"/>
      <c r="AW133" s="185"/>
      <c r="AX133" s="185"/>
      <c r="AY133" s="185"/>
      <c r="AZ133" s="185"/>
      <c r="BA133" s="185"/>
      <c r="BB133" s="185"/>
      <c r="BC133" s="185"/>
      <c r="BD133" s="185"/>
      <c r="BE133" s="185"/>
      <c r="BF133" s="185"/>
      <c r="BG133" s="185"/>
      <c r="BH133" s="185"/>
      <c r="BI133" s="185"/>
      <c r="BJ133" s="185"/>
      <c r="BK133" s="185"/>
      <c r="BL133" s="185"/>
    </row>
    <row r="134" ht="15.75" customHeight="1">
      <c r="A134" s="185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/>
      <c r="AD134" s="185"/>
      <c r="AE134" s="233"/>
      <c r="AF134" s="185"/>
      <c r="AG134" s="185"/>
      <c r="AH134" s="185"/>
      <c r="AI134" s="185"/>
      <c r="AJ134" s="185"/>
      <c r="AK134" s="185"/>
      <c r="AL134" s="185"/>
      <c r="AM134" s="185"/>
      <c r="AN134" s="185"/>
      <c r="AO134" s="185"/>
      <c r="AP134" s="185"/>
      <c r="AQ134" s="185"/>
      <c r="AR134" s="185"/>
      <c r="AS134" s="185"/>
      <c r="AT134" s="185"/>
      <c r="AU134" s="185"/>
      <c r="AV134" s="185"/>
      <c r="AW134" s="185"/>
      <c r="AX134" s="185"/>
      <c r="AY134" s="185"/>
      <c r="AZ134" s="185"/>
      <c r="BA134" s="185"/>
      <c r="BB134" s="185"/>
      <c r="BC134" s="185"/>
      <c r="BD134" s="185"/>
      <c r="BE134" s="185"/>
      <c r="BF134" s="185"/>
      <c r="BG134" s="185"/>
      <c r="BH134" s="185"/>
      <c r="BI134" s="185"/>
      <c r="BJ134" s="185"/>
      <c r="BK134" s="185"/>
      <c r="BL134" s="185"/>
    </row>
    <row r="135" ht="15.75" customHeight="1">
      <c r="A135" s="185"/>
      <c r="B135" s="185"/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/>
      <c r="AD135" s="185"/>
      <c r="AE135" s="233"/>
      <c r="AF135" s="185"/>
      <c r="AG135" s="185"/>
      <c r="AH135" s="185"/>
      <c r="AI135" s="185"/>
      <c r="AJ135" s="185"/>
      <c r="AK135" s="185"/>
      <c r="AL135" s="185"/>
      <c r="AM135" s="185"/>
      <c r="AN135" s="185"/>
      <c r="AO135" s="185"/>
      <c r="AP135" s="185"/>
      <c r="AQ135" s="185"/>
      <c r="AR135" s="185"/>
      <c r="AS135" s="185"/>
      <c r="AT135" s="185"/>
      <c r="AU135" s="185"/>
      <c r="AV135" s="185"/>
      <c r="AW135" s="185"/>
      <c r="AX135" s="185"/>
      <c r="AY135" s="185"/>
      <c r="AZ135" s="185"/>
      <c r="BA135" s="185"/>
      <c r="BB135" s="185"/>
      <c r="BC135" s="185"/>
      <c r="BD135" s="185"/>
      <c r="BE135" s="185"/>
      <c r="BF135" s="185"/>
      <c r="BG135" s="185"/>
      <c r="BH135" s="185"/>
      <c r="BI135" s="185"/>
      <c r="BJ135" s="185"/>
      <c r="BK135" s="185"/>
      <c r="BL135" s="185"/>
    </row>
    <row r="136" ht="15.75" customHeight="1">
      <c r="A136" s="185"/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/>
      <c r="AD136" s="185"/>
      <c r="AE136" s="233"/>
      <c r="AF136" s="185"/>
      <c r="AG136" s="185"/>
      <c r="AH136" s="185"/>
      <c r="AI136" s="185"/>
      <c r="AJ136" s="185"/>
      <c r="AK136" s="185"/>
      <c r="AL136" s="185"/>
      <c r="AM136" s="185"/>
      <c r="AN136" s="185"/>
      <c r="AO136" s="185"/>
      <c r="AP136" s="185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5"/>
      <c r="BI136" s="185"/>
      <c r="BJ136" s="185"/>
      <c r="BK136" s="185"/>
      <c r="BL136" s="185"/>
    </row>
    <row r="137" ht="15.75" customHeight="1">
      <c r="A137" s="185"/>
      <c r="B137" s="185"/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233"/>
      <c r="AF137" s="185"/>
      <c r="AG137" s="185"/>
      <c r="AH137" s="185"/>
      <c r="AI137" s="185"/>
      <c r="AJ137" s="185"/>
      <c r="AK137" s="185"/>
      <c r="AL137" s="185"/>
      <c r="AM137" s="185"/>
      <c r="AN137" s="185"/>
      <c r="AO137" s="185"/>
      <c r="AP137" s="185"/>
      <c r="AQ137" s="185"/>
      <c r="AR137" s="185"/>
      <c r="AS137" s="185"/>
      <c r="AT137" s="185"/>
      <c r="AU137" s="185"/>
      <c r="AV137" s="185"/>
      <c r="AW137" s="185"/>
      <c r="AX137" s="185"/>
      <c r="AY137" s="185"/>
      <c r="AZ137" s="185"/>
      <c r="BA137" s="185"/>
      <c r="BB137" s="185"/>
      <c r="BC137" s="185"/>
      <c r="BD137" s="185"/>
      <c r="BE137" s="185"/>
      <c r="BF137" s="185"/>
      <c r="BG137" s="185"/>
      <c r="BH137" s="185"/>
      <c r="BI137" s="185"/>
      <c r="BJ137" s="185"/>
      <c r="BK137" s="185"/>
      <c r="BL137" s="185"/>
    </row>
    <row r="138" ht="15.75" customHeight="1">
      <c r="A138" s="185"/>
      <c r="B138" s="185"/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/>
      <c r="AD138" s="185"/>
      <c r="AE138" s="233"/>
      <c r="AF138" s="185"/>
      <c r="AG138" s="185"/>
      <c r="AH138" s="185"/>
      <c r="AI138" s="185"/>
      <c r="AJ138" s="185"/>
      <c r="AK138" s="185"/>
      <c r="AL138" s="185"/>
      <c r="AM138" s="185"/>
      <c r="AN138" s="185"/>
      <c r="AO138" s="185"/>
      <c r="AP138" s="185"/>
      <c r="AQ138" s="185"/>
      <c r="AR138" s="185"/>
      <c r="AS138" s="185"/>
      <c r="AT138" s="185"/>
      <c r="AU138" s="185"/>
      <c r="AV138" s="185"/>
      <c r="AW138" s="185"/>
      <c r="AX138" s="185"/>
      <c r="AY138" s="185"/>
      <c r="AZ138" s="185"/>
      <c r="BA138" s="185"/>
      <c r="BB138" s="185"/>
      <c r="BC138" s="185"/>
      <c r="BD138" s="185"/>
      <c r="BE138" s="185"/>
      <c r="BF138" s="185"/>
      <c r="BG138" s="185"/>
      <c r="BH138" s="185"/>
      <c r="BI138" s="185"/>
      <c r="BJ138" s="185"/>
      <c r="BK138" s="185"/>
      <c r="BL138" s="185"/>
    </row>
    <row r="139" ht="15.75" customHeight="1">
      <c r="A139" s="185"/>
      <c r="B139" s="185"/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/>
      <c r="AD139" s="185"/>
      <c r="AE139" s="233"/>
      <c r="AF139" s="185"/>
      <c r="AG139" s="185"/>
      <c r="AH139" s="185"/>
      <c r="AI139" s="185"/>
      <c r="AJ139" s="185"/>
      <c r="AK139" s="185"/>
      <c r="AL139" s="185"/>
      <c r="AM139" s="185"/>
      <c r="AN139" s="185"/>
      <c r="AO139" s="185"/>
      <c r="AP139" s="185"/>
      <c r="AQ139" s="185"/>
      <c r="AR139" s="185"/>
      <c r="AS139" s="185"/>
      <c r="AT139" s="185"/>
      <c r="AU139" s="185"/>
      <c r="AV139" s="185"/>
      <c r="AW139" s="185"/>
      <c r="AX139" s="185"/>
      <c r="AY139" s="185"/>
      <c r="AZ139" s="185"/>
      <c r="BA139" s="185"/>
      <c r="BB139" s="185"/>
      <c r="BC139" s="185"/>
      <c r="BD139" s="185"/>
      <c r="BE139" s="185"/>
      <c r="BF139" s="185"/>
      <c r="BG139" s="185"/>
      <c r="BH139" s="185"/>
      <c r="BI139" s="185"/>
      <c r="BJ139" s="185"/>
      <c r="BK139" s="185"/>
      <c r="BL139" s="185"/>
    </row>
    <row r="140" ht="15.75" customHeight="1">
      <c r="A140" s="185"/>
      <c r="B140" s="185"/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/>
      <c r="AD140" s="185"/>
      <c r="AE140" s="233"/>
      <c r="AF140" s="185"/>
      <c r="AG140" s="185"/>
      <c r="AH140" s="185"/>
      <c r="AI140" s="185"/>
      <c r="AJ140" s="185"/>
      <c r="AK140" s="185"/>
      <c r="AL140" s="185"/>
      <c r="AM140" s="185"/>
      <c r="AN140" s="185"/>
      <c r="AO140" s="185"/>
      <c r="AP140" s="185"/>
      <c r="AQ140" s="185"/>
      <c r="AR140" s="185"/>
      <c r="AS140" s="185"/>
      <c r="AT140" s="185"/>
      <c r="AU140" s="185"/>
      <c r="AV140" s="185"/>
      <c r="AW140" s="185"/>
      <c r="AX140" s="185"/>
      <c r="AY140" s="185"/>
      <c r="AZ140" s="185"/>
      <c r="BA140" s="185"/>
      <c r="BB140" s="185"/>
      <c r="BC140" s="185"/>
      <c r="BD140" s="185"/>
      <c r="BE140" s="185"/>
      <c r="BF140" s="185"/>
      <c r="BG140" s="185"/>
      <c r="BH140" s="185"/>
      <c r="BI140" s="185"/>
      <c r="BJ140" s="185"/>
      <c r="BK140" s="185"/>
      <c r="BL140" s="185"/>
    </row>
    <row r="141" ht="15.75" customHeight="1">
      <c r="A141" s="185"/>
      <c r="B141" s="185"/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/>
      <c r="AD141" s="185"/>
      <c r="AE141" s="233"/>
      <c r="AF141" s="185"/>
      <c r="AG141" s="185"/>
      <c r="AH141" s="185"/>
      <c r="AI141" s="185"/>
      <c r="AJ141" s="185"/>
      <c r="AK141" s="185"/>
      <c r="AL141" s="185"/>
      <c r="AM141" s="185"/>
      <c r="AN141" s="185"/>
      <c r="AO141" s="185"/>
      <c r="AP141" s="185"/>
      <c r="AQ141" s="185"/>
      <c r="AR141" s="185"/>
      <c r="AS141" s="185"/>
      <c r="AT141" s="185"/>
      <c r="AU141" s="185"/>
      <c r="AV141" s="185"/>
      <c r="AW141" s="185"/>
      <c r="AX141" s="185"/>
      <c r="AY141" s="185"/>
      <c r="AZ141" s="185"/>
      <c r="BA141" s="185"/>
      <c r="BB141" s="185"/>
      <c r="BC141" s="185"/>
      <c r="BD141" s="185"/>
      <c r="BE141" s="185"/>
      <c r="BF141" s="185"/>
      <c r="BG141" s="185"/>
      <c r="BH141" s="185"/>
      <c r="BI141" s="185"/>
      <c r="BJ141" s="185"/>
      <c r="BK141" s="185"/>
      <c r="BL141" s="185"/>
    </row>
    <row r="142" ht="15.75" customHeight="1">
      <c r="A142" s="185"/>
      <c r="B142" s="185"/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/>
      <c r="AD142" s="185"/>
      <c r="AE142" s="233"/>
      <c r="AF142" s="185"/>
      <c r="AG142" s="185"/>
      <c r="AH142" s="185"/>
      <c r="AI142" s="185"/>
      <c r="AJ142" s="185"/>
      <c r="AK142" s="185"/>
      <c r="AL142" s="185"/>
      <c r="AM142" s="185"/>
      <c r="AN142" s="185"/>
      <c r="AO142" s="185"/>
      <c r="AP142" s="185"/>
      <c r="AQ142" s="185"/>
      <c r="AR142" s="185"/>
      <c r="AS142" s="185"/>
      <c r="AT142" s="185"/>
      <c r="AU142" s="185"/>
      <c r="AV142" s="185"/>
      <c r="AW142" s="185"/>
      <c r="AX142" s="185"/>
      <c r="AY142" s="185"/>
      <c r="AZ142" s="185"/>
      <c r="BA142" s="185"/>
      <c r="BB142" s="185"/>
      <c r="BC142" s="185"/>
      <c r="BD142" s="185"/>
      <c r="BE142" s="185"/>
      <c r="BF142" s="185"/>
      <c r="BG142" s="185"/>
      <c r="BH142" s="185"/>
      <c r="BI142" s="185"/>
      <c r="BJ142" s="185"/>
      <c r="BK142" s="185"/>
      <c r="BL142" s="185"/>
    </row>
    <row r="143" ht="15.75" customHeight="1">
      <c r="A143" s="185"/>
      <c r="B143" s="185"/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/>
      <c r="AD143" s="185"/>
      <c r="AE143" s="233"/>
      <c r="AF143" s="185"/>
      <c r="AG143" s="185"/>
      <c r="AH143" s="185"/>
      <c r="AI143" s="185"/>
      <c r="AJ143" s="185"/>
      <c r="AK143" s="185"/>
      <c r="AL143" s="185"/>
      <c r="AM143" s="185"/>
      <c r="AN143" s="185"/>
      <c r="AO143" s="185"/>
      <c r="AP143" s="185"/>
      <c r="AQ143" s="185"/>
      <c r="AR143" s="185"/>
      <c r="AS143" s="185"/>
      <c r="AT143" s="185"/>
      <c r="AU143" s="185"/>
      <c r="AV143" s="185"/>
      <c r="AW143" s="185"/>
      <c r="AX143" s="185"/>
      <c r="AY143" s="185"/>
      <c r="AZ143" s="185"/>
      <c r="BA143" s="185"/>
      <c r="BB143" s="185"/>
      <c r="BC143" s="185"/>
      <c r="BD143" s="185"/>
      <c r="BE143" s="185"/>
      <c r="BF143" s="185"/>
      <c r="BG143" s="185"/>
      <c r="BH143" s="185"/>
      <c r="BI143" s="185"/>
      <c r="BJ143" s="185"/>
      <c r="BK143" s="185"/>
      <c r="BL143" s="185"/>
    </row>
    <row r="144" ht="15.7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/>
      <c r="AD144" s="185"/>
      <c r="AE144" s="233"/>
      <c r="AF144" s="185"/>
      <c r="AG144" s="185"/>
      <c r="AH144" s="185"/>
      <c r="AI144" s="185"/>
      <c r="AJ144" s="185"/>
      <c r="AK144" s="185"/>
      <c r="AL144" s="185"/>
      <c r="AM144" s="185"/>
      <c r="AN144" s="185"/>
      <c r="AO144" s="185"/>
      <c r="AP144" s="185"/>
      <c r="AQ144" s="185"/>
      <c r="AR144" s="185"/>
      <c r="AS144" s="185"/>
      <c r="AT144" s="185"/>
      <c r="AU144" s="185"/>
      <c r="AV144" s="185"/>
      <c r="AW144" s="185"/>
      <c r="AX144" s="185"/>
      <c r="AY144" s="185"/>
      <c r="AZ144" s="185"/>
      <c r="BA144" s="185"/>
      <c r="BB144" s="185"/>
      <c r="BC144" s="185"/>
      <c r="BD144" s="185"/>
      <c r="BE144" s="185"/>
      <c r="BF144" s="185"/>
      <c r="BG144" s="185"/>
      <c r="BH144" s="185"/>
      <c r="BI144" s="185"/>
      <c r="BJ144" s="185"/>
      <c r="BK144" s="185"/>
      <c r="BL144" s="185"/>
    </row>
    <row r="145" ht="15.7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/>
      <c r="AD145" s="185"/>
      <c r="AE145" s="233"/>
      <c r="AF145" s="185"/>
      <c r="AG145" s="185"/>
      <c r="AH145" s="185"/>
      <c r="AI145" s="185"/>
      <c r="AJ145" s="185"/>
      <c r="AK145" s="185"/>
      <c r="AL145" s="185"/>
      <c r="AM145" s="185"/>
      <c r="AN145" s="185"/>
      <c r="AO145" s="185"/>
      <c r="AP145" s="185"/>
      <c r="AQ145" s="185"/>
      <c r="AR145" s="185"/>
      <c r="AS145" s="185"/>
      <c r="AT145" s="185"/>
      <c r="AU145" s="185"/>
      <c r="AV145" s="185"/>
      <c r="AW145" s="185"/>
      <c r="AX145" s="185"/>
      <c r="AY145" s="185"/>
      <c r="AZ145" s="185"/>
      <c r="BA145" s="185"/>
      <c r="BB145" s="185"/>
      <c r="BC145" s="185"/>
      <c r="BD145" s="185"/>
      <c r="BE145" s="185"/>
      <c r="BF145" s="185"/>
      <c r="BG145" s="185"/>
      <c r="BH145" s="185"/>
      <c r="BI145" s="185"/>
      <c r="BJ145" s="185"/>
      <c r="BK145" s="185"/>
      <c r="BL145" s="185"/>
    </row>
    <row r="146" ht="15.7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/>
      <c r="AD146" s="185"/>
      <c r="AE146" s="233"/>
      <c r="AF146" s="185"/>
      <c r="AG146" s="185"/>
      <c r="AH146" s="185"/>
      <c r="AI146" s="185"/>
      <c r="AJ146" s="185"/>
      <c r="AK146" s="185"/>
      <c r="AL146" s="185"/>
      <c r="AM146" s="185"/>
      <c r="AN146" s="185"/>
      <c r="AO146" s="185"/>
      <c r="AP146" s="185"/>
      <c r="AQ146" s="185"/>
      <c r="AR146" s="185"/>
      <c r="AS146" s="185"/>
      <c r="AT146" s="185"/>
      <c r="AU146" s="185"/>
      <c r="AV146" s="185"/>
      <c r="AW146" s="185"/>
      <c r="AX146" s="185"/>
      <c r="AY146" s="185"/>
      <c r="AZ146" s="185"/>
      <c r="BA146" s="185"/>
      <c r="BB146" s="185"/>
      <c r="BC146" s="185"/>
      <c r="BD146" s="185"/>
      <c r="BE146" s="185"/>
      <c r="BF146" s="185"/>
      <c r="BG146" s="185"/>
      <c r="BH146" s="185"/>
      <c r="BI146" s="185"/>
      <c r="BJ146" s="185"/>
      <c r="BK146" s="185"/>
      <c r="BL146" s="185"/>
    </row>
    <row r="147" ht="15.7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  <c r="AA147" s="185"/>
      <c r="AB147" s="185"/>
      <c r="AC147" s="185"/>
      <c r="AD147" s="185"/>
      <c r="AE147" s="233"/>
      <c r="AF147" s="185"/>
      <c r="AG147" s="185"/>
      <c r="AH147" s="185"/>
      <c r="AI147" s="185"/>
      <c r="AJ147" s="185"/>
      <c r="AK147" s="185"/>
      <c r="AL147" s="185"/>
      <c r="AM147" s="185"/>
      <c r="AN147" s="185"/>
      <c r="AO147" s="185"/>
      <c r="AP147" s="185"/>
      <c r="AQ147" s="185"/>
      <c r="AR147" s="185"/>
      <c r="AS147" s="185"/>
      <c r="AT147" s="185"/>
      <c r="AU147" s="185"/>
      <c r="AV147" s="185"/>
      <c r="AW147" s="185"/>
      <c r="AX147" s="185"/>
      <c r="AY147" s="185"/>
      <c r="AZ147" s="185"/>
      <c r="BA147" s="185"/>
      <c r="BB147" s="185"/>
      <c r="BC147" s="185"/>
      <c r="BD147" s="185"/>
      <c r="BE147" s="185"/>
      <c r="BF147" s="185"/>
      <c r="BG147" s="185"/>
      <c r="BH147" s="185"/>
      <c r="BI147" s="185"/>
      <c r="BJ147" s="185"/>
      <c r="BK147" s="185"/>
      <c r="BL147" s="185"/>
    </row>
    <row r="148" ht="15.7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/>
      <c r="AD148" s="185"/>
      <c r="AE148" s="233"/>
      <c r="AF148" s="185"/>
      <c r="AG148" s="185"/>
      <c r="AH148" s="185"/>
      <c r="AI148" s="185"/>
      <c r="AJ148" s="185"/>
      <c r="AK148" s="185"/>
      <c r="AL148" s="185"/>
      <c r="AM148" s="185"/>
      <c r="AN148" s="185"/>
      <c r="AO148" s="185"/>
      <c r="AP148" s="185"/>
      <c r="AQ148" s="185"/>
      <c r="AR148" s="185"/>
      <c r="AS148" s="185"/>
      <c r="AT148" s="185"/>
      <c r="AU148" s="185"/>
      <c r="AV148" s="185"/>
      <c r="AW148" s="185"/>
      <c r="AX148" s="185"/>
      <c r="AY148" s="185"/>
      <c r="AZ148" s="185"/>
      <c r="BA148" s="185"/>
      <c r="BB148" s="185"/>
      <c r="BC148" s="185"/>
      <c r="BD148" s="185"/>
      <c r="BE148" s="185"/>
      <c r="BF148" s="185"/>
      <c r="BG148" s="185"/>
      <c r="BH148" s="185"/>
      <c r="BI148" s="185"/>
      <c r="BJ148" s="185"/>
      <c r="BK148" s="185"/>
      <c r="BL148" s="185"/>
    </row>
    <row r="149" ht="15.7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/>
      <c r="AD149" s="185"/>
      <c r="AE149" s="233"/>
      <c r="AF149" s="185"/>
      <c r="AG149" s="185"/>
      <c r="AH149" s="185"/>
      <c r="AI149" s="185"/>
      <c r="AJ149" s="185"/>
      <c r="AK149" s="185"/>
      <c r="AL149" s="185"/>
      <c r="AM149" s="185"/>
      <c r="AN149" s="185"/>
      <c r="AO149" s="185"/>
      <c r="AP149" s="185"/>
      <c r="AQ149" s="185"/>
      <c r="AR149" s="185"/>
      <c r="AS149" s="185"/>
      <c r="AT149" s="185"/>
      <c r="AU149" s="185"/>
      <c r="AV149" s="185"/>
      <c r="AW149" s="185"/>
      <c r="AX149" s="185"/>
      <c r="AY149" s="185"/>
      <c r="AZ149" s="185"/>
      <c r="BA149" s="185"/>
      <c r="BB149" s="185"/>
      <c r="BC149" s="185"/>
      <c r="BD149" s="185"/>
      <c r="BE149" s="185"/>
      <c r="BF149" s="185"/>
      <c r="BG149" s="185"/>
      <c r="BH149" s="185"/>
      <c r="BI149" s="185"/>
      <c r="BJ149" s="185"/>
      <c r="BK149" s="185"/>
      <c r="BL149" s="185"/>
    </row>
    <row r="150" ht="15.7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233"/>
      <c r="AF150" s="185"/>
      <c r="AG150" s="185"/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5"/>
      <c r="AS150" s="185"/>
      <c r="AT150" s="185"/>
      <c r="AU150" s="185"/>
      <c r="AV150" s="185"/>
      <c r="AW150" s="185"/>
      <c r="AX150" s="185"/>
      <c r="AY150" s="185"/>
      <c r="AZ150" s="185"/>
      <c r="BA150" s="185"/>
      <c r="BB150" s="185"/>
      <c r="BC150" s="185"/>
      <c r="BD150" s="185"/>
      <c r="BE150" s="185"/>
      <c r="BF150" s="185"/>
      <c r="BG150" s="185"/>
      <c r="BH150" s="185"/>
      <c r="BI150" s="185"/>
      <c r="BJ150" s="185"/>
      <c r="BK150" s="185"/>
      <c r="BL150" s="185"/>
    </row>
    <row r="151" ht="15.7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233"/>
      <c r="AF151" s="185"/>
      <c r="AG151" s="185"/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5"/>
      <c r="AS151" s="185"/>
      <c r="AT151" s="185"/>
      <c r="AU151" s="185"/>
      <c r="AV151" s="185"/>
      <c r="AW151" s="185"/>
      <c r="AX151" s="185"/>
      <c r="AY151" s="185"/>
      <c r="AZ151" s="185"/>
      <c r="BA151" s="185"/>
      <c r="BB151" s="185"/>
      <c r="BC151" s="185"/>
      <c r="BD151" s="185"/>
      <c r="BE151" s="185"/>
      <c r="BF151" s="185"/>
      <c r="BG151" s="185"/>
      <c r="BH151" s="185"/>
      <c r="BI151" s="185"/>
      <c r="BJ151" s="185"/>
      <c r="BK151" s="185"/>
      <c r="BL151" s="185"/>
    </row>
    <row r="152" ht="15.7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233"/>
      <c r="AF152" s="185"/>
      <c r="AG152" s="185"/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5"/>
      <c r="AS152" s="185"/>
      <c r="AT152" s="185"/>
      <c r="AU152" s="185"/>
      <c r="AV152" s="185"/>
      <c r="AW152" s="185"/>
      <c r="AX152" s="185"/>
      <c r="AY152" s="185"/>
      <c r="AZ152" s="185"/>
      <c r="BA152" s="185"/>
      <c r="BB152" s="185"/>
      <c r="BC152" s="185"/>
      <c r="BD152" s="185"/>
      <c r="BE152" s="185"/>
      <c r="BF152" s="185"/>
      <c r="BG152" s="185"/>
      <c r="BH152" s="185"/>
      <c r="BI152" s="185"/>
      <c r="BJ152" s="185"/>
      <c r="BK152" s="185"/>
      <c r="BL152" s="185"/>
    </row>
    <row r="153" ht="15.7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/>
      <c r="AD153" s="185"/>
      <c r="AE153" s="233"/>
      <c r="AF153" s="185"/>
      <c r="AG153" s="185"/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5"/>
      <c r="AS153" s="185"/>
      <c r="AT153" s="185"/>
      <c r="AU153" s="185"/>
      <c r="AV153" s="185"/>
      <c r="AW153" s="185"/>
      <c r="AX153" s="185"/>
      <c r="AY153" s="185"/>
      <c r="AZ153" s="185"/>
      <c r="BA153" s="185"/>
      <c r="BB153" s="185"/>
      <c r="BC153" s="185"/>
      <c r="BD153" s="185"/>
      <c r="BE153" s="185"/>
      <c r="BF153" s="185"/>
      <c r="BG153" s="185"/>
      <c r="BH153" s="185"/>
      <c r="BI153" s="185"/>
      <c r="BJ153" s="185"/>
      <c r="BK153" s="185"/>
      <c r="BL153" s="185"/>
    </row>
    <row r="154" ht="15.7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/>
      <c r="AD154" s="185"/>
      <c r="AE154" s="233"/>
      <c r="AF154" s="185"/>
      <c r="AG154" s="185"/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5"/>
      <c r="AS154" s="185"/>
      <c r="AT154" s="185"/>
      <c r="AU154" s="185"/>
      <c r="AV154" s="185"/>
      <c r="AW154" s="185"/>
      <c r="AX154" s="185"/>
      <c r="AY154" s="185"/>
      <c r="AZ154" s="185"/>
      <c r="BA154" s="185"/>
      <c r="BB154" s="185"/>
      <c r="BC154" s="185"/>
      <c r="BD154" s="185"/>
      <c r="BE154" s="185"/>
      <c r="BF154" s="185"/>
      <c r="BG154" s="185"/>
      <c r="BH154" s="185"/>
      <c r="BI154" s="185"/>
      <c r="BJ154" s="185"/>
      <c r="BK154" s="185"/>
      <c r="BL154" s="185"/>
    </row>
    <row r="155" ht="15.7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/>
      <c r="AD155" s="185"/>
      <c r="AE155" s="233"/>
      <c r="AF155" s="185"/>
      <c r="AG155" s="185"/>
      <c r="AH155" s="185"/>
      <c r="AI155" s="185"/>
      <c r="AJ155" s="185"/>
      <c r="AK155" s="185"/>
      <c r="AL155" s="185"/>
      <c r="AM155" s="185"/>
      <c r="AN155" s="185"/>
      <c r="AO155" s="185"/>
      <c r="AP155" s="185"/>
      <c r="AQ155" s="185"/>
      <c r="AR155" s="185"/>
      <c r="AS155" s="185"/>
      <c r="AT155" s="185"/>
      <c r="AU155" s="185"/>
      <c r="AV155" s="185"/>
      <c r="AW155" s="185"/>
      <c r="AX155" s="185"/>
      <c r="AY155" s="185"/>
      <c r="AZ155" s="185"/>
      <c r="BA155" s="185"/>
      <c r="BB155" s="185"/>
      <c r="BC155" s="185"/>
      <c r="BD155" s="185"/>
      <c r="BE155" s="185"/>
      <c r="BF155" s="185"/>
      <c r="BG155" s="185"/>
      <c r="BH155" s="185"/>
      <c r="BI155" s="185"/>
      <c r="BJ155" s="185"/>
      <c r="BK155" s="185"/>
      <c r="BL155" s="185"/>
    </row>
    <row r="156" ht="15.7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/>
      <c r="AD156" s="185"/>
      <c r="AE156" s="233"/>
      <c r="AF156" s="185"/>
      <c r="AG156" s="185"/>
      <c r="AH156" s="185"/>
      <c r="AI156" s="185"/>
      <c r="AJ156" s="185"/>
      <c r="AK156" s="185"/>
      <c r="AL156" s="185"/>
      <c r="AM156" s="185"/>
      <c r="AN156" s="185"/>
      <c r="AO156" s="185"/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5"/>
      <c r="BI156" s="185"/>
      <c r="BJ156" s="185"/>
      <c r="BK156" s="185"/>
      <c r="BL156" s="185"/>
    </row>
    <row r="157" ht="15.7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233"/>
      <c r="AF157" s="185"/>
      <c r="AG157" s="185"/>
      <c r="AH157" s="185"/>
      <c r="AI157" s="185"/>
      <c r="AJ157" s="185"/>
      <c r="AK157" s="185"/>
      <c r="AL157" s="185"/>
      <c r="AM157" s="185"/>
      <c r="AN157" s="185"/>
      <c r="AO157" s="185"/>
      <c r="AP157" s="185"/>
      <c r="AQ157" s="185"/>
      <c r="AR157" s="185"/>
      <c r="AS157" s="185"/>
      <c r="AT157" s="185"/>
      <c r="AU157" s="185"/>
      <c r="AV157" s="185"/>
      <c r="AW157" s="185"/>
      <c r="AX157" s="185"/>
      <c r="AY157" s="185"/>
      <c r="AZ157" s="185"/>
      <c r="BA157" s="185"/>
      <c r="BB157" s="185"/>
      <c r="BC157" s="185"/>
      <c r="BD157" s="185"/>
      <c r="BE157" s="185"/>
      <c r="BF157" s="185"/>
      <c r="BG157" s="185"/>
      <c r="BH157" s="185"/>
      <c r="BI157" s="185"/>
      <c r="BJ157" s="185"/>
      <c r="BK157" s="185"/>
      <c r="BL157" s="185"/>
    </row>
    <row r="158" ht="15.7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233"/>
      <c r="AF158" s="185"/>
      <c r="AG158" s="185"/>
      <c r="AH158" s="185"/>
      <c r="AI158" s="185"/>
      <c r="AJ158" s="185"/>
      <c r="AK158" s="185"/>
      <c r="AL158" s="185"/>
      <c r="AM158" s="185"/>
      <c r="AN158" s="185"/>
      <c r="AO158" s="185"/>
      <c r="AP158" s="185"/>
      <c r="AQ158" s="185"/>
      <c r="AR158" s="185"/>
      <c r="AS158" s="185"/>
      <c r="AT158" s="185"/>
      <c r="AU158" s="185"/>
      <c r="AV158" s="185"/>
      <c r="AW158" s="185"/>
      <c r="AX158" s="185"/>
      <c r="AY158" s="185"/>
      <c r="AZ158" s="185"/>
      <c r="BA158" s="185"/>
      <c r="BB158" s="185"/>
      <c r="BC158" s="185"/>
      <c r="BD158" s="185"/>
      <c r="BE158" s="185"/>
      <c r="BF158" s="185"/>
      <c r="BG158" s="185"/>
      <c r="BH158" s="185"/>
      <c r="BI158" s="185"/>
      <c r="BJ158" s="185"/>
      <c r="BK158" s="185"/>
      <c r="BL158" s="185"/>
    </row>
    <row r="159" ht="15.7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233"/>
      <c r="AF159" s="185"/>
      <c r="AG159" s="185"/>
      <c r="AH159" s="185"/>
      <c r="AI159" s="185"/>
      <c r="AJ159" s="185"/>
      <c r="AK159" s="185"/>
      <c r="AL159" s="185"/>
      <c r="AM159" s="185"/>
      <c r="AN159" s="185"/>
      <c r="AO159" s="185"/>
      <c r="AP159" s="185"/>
      <c r="AQ159" s="185"/>
      <c r="AR159" s="185"/>
      <c r="AS159" s="185"/>
      <c r="AT159" s="185"/>
      <c r="AU159" s="185"/>
      <c r="AV159" s="185"/>
      <c r="AW159" s="185"/>
      <c r="AX159" s="185"/>
      <c r="AY159" s="185"/>
      <c r="AZ159" s="185"/>
      <c r="BA159" s="185"/>
      <c r="BB159" s="185"/>
      <c r="BC159" s="185"/>
      <c r="BD159" s="185"/>
      <c r="BE159" s="185"/>
      <c r="BF159" s="185"/>
      <c r="BG159" s="185"/>
      <c r="BH159" s="185"/>
      <c r="BI159" s="185"/>
      <c r="BJ159" s="185"/>
      <c r="BK159" s="185"/>
      <c r="BL159" s="185"/>
    </row>
    <row r="160" ht="15.7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/>
      <c r="AD160" s="185"/>
      <c r="AE160" s="233"/>
      <c r="AF160" s="185"/>
      <c r="AG160" s="185"/>
      <c r="AH160" s="185"/>
      <c r="AI160" s="185"/>
      <c r="AJ160" s="185"/>
      <c r="AK160" s="185"/>
      <c r="AL160" s="185"/>
      <c r="AM160" s="185"/>
      <c r="AN160" s="185"/>
      <c r="AO160" s="185"/>
      <c r="AP160" s="185"/>
      <c r="AQ160" s="185"/>
      <c r="AR160" s="185"/>
      <c r="AS160" s="185"/>
      <c r="AT160" s="185"/>
      <c r="AU160" s="185"/>
      <c r="AV160" s="185"/>
      <c r="AW160" s="185"/>
      <c r="AX160" s="185"/>
      <c r="AY160" s="185"/>
      <c r="AZ160" s="185"/>
      <c r="BA160" s="185"/>
      <c r="BB160" s="185"/>
      <c r="BC160" s="185"/>
      <c r="BD160" s="185"/>
      <c r="BE160" s="185"/>
      <c r="BF160" s="185"/>
      <c r="BG160" s="185"/>
      <c r="BH160" s="185"/>
      <c r="BI160" s="185"/>
      <c r="BJ160" s="185"/>
      <c r="BK160" s="185"/>
      <c r="BL160" s="185"/>
    </row>
    <row r="161" ht="15.7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/>
      <c r="AD161" s="185"/>
      <c r="AE161" s="233"/>
      <c r="AF161" s="185"/>
      <c r="AG161" s="185"/>
      <c r="AH161" s="185"/>
      <c r="AI161" s="185"/>
      <c r="AJ161" s="185"/>
      <c r="AK161" s="185"/>
      <c r="AL161" s="185"/>
      <c r="AM161" s="185"/>
      <c r="AN161" s="185"/>
      <c r="AO161" s="185"/>
      <c r="AP161" s="185"/>
      <c r="AQ161" s="185"/>
      <c r="AR161" s="185"/>
      <c r="AS161" s="185"/>
      <c r="AT161" s="185"/>
      <c r="AU161" s="185"/>
      <c r="AV161" s="185"/>
      <c r="AW161" s="185"/>
      <c r="AX161" s="185"/>
      <c r="AY161" s="185"/>
      <c r="AZ161" s="185"/>
      <c r="BA161" s="185"/>
      <c r="BB161" s="185"/>
      <c r="BC161" s="185"/>
      <c r="BD161" s="185"/>
      <c r="BE161" s="185"/>
      <c r="BF161" s="185"/>
      <c r="BG161" s="185"/>
      <c r="BH161" s="185"/>
      <c r="BI161" s="185"/>
      <c r="BJ161" s="185"/>
      <c r="BK161" s="185"/>
      <c r="BL161" s="185"/>
    </row>
    <row r="162" ht="15.7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/>
      <c r="AD162" s="185"/>
      <c r="AE162" s="233"/>
      <c r="AF162" s="185"/>
      <c r="AG162" s="185"/>
      <c r="AH162" s="185"/>
      <c r="AI162" s="185"/>
      <c r="AJ162" s="185"/>
      <c r="AK162" s="185"/>
      <c r="AL162" s="185"/>
      <c r="AM162" s="185"/>
      <c r="AN162" s="185"/>
      <c r="AO162" s="185"/>
      <c r="AP162" s="185"/>
      <c r="AQ162" s="185"/>
      <c r="AR162" s="185"/>
      <c r="AS162" s="185"/>
      <c r="AT162" s="185"/>
      <c r="AU162" s="185"/>
      <c r="AV162" s="185"/>
      <c r="AW162" s="185"/>
      <c r="AX162" s="185"/>
      <c r="AY162" s="185"/>
      <c r="AZ162" s="185"/>
      <c r="BA162" s="185"/>
      <c r="BB162" s="185"/>
      <c r="BC162" s="185"/>
      <c r="BD162" s="185"/>
      <c r="BE162" s="185"/>
      <c r="BF162" s="185"/>
      <c r="BG162" s="185"/>
      <c r="BH162" s="185"/>
      <c r="BI162" s="185"/>
      <c r="BJ162" s="185"/>
      <c r="BK162" s="185"/>
      <c r="BL162" s="185"/>
    </row>
    <row r="163" ht="15.7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/>
      <c r="AD163" s="185"/>
      <c r="AE163" s="233"/>
      <c r="AF163" s="185"/>
      <c r="AG163" s="185"/>
      <c r="AH163" s="185"/>
      <c r="AI163" s="185"/>
      <c r="AJ163" s="185"/>
      <c r="AK163" s="185"/>
      <c r="AL163" s="185"/>
      <c r="AM163" s="185"/>
      <c r="AN163" s="185"/>
      <c r="AO163" s="185"/>
      <c r="AP163" s="185"/>
      <c r="AQ163" s="185"/>
      <c r="AR163" s="185"/>
      <c r="AS163" s="185"/>
      <c r="AT163" s="185"/>
      <c r="AU163" s="185"/>
      <c r="AV163" s="185"/>
      <c r="AW163" s="185"/>
      <c r="AX163" s="185"/>
      <c r="AY163" s="185"/>
      <c r="AZ163" s="185"/>
      <c r="BA163" s="185"/>
      <c r="BB163" s="185"/>
      <c r="BC163" s="185"/>
      <c r="BD163" s="185"/>
      <c r="BE163" s="185"/>
      <c r="BF163" s="185"/>
      <c r="BG163" s="185"/>
      <c r="BH163" s="185"/>
      <c r="BI163" s="185"/>
      <c r="BJ163" s="185"/>
      <c r="BK163" s="185"/>
      <c r="BL163" s="185"/>
    </row>
    <row r="164" ht="15.7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/>
      <c r="AD164" s="185"/>
      <c r="AE164" s="233"/>
      <c r="AF164" s="185"/>
      <c r="AG164" s="185"/>
      <c r="AH164" s="185"/>
      <c r="AI164" s="185"/>
      <c r="AJ164" s="185"/>
      <c r="AK164" s="185"/>
      <c r="AL164" s="185"/>
      <c r="AM164" s="185"/>
      <c r="AN164" s="185"/>
      <c r="AO164" s="185"/>
      <c r="AP164" s="185"/>
      <c r="AQ164" s="185"/>
      <c r="AR164" s="185"/>
      <c r="AS164" s="185"/>
      <c r="AT164" s="185"/>
      <c r="AU164" s="185"/>
      <c r="AV164" s="185"/>
      <c r="AW164" s="185"/>
      <c r="AX164" s="185"/>
      <c r="AY164" s="185"/>
      <c r="AZ164" s="185"/>
      <c r="BA164" s="185"/>
      <c r="BB164" s="185"/>
      <c r="BC164" s="185"/>
      <c r="BD164" s="185"/>
      <c r="BE164" s="185"/>
      <c r="BF164" s="185"/>
      <c r="BG164" s="185"/>
      <c r="BH164" s="185"/>
      <c r="BI164" s="185"/>
      <c r="BJ164" s="185"/>
      <c r="BK164" s="185"/>
      <c r="BL164" s="185"/>
    </row>
    <row r="165" ht="15.7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/>
      <c r="AD165" s="185"/>
      <c r="AE165" s="233"/>
      <c r="AF165" s="185"/>
      <c r="AG165" s="185"/>
      <c r="AH165" s="185"/>
      <c r="AI165" s="185"/>
      <c r="AJ165" s="185"/>
      <c r="AK165" s="185"/>
      <c r="AL165" s="185"/>
      <c r="AM165" s="185"/>
      <c r="AN165" s="185"/>
      <c r="AO165" s="185"/>
      <c r="AP165" s="185"/>
      <c r="AQ165" s="185"/>
      <c r="AR165" s="185"/>
      <c r="AS165" s="185"/>
      <c r="AT165" s="185"/>
      <c r="AU165" s="185"/>
      <c r="AV165" s="185"/>
      <c r="AW165" s="185"/>
      <c r="AX165" s="185"/>
      <c r="AY165" s="185"/>
      <c r="AZ165" s="185"/>
      <c r="BA165" s="185"/>
      <c r="BB165" s="185"/>
      <c r="BC165" s="185"/>
      <c r="BD165" s="185"/>
      <c r="BE165" s="185"/>
      <c r="BF165" s="185"/>
      <c r="BG165" s="185"/>
      <c r="BH165" s="185"/>
      <c r="BI165" s="185"/>
      <c r="BJ165" s="185"/>
      <c r="BK165" s="185"/>
      <c r="BL165" s="185"/>
    </row>
    <row r="166" ht="15.7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/>
      <c r="AD166" s="185"/>
      <c r="AE166" s="233"/>
      <c r="AF166" s="185"/>
      <c r="AG166" s="185"/>
      <c r="AH166" s="185"/>
      <c r="AI166" s="185"/>
      <c r="AJ166" s="185"/>
      <c r="AK166" s="185"/>
      <c r="AL166" s="185"/>
      <c r="AM166" s="185"/>
      <c r="AN166" s="185"/>
      <c r="AO166" s="185"/>
      <c r="AP166" s="185"/>
      <c r="AQ166" s="185"/>
      <c r="AR166" s="185"/>
      <c r="AS166" s="185"/>
      <c r="AT166" s="185"/>
      <c r="AU166" s="185"/>
      <c r="AV166" s="185"/>
      <c r="AW166" s="185"/>
      <c r="AX166" s="185"/>
      <c r="AY166" s="185"/>
      <c r="AZ166" s="185"/>
      <c r="BA166" s="185"/>
      <c r="BB166" s="185"/>
      <c r="BC166" s="185"/>
      <c r="BD166" s="185"/>
      <c r="BE166" s="185"/>
      <c r="BF166" s="185"/>
      <c r="BG166" s="185"/>
      <c r="BH166" s="185"/>
      <c r="BI166" s="185"/>
      <c r="BJ166" s="185"/>
      <c r="BK166" s="185"/>
      <c r="BL166" s="185"/>
    </row>
    <row r="167" ht="15.7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/>
      <c r="AD167" s="185"/>
      <c r="AE167" s="233"/>
      <c r="AF167" s="185"/>
      <c r="AG167" s="185"/>
      <c r="AH167" s="185"/>
      <c r="AI167" s="185"/>
      <c r="AJ167" s="185"/>
      <c r="AK167" s="185"/>
      <c r="AL167" s="185"/>
      <c r="AM167" s="185"/>
      <c r="AN167" s="185"/>
      <c r="AO167" s="185"/>
      <c r="AP167" s="185"/>
      <c r="AQ167" s="185"/>
      <c r="AR167" s="185"/>
      <c r="AS167" s="185"/>
      <c r="AT167" s="185"/>
      <c r="AU167" s="185"/>
      <c r="AV167" s="185"/>
      <c r="AW167" s="185"/>
      <c r="AX167" s="185"/>
      <c r="AY167" s="185"/>
      <c r="AZ167" s="185"/>
      <c r="BA167" s="185"/>
      <c r="BB167" s="185"/>
      <c r="BC167" s="185"/>
      <c r="BD167" s="185"/>
      <c r="BE167" s="185"/>
      <c r="BF167" s="185"/>
      <c r="BG167" s="185"/>
      <c r="BH167" s="185"/>
      <c r="BI167" s="185"/>
      <c r="BJ167" s="185"/>
      <c r="BK167" s="185"/>
      <c r="BL167" s="185"/>
    </row>
    <row r="168" ht="15.7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  <c r="AA168" s="185"/>
      <c r="AB168" s="185"/>
      <c r="AC168" s="185"/>
      <c r="AD168" s="185"/>
      <c r="AE168" s="233"/>
      <c r="AF168" s="185"/>
      <c r="AG168" s="185"/>
      <c r="AH168" s="185"/>
      <c r="AI168" s="185"/>
      <c r="AJ168" s="185"/>
      <c r="AK168" s="185"/>
      <c r="AL168" s="185"/>
      <c r="AM168" s="185"/>
      <c r="AN168" s="185"/>
      <c r="AO168" s="185"/>
      <c r="AP168" s="185"/>
      <c r="AQ168" s="185"/>
      <c r="AR168" s="185"/>
      <c r="AS168" s="185"/>
      <c r="AT168" s="185"/>
      <c r="AU168" s="185"/>
      <c r="AV168" s="185"/>
      <c r="AW168" s="185"/>
      <c r="AX168" s="185"/>
      <c r="AY168" s="185"/>
      <c r="AZ168" s="185"/>
      <c r="BA168" s="185"/>
      <c r="BB168" s="185"/>
      <c r="BC168" s="185"/>
      <c r="BD168" s="185"/>
      <c r="BE168" s="185"/>
      <c r="BF168" s="185"/>
      <c r="BG168" s="185"/>
      <c r="BH168" s="185"/>
      <c r="BI168" s="185"/>
      <c r="BJ168" s="185"/>
      <c r="BK168" s="185"/>
      <c r="BL168" s="185"/>
    </row>
    <row r="169" ht="15.7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  <c r="AA169" s="185"/>
      <c r="AB169" s="185"/>
      <c r="AC169" s="185"/>
      <c r="AD169" s="185"/>
      <c r="AE169" s="233"/>
      <c r="AF169" s="185"/>
      <c r="AG169" s="185"/>
      <c r="AH169" s="185"/>
      <c r="AI169" s="185"/>
      <c r="AJ169" s="185"/>
      <c r="AK169" s="185"/>
      <c r="AL169" s="185"/>
      <c r="AM169" s="185"/>
      <c r="AN169" s="185"/>
      <c r="AO169" s="185"/>
      <c r="AP169" s="185"/>
      <c r="AQ169" s="185"/>
      <c r="AR169" s="185"/>
      <c r="AS169" s="185"/>
      <c r="AT169" s="185"/>
      <c r="AU169" s="185"/>
      <c r="AV169" s="185"/>
      <c r="AW169" s="185"/>
      <c r="AX169" s="185"/>
      <c r="AY169" s="185"/>
      <c r="AZ169" s="185"/>
      <c r="BA169" s="185"/>
      <c r="BB169" s="185"/>
      <c r="BC169" s="185"/>
      <c r="BD169" s="185"/>
      <c r="BE169" s="185"/>
      <c r="BF169" s="185"/>
      <c r="BG169" s="185"/>
      <c r="BH169" s="185"/>
      <c r="BI169" s="185"/>
      <c r="BJ169" s="185"/>
      <c r="BK169" s="185"/>
      <c r="BL169" s="185"/>
    </row>
    <row r="170" ht="15.7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/>
      <c r="AD170" s="185"/>
      <c r="AE170" s="233"/>
      <c r="AF170" s="185"/>
      <c r="AG170" s="185"/>
      <c r="AH170" s="185"/>
      <c r="AI170" s="185"/>
      <c r="AJ170" s="185"/>
      <c r="AK170" s="185"/>
      <c r="AL170" s="185"/>
      <c r="AM170" s="185"/>
      <c r="AN170" s="185"/>
      <c r="AO170" s="185"/>
      <c r="AP170" s="185"/>
      <c r="AQ170" s="185"/>
      <c r="AR170" s="185"/>
      <c r="AS170" s="185"/>
      <c r="AT170" s="185"/>
      <c r="AU170" s="185"/>
      <c r="AV170" s="185"/>
      <c r="AW170" s="185"/>
      <c r="AX170" s="185"/>
      <c r="AY170" s="185"/>
      <c r="AZ170" s="185"/>
      <c r="BA170" s="185"/>
      <c r="BB170" s="185"/>
      <c r="BC170" s="185"/>
      <c r="BD170" s="185"/>
      <c r="BE170" s="185"/>
      <c r="BF170" s="185"/>
      <c r="BG170" s="185"/>
      <c r="BH170" s="185"/>
      <c r="BI170" s="185"/>
      <c r="BJ170" s="185"/>
      <c r="BK170" s="185"/>
      <c r="BL170" s="185"/>
    </row>
    <row r="171" ht="15.7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/>
      <c r="AD171" s="185"/>
      <c r="AE171" s="233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85"/>
      <c r="AV171" s="185"/>
      <c r="AW171" s="185"/>
      <c r="AX171" s="185"/>
      <c r="AY171" s="185"/>
      <c r="AZ171" s="185"/>
      <c r="BA171" s="185"/>
      <c r="BB171" s="185"/>
      <c r="BC171" s="185"/>
      <c r="BD171" s="185"/>
      <c r="BE171" s="185"/>
      <c r="BF171" s="185"/>
      <c r="BG171" s="185"/>
      <c r="BH171" s="185"/>
      <c r="BI171" s="185"/>
      <c r="BJ171" s="185"/>
      <c r="BK171" s="185"/>
      <c r="BL171" s="185"/>
    </row>
    <row r="172" ht="15.7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/>
      <c r="AD172" s="185"/>
      <c r="AE172" s="233"/>
      <c r="AF172" s="185"/>
      <c r="AG172" s="185"/>
      <c r="AH172" s="185"/>
      <c r="AI172" s="185"/>
      <c r="AJ172" s="185"/>
      <c r="AK172" s="185"/>
      <c r="AL172" s="185"/>
      <c r="AM172" s="185"/>
      <c r="AN172" s="185"/>
      <c r="AO172" s="185"/>
      <c r="AP172" s="185"/>
      <c r="AQ172" s="185"/>
      <c r="AR172" s="185"/>
      <c r="AS172" s="185"/>
      <c r="AT172" s="185"/>
      <c r="AU172" s="185"/>
      <c r="AV172" s="185"/>
      <c r="AW172" s="185"/>
      <c r="AX172" s="185"/>
      <c r="AY172" s="185"/>
      <c r="AZ172" s="185"/>
      <c r="BA172" s="185"/>
      <c r="BB172" s="185"/>
      <c r="BC172" s="185"/>
      <c r="BD172" s="185"/>
      <c r="BE172" s="185"/>
      <c r="BF172" s="185"/>
      <c r="BG172" s="185"/>
      <c r="BH172" s="185"/>
      <c r="BI172" s="185"/>
      <c r="BJ172" s="185"/>
      <c r="BK172" s="185"/>
      <c r="BL172" s="185"/>
    </row>
    <row r="173" ht="15.7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/>
      <c r="AD173" s="185"/>
      <c r="AE173" s="233"/>
      <c r="AF173" s="185"/>
      <c r="AG173" s="185"/>
      <c r="AH173" s="185"/>
      <c r="AI173" s="185"/>
      <c r="AJ173" s="185"/>
      <c r="AK173" s="185"/>
      <c r="AL173" s="185"/>
      <c r="AM173" s="185"/>
      <c r="AN173" s="185"/>
      <c r="AO173" s="185"/>
      <c r="AP173" s="185"/>
      <c r="AQ173" s="185"/>
      <c r="AR173" s="185"/>
      <c r="AS173" s="185"/>
      <c r="AT173" s="185"/>
      <c r="AU173" s="185"/>
      <c r="AV173" s="185"/>
      <c r="AW173" s="185"/>
      <c r="AX173" s="185"/>
      <c r="AY173" s="185"/>
      <c r="AZ173" s="185"/>
      <c r="BA173" s="185"/>
      <c r="BB173" s="185"/>
      <c r="BC173" s="185"/>
      <c r="BD173" s="185"/>
      <c r="BE173" s="185"/>
      <c r="BF173" s="185"/>
      <c r="BG173" s="185"/>
      <c r="BH173" s="185"/>
      <c r="BI173" s="185"/>
      <c r="BJ173" s="185"/>
      <c r="BK173" s="185"/>
      <c r="BL173" s="185"/>
    </row>
    <row r="174" ht="15.7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/>
      <c r="AD174" s="185"/>
      <c r="AE174" s="233"/>
      <c r="AF174" s="185"/>
      <c r="AG174" s="185"/>
      <c r="AH174" s="185"/>
      <c r="AI174" s="185"/>
      <c r="AJ174" s="185"/>
      <c r="AK174" s="185"/>
      <c r="AL174" s="185"/>
      <c r="AM174" s="185"/>
      <c r="AN174" s="185"/>
      <c r="AO174" s="185"/>
      <c r="AP174" s="185"/>
      <c r="AQ174" s="185"/>
      <c r="AR174" s="185"/>
      <c r="AS174" s="185"/>
      <c r="AT174" s="185"/>
      <c r="AU174" s="185"/>
      <c r="AV174" s="185"/>
      <c r="AW174" s="185"/>
      <c r="AX174" s="185"/>
      <c r="AY174" s="185"/>
      <c r="AZ174" s="185"/>
      <c r="BA174" s="185"/>
      <c r="BB174" s="185"/>
      <c r="BC174" s="185"/>
      <c r="BD174" s="185"/>
      <c r="BE174" s="185"/>
      <c r="BF174" s="185"/>
      <c r="BG174" s="185"/>
      <c r="BH174" s="185"/>
      <c r="BI174" s="185"/>
      <c r="BJ174" s="185"/>
      <c r="BK174" s="185"/>
      <c r="BL174" s="185"/>
    </row>
    <row r="175" ht="15.7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/>
      <c r="AD175" s="185"/>
      <c r="AE175" s="233"/>
      <c r="AF175" s="185"/>
      <c r="AG175" s="185"/>
      <c r="AH175" s="185"/>
      <c r="AI175" s="185"/>
      <c r="AJ175" s="185"/>
      <c r="AK175" s="185"/>
      <c r="AL175" s="185"/>
      <c r="AM175" s="185"/>
      <c r="AN175" s="185"/>
      <c r="AO175" s="185"/>
      <c r="AP175" s="185"/>
      <c r="AQ175" s="185"/>
      <c r="AR175" s="185"/>
      <c r="AS175" s="185"/>
      <c r="AT175" s="185"/>
      <c r="AU175" s="185"/>
      <c r="AV175" s="185"/>
      <c r="AW175" s="185"/>
      <c r="AX175" s="185"/>
      <c r="AY175" s="185"/>
      <c r="AZ175" s="185"/>
      <c r="BA175" s="185"/>
      <c r="BB175" s="185"/>
      <c r="BC175" s="185"/>
      <c r="BD175" s="185"/>
      <c r="BE175" s="185"/>
      <c r="BF175" s="185"/>
      <c r="BG175" s="185"/>
      <c r="BH175" s="185"/>
      <c r="BI175" s="185"/>
      <c r="BJ175" s="185"/>
      <c r="BK175" s="185"/>
      <c r="BL175" s="185"/>
    </row>
    <row r="176" ht="15.7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/>
      <c r="AD176" s="185"/>
      <c r="AE176" s="233"/>
      <c r="AF176" s="185"/>
      <c r="AG176" s="185"/>
      <c r="AH176" s="185"/>
      <c r="AI176" s="185"/>
      <c r="AJ176" s="185"/>
      <c r="AK176" s="185"/>
      <c r="AL176" s="185"/>
      <c r="AM176" s="185"/>
      <c r="AN176" s="185"/>
      <c r="AO176" s="185"/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5"/>
      <c r="BI176" s="185"/>
      <c r="BJ176" s="185"/>
      <c r="BK176" s="185"/>
      <c r="BL176" s="185"/>
    </row>
    <row r="177" ht="15.7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/>
      <c r="AD177" s="185"/>
      <c r="AE177" s="233"/>
      <c r="AF177" s="185"/>
      <c r="AG177" s="185"/>
      <c r="AH177" s="185"/>
      <c r="AI177" s="185"/>
      <c r="AJ177" s="185"/>
      <c r="AK177" s="185"/>
      <c r="AL177" s="185"/>
      <c r="AM177" s="185"/>
      <c r="AN177" s="185"/>
      <c r="AO177" s="185"/>
      <c r="AP177" s="185"/>
      <c r="AQ177" s="185"/>
      <c r="AR177" s="185"/>
      <c r="AS177" s="185"/>
      <c r="AT177" s="185"/>
      <c r="AU177" s="185"/>
      <c r="AV177" s="185"/>
      <c r="AW177" s="185"/>
      <c r="AX177" s="185"/>
      <c r="AY177" s="185"/>
      <c r="AZ177" s="185"/>
      <c r="BA177" s="185"/>
      <c r="BB177" s="185"/>
      <c r="BC177" s="185"/>
      <c r="BD177" s="185"/>
      <c r="BE177" s="185"/>
      <c r="BF177" s="185"/>
      <c r="BG177" s="185"/>
      <c r="BH177" s="185"/>
      <c r="BI177" s="185"/>
      <c r="BJ177" s="185"/>
      <c r="BK177" s="185"/>
      <c r="BL177" s="185"/>
    </row>
    <row r="178" ht="15.7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/>
      <c r="AD178" s="185"/>
      <c r="AE178" s="233"/>
      <c r="AF178" s="185"/>
      <c r="AG178" s="185"/>
      <c r="AH178" s="185"/>
      <c r="AI178" s="185"/>
      <c r="AJ178" s="185"/>
      <c r="AK178" s="185"/>
      <c r="AL178" s="185"/>
      <c r="AM178" s="185"/>
      <c r="AN178" s="185"/>
      <c r="AO178" s="185"/>
      <c r="AP178" s="185"/>
      <c r="AQ178" s="185"/>
      <c r="AR178" s="185"/>
      <c r="AS178" s="185"/>
      <c r="AT178" s="185"/>
      <c r="AU178" s="185"/>
      <c r="AV178" s="185"/>
      <c r="AW178" s="185"/>
      <c r="AX178" s="185"/>
      <c r="AY178" s="185"/>
      <c r="AZ178" s="185"/>
      <c r="BA178" s="185"/>
      <c r="BB178" s="185"/>
      <c r="BC178" s="185"/>
      <c r="BD178" s="185"/>
      <c r="BE178" s="185"/>
      <c r="BF178" s="185"/>
      <c r="BG178" s="185"/>
      <c r="BH178" s="185"/>
      <c r="BI178" s="185"/>
      <c r="BJ178" s="185"/>
      <c r="BK178" s="185"/>
      <c r="BL178" s="185"/>
    </row>
    <row r="179" ht="15.7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/>
      <c r="AD179" s="185"/>
      <c r="AE179" s="233"/>
      <c r="AF179" s="185"/>
      <c r="AG179" s="185"/>
      <c r="AH179" s="185"/>
      <c r="AI179" s="185"/>
      <c r="AJ179" s="185"/>
      <c r="AK179" s="185"/>
      <c r="AL179" s="185"/>
      <c r="AM179" s="185"/>
      <c r="AN179" s="185"/>
      <c r="AO179" s="185"/>
      <c r="AP179" s="185"/>
      <c r="AQ179" s="185"/>
      <c r="AR179" s="185"/>
      <c r="AS179" s="185"/>
      <c r="AT179" s="185"/>
      <c r="AU179" s="185"/>
      <c r="AV179" s="185"/>
      <c r="AW179" s="185"/>
      <c r="AX179" s="185"/>
      <c r="AY179" s="185"/>
      <c r="AZ179" s="185"/>
      <c r="BA179" s="185"/>
      <c r="BB179" s="185"/>
      <c r="BC179" s="185"/>
      <c r="BD179" s="185"/>
      <c r="BE179" s="185"/>
      <c r="BF179" s="185"/>
      <c r="BG179" s="185"/>
      <c r="BH179" s="185"/>
      <c r="BI179" s="185"/>
      <c r="BJ179" s="185"/>
      <c r="BK179" s="185"/>
      <c r="BL179" s="185"/>
    </row>
    <row r="180" ht="15.7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/>
      <c r="AD180" s="185"/>
      <c r="AE180" s="233"/>
      <c r="AF180" s="185"/>
      <c r="AG180" s="185"/>
      <c r="AH180" s="185"/>
      <c r="AI180" s="185"/>
      <c r="AJ180" s="185"/>
      <c r="AK180" s="185"/>
      <c r="AL180" s="185"/>
      <c r="AM180" s="185"/>
      <c r="AN180" s="185"/>
      <c r="AO180" s="185"/>
      <c r="AP180" s="185"/>
      <c r="AQ180" s="185"/>
      <c r="AR180" s="185"/>
      <c r="AS180" s="185"/>
      <c r="AT180" s="185"/>
      <c r="AU180" s="185"/>
      <c r="AV180" s="185"/>
      <c r="AW180" s="185"/>
      <c r="AX180" s="185"/>
      <c r="AY180" s="185"/>
      <c r="AZ180" s="185"/>
      <c r="BA180" s="185"/>
      <c r="BB180" s="185"/>
      <c r="BC180" s="185"/>
      <c r="BD180" s="185"/>
      <c r="BE180" s="185"/>
      <c r="BF180" s="185"/>
      <c r="BG180" s="185"/>
      <c r="BH180" s="185"/>
      <c r="BI180" s="185"/>
      <c r="BJ180" s="185"/>
      <c r="BK180" s="185"/>
      <c r="BL180" s="185"/>
    </row>
    <row r="181" ht="15.7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/>
      <c r="AD181" s="185"/>
      <c r="AE181" s="233"/>
      <c r="AF181" s="185"/>
      <c r="AG181" s="185"/>
      <c r="AH181" s="185"/>
      <c r="AI181" s="185"/>
      <c r="AJ181" s="185"/>
      <c r="AK181" s="185"/>
      <c r="AL181" s="185"/>
      <c r="AM181" s="185"/>
      <c r="AN181" s="185"/>
      <c r="AO181" s="185"/>
      <c r="AP181" s="185"/>
      <c r="AQ181" s="185"/>
      <c r="AR181" s="185"/>
      <c r="AS181" s="185"/>
      <c r="AT181" s="185"/>
      <c r="AU181" s="185"/>
      <c r="AV181" s="185"/>
      <c r="AW181" s="185"/>
      <c r="AX181" s="185"/>
      <c r="AY181" s="185"/>
      <c r="AZ181" s="185"/>
      <c r="BA181" s="185"/>
      <c r="BB181" s="185"/>
      <c r="BC181" s="185"/>
      <c r="BD181" s="185"/>
      <c r="BE181" s="185"/>
      <c r="BF181" s="185"/>
      <c r="BG181" s="185"/>
      <c r="BH181" s="185"/>
      <c r="BI181" s="185"/>
      <c r="BJ181" s="185"/>
      <c r="BK181" s="185"/>
      <c r="BL181" s="185"/>
    </row>
    <row r="182" ht="15.7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/>
      <c r="AD182" s="185"/>
      <c r="AE182" s="233"/>
      <c r="AF182" s="185"/>
      <c r="AG182" s="185"/>
      <c r="AH182" s="185"/>
      <c r="AI182" s="185"/>
      <c r="AJ182" s="185"/>
      <c r="AK182" s="185"/>
      <c r="AL182" s="185"/>
      <c r="AM182" s="185"/>
      <c r="AN182" s="185"/>
      <c r="AO182" s="185"/>
      <c r="AP182" s="185"/>
      <c r="AQ182" s="185"/>
      <c r="AR182" s="185"/>
      <c r="AS182" s="185"/>
      <c r="AT182" s="185"/>
      <c r="AU182" s="185"/>
      <c r="AV182" s="185"/>
      <c r="AW182" s="185"/>
      <c r="AX182" s="185"/>
      <c r="AY182" s="185"/>
      <c r="AZ182" s="185"/>
      <c r="BA182" s="185"/>
      <c r="BB182" s="185"/>
      <c r="BC182" s="185"/>
      <c r="BD182" s="185"/>
      <c r="BE182" s="185"/>
      <c r="BF182" s="185"/>
      <c r="BG182" s="185"/>
      <c r="BH182" s="185"/>
      <c r="BI182" s="185"/>
      <c r="BJ182" s="185"/>
      <c r="BK182" s="185"/>
      <c r="BL182" s="185"/>
    </row>
    <row r="183" ht="15.7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/>
      <c r="AD183" s="185"/>
      <c r="AE183" s="233"/>
      <c r="AF183" s="185"/>
      <c r="AG183" s="185"/>
      <c r="AH183" s="185"/>
      <c r="AI183" s="185"/>
      <c r="AJ183" s="185"/>
      <c r="AK183" s="185"/>
      <c r="AL183" s="185"/>
      <c r="AM183" s="185"/>
      <c r="AN183" s="185"/>
      <c r="AO183" s="185"/>
      <c r="AP183" s="185"/>
      <c r="AQ183" s="185"/>
      <c r="AR183" s="185"/>
      <c r="AS183" s="185"/>
      <c r="AT183" s="185"/>
      <c r="AU183" s="185"/>
      <c r="AV183" s="185"/>
      <c r="AW183" s="185"/>
      <c r="AX183" s="185"/>
      <c r="AY183" s="185"/>
      <c r="AZ183" s="185"/>
      <c r="BA183" s="185"/>
      <c r="BB183" s="185"/>
      <c r="BC183" s="185"/>
      <c r="BD183" s="185"/>
      <c r="BE183" s="185"/>
      <c r="BF183" s="185"/>
      <c r="BG183" s="185"/>
      <c r="BH183" s="185"/>
      <c r="BI183" s="185"/>
      <c r="BJ183" s="185"/>
      <c r="BK183" s="185"/>
      <c r="BL183" s="185"/>
    </row>
    <row r="184" ht="15.7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/>
      <c r="AD184" s="185"/>
      <c r="AE184" s="233"/>
      <c r="AF184" s="185"/>
      <c r="AG184" s="185"/>
      <c r="AH184" s="185"/>
      <c r="AI184" s="185"/>
      <c r="AJ184" s="185"/>
      <c r="AK184" s="185"/>
      <c r="AL184" s="185"/>
      <c r="AM184" s="185"/>
      <c r="AN184" s="185"/>
      <c r="AO184" s="185"/>
      <c r="AP184" s="185"/>
      <c r="AQ184" s="185"/>
      <c r="AR184" s="185"/>
      <c r="AS184" s="185"/>
      <c r="AT184" s="185"/>
      <c r="AU184" s="185"/>
      <c r="AV184" s="185"/>
      <c r="AW184" s="185"/>
      <c r="AX184" s="185"/>
      <c r="AY184" s="185"/>
      <c r="AZ184" s="185"/>
      <c r="BA184" s="185"/>
      <c r="BB184" s="185"/>
      <c r="BC184" s="185"/>
      <c r="BD184" s="185"/>
      <c r="BE184" s="185"/>
      <c r="BF184" s="185"/>
      <c r="BG184" s="185"/>
      <c r="BH184" s="185"/>
      <c r="BI184" s="185"/>
      <c r="BJ184" s="185"/>
      <c r="BK184" s="185"/>
      <c r="BL184" s="185"/>
    </row>
    <row r="185" ht="15.7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233"/>
      <c r="AF185" s="185"/>
      <c r="AG185" s="185"/>
      <c r="AH185" s="185"/>
      <c r="AI185" s="185"/>
      <c r="AJ185" s="185"/>
      <c r="AK185" s="185"/>
      <c r="AL185" s="185"/>
      <c r="AM185" s="185"/>
      <c r="AN185" s="185"/>
      <c r="AO185" s="185"/>
      <c r="AP185" s="185"/>
      <c r="AQ185" s="185"/>
      <c r="AR185" s="185"/>
      <c r="AS185" s="185"/>
      <c r="AT185" s="185"/>
      <c r="AU185" s="185"/>
      <c r="AV185" s="185"/>
      <c r="AW185" s="185"/>
      <c r="AX185" s="185"/>
      <c r="AY185" s="185"/>
      <c r="AZ185" s="185"/>
      <c r="BA185" s="185"/>
      <c r="BB185" s="185"/>
      <c r="BC185" s="185"/>
      <c r="BD185" s="185"/>
      <c r="BE185" s="185"/>
      <c r="BF185" s="185"/>
      <c r="BG185" s="185"/>
      <c r="BH185" s="185"/>
      <c r="BI185" s="185"/>
      <c r="BJ185" s="185"/>
      <c r="BK185" s="185"/>
      <c r="BL185" s="185"/>
    </row>
    <row r="186" ht="15.7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233"/>
      <c r="AF186" s="185"/>
      <c r="AG186" s="185"/>
      <c r="AH186" s="185"/>
      <c r="AI186" s="185"/>
      <c r="AJ186" s="185"/>
      <c r="AK186" s="185"/>
      <c r="AL186" s="185"/>
      <c r="AM186" s="185"/>
      <c r="AN186" s="185"/>
      <c r="AO186" s="185"/>
      <c r="AP186" s="185"/>
      <c r="AQ186" s="185"/>
      <c r="AR186" s="185"/>
      <c r="AS186" s="185"/>
      <c r="AT186" s="185"/>
      <c r="AU186" s="185"/>
      <c r="AV186" s="185"/>
      <c r="AW186" s="185"/>
      <c r="AX186" s="185"/>
      <c r="AY186" s="185"/>
      <c r="AZ186" s="185"/>
      <c r="BA186" s="185"/>
      <c r="BB186" s="185"/>
      <c r="BC186" s="185"/>
      <c r="BD186" s="185"/>
      <c r="BE186" s="185"/>
      <c r="BF186" s="185"/>
      <c r="BG186" s="185"/>
      <c r="BH186" s="185"/>
      <c r="BI186" s="185"/>
      <c r="BJ186" s="185"/>
      <c r="BK186" s="185"/>
      <c r="BL186" s="185"/>
    </row>
    <row r="187" ht="15.7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/>
      <c r="AD187" s="185"/>
      <c r="AE187" s="233"/>
      <c r="AF187" s="185"/>
      <c r="AG187" s="185"/>
      <c r="AH187" s="185"/>
      <c r="AI187" s="185"/>
      <c r="AJ187" s="185"/>
      <c r="AK187" s="185"/>
      <c r="AL187" s="185"/>
      <c r="AM187" s="185"/>
      <c r="AN187" s="185"/>
      <c r="AO187" s="185"/>
      <c r="AP187" s="185"/>
      <c r="AQ187" s="185"/>
      <c r="AR187" s="185"/>
      <c r="AS187" s="185"/>
      <c r="AT187" s="185"/>
      <c r="AU187" s="185"/>
      <c r="AV187" s="185"/>
      <c r="AW187" s="185"/>
      <c r="AX187" s="185"/>
      <c r="AY187" s="185"/>
      <c r="AZ187" s="185"/>
      <c r="BA187" s="185"/>
      <c r="BB187" s="185"/>
      <c r="BC187" s="185"/>
      <c r="BD187" s="185"/>
      <c r="BE187" s="185"/>
      <c r="BF187" s="185"/>
      <c r="BG187" s="185"/>
      <c r="BH187" s="185"/>
      <c r="BI187" s="185"/>
      <c r="BJ187" s="185"/>
      <c r="BK187" s="185"/>
      <c r="BL187" s="185"/>
    </row>
    <row r="188" ht="15.7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233"/>
      <c r="AF188" s="185"/>
      <c r="AG188" s="185"/>
      <c r="AH188" s="185"/>
      <c r="AI188" s="185"/>
      <c r="AJ188" s="185"/>
      <c r="AK188" s="185"/>
      <c r="AL188" s="185"/>
      <c r="AM188" s="185"/>
      <c r="AN188" s="185"/>
      <c r="AO188" s="185"/>
      <c r="AP188" s="185"/>
      <c r="AQ188" s="185"/>
      <c r="AR188" s="185"/>
      <c r="AS188" s="185"/>
      <c r="AT188" s="185"/>
      <c r="AU188" s="185"/>
      <c r="AV188" s="185"/>
      <c r="AW188" s="185"/>
      <c r="AX188" s="185"/>
      <c r="AY188" s="185"/>
      <c r="AZ188" s="185"/>
      <c r="BA188" s="185"/>
      <c r="BB188" s="185"/>
      <c r="BC188" s="185"/>
      <c r="BD188" s="185"/>
      <c r="BE188" s="185"/>
      <c r="BF188" s="185"/>
      <c r="BG188" s="185"/>
      <c r="BH188" s="185"/>
      <c r="BI188" s="185"/>
      <c r="BJ188" s="185"/>
      <c r="BK188" s="185"/>
      <c r="BL188" s="185"/>
    </row>
    <row r="189" ht="15.7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/>
      <c r="AD189" s="185"/>
      <c r="AE189" s="233"/>
      <c r="AF189" s="185"/>
      <c r="AG189" s="185"/>
      <c r="AH189" s="185"/>
      <c r="AI189" s="185"/>
      <c r="AJ189" s="185"/>
      <c r="AK189" s="185"/>
      <c r="AL189" s="185"/>
      <c r="AM189" s="185"/>
      <c r="AN189" s="185"/>
      <c r="AO189" s="185"/>
      <c r="AP189" s="185"/>
      <c r="AQ189" s="185"/>
      <c r="AR189" s="185"/>
      <c r="AS189" s="185"/>
      <c r="AT189" s="185"/>
      <c r="AU189" s="185"/>
      <c r="AV189" s="185"/>
      <c r="AW189" s="185"/>
      <c r="AX189" s="185"/>
      <c r="AY189" s="185"/>
      <c r="AZ189" s="185"/>
      <c r="BA189" s="185"/>
      <c r="BB189" s="185"/>
      <c r="BC189" s="185"/>
      <c r="BD189" s="185"/>
      <c r="BE189" s="185"/>
      <c r="BF189" s="185"/>
      <c r="BG189" s="185"/>
      <c r="BH189" s="185"/>
      <c r="BI189" s="185"/>
      <c r="BJ189" s="185"/>
      <c r="BK189" s="185"/>
      <c r="BL189" s="185"/>
    </row>
    <row r="190" ht="15.7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233"/>
      <c r="AF190" s="185"/>
      <c r="AG190" s="185"/>
      <c r="AH190" s="185"/>
      <c r="AI190" s="185"/>
      <c r="AJ190" s="185"/>
      <c r="AK190" s="185"/>
      <c r="AL190" s="185"/>
      <c r="AM190" s="185"/>
      <c r="AN190" s="185"/>
      <c r="AO190" s="185"/>
      <c r="AP190" s="185"/>
      <c r="AQ190" s="185"/>
      <c r="AR190" s="185"/>
      <c r="AS190" s="185"/>
      <c r="AT190" s="185"/>
      <c r="AU190" s="185"/>
      <c r="AV190" s="185"/>
      <c r="AW190" s="185"/>
      <c r="AX190" s="185"/>
      <c r="AY190" s="185"/>
      <c r="AZ190" s="185"/>
      <c r="BA190" s="185"/>
      <c r="BB190" s="185"/>
      <c r="BC190" s="185"/>
      <c r="BD190" s="185"/>
      <c r="BE190" s="185"/>
      <c r="BF190" s="185"/>
      <c r="BG190" s="185"/>
      <c r="BH190" s="185"/>
      <c r="BI190" s="185"/>
      <c r="BJ190" s="185"/>
      <c r="BK190" s="185"/>
      <c r="BL190" s="185"/>
    </row>
    <row r="191" ht="15.7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/>
      <c r="AD191" s="185"/>
      <c r="AE191" s="233"/>
      <c r="AF191" s="185"/>
      <c r="AG191" s="185"/>
      <c r="AH191" s="185"/>
      <c r="AI191" s="185"/>
      <c r="AJ191" s="185"/>
      <c r="AK191" s="185"/>
      <c r="AL191" s="185"/>
      <c r="AM191" s="185"/>
      <c r="AN191" s="185"/>
      <c r="AO191" s="185"/>
      <c r="AP191" s="185"/>
      <c r="AQ191" s="185"/>
      <c r="AR191" s="185"/>
      <c r="AS191" s="185"/>
      <c r="AT191" s="185"/>
      <c r="AU191" s="185"/>
      <c r="AV191" s="185"/>
      <c r="AW191" s="185"/>
      <c r="AX191" s="185"/>
      <c r="AY191" s="185"/>
      <c r="AZ191" s="185"/>
      <c r="BA191" s="185"/>
      <c r="BB191" s="185"/>
      <c r="BC191" s="185"/>
      <c r="BD191" s="185"/>
      <c r="BE191" s="185"/>
      <c r="BF191" s="185"/>
      <c r="BG191" s="185"/>
      <c r="BH191" s="185"/>
      <c r="BI191" s="185"/>
      <c r="BJ191" s="185"/>
      <c r="BK191" s="185"/>
      <c r="BL191" s="185"/>
    </row>
    <row r="192" ht="15.7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233"/>
      <c r="AF192" s="185"/>
      <c r="AG192" s="185"/>
      <c r="AH192" s="185"/>
      <c r="AI192" s="185"/>
      <c r="AJ192" s="185"/>
      <c r="AK192" s="185"/>
      <c r="AL192" s="185"/>
      <c r="AM192" s="185"/>
      <c r="AN192" s="185"/>
      <c r="AO192" s="185"/>
      <c r="AP192" s="185"/>
      <c r="AQ192" s="185"/>
      <c r="AR192" s="185"/>
      <c r="AS192" s="185"/>
      <c r="AT192" s="185"/>
      <c r="AU192" s="185"/>
      <c r="AV192" s="185"/>
      <c r="AW192" s="185"/>
      <c r="AX192" s="185"/>
      <c r="AY192" s="185"/>
      <c r="AZ192" s="185"/>
      <c r="BA192" s="185"/>
      <c r="BB192" s="185"/>
      <c r="BC192" s="185"/>
      <c r="BD192" s="185"/>
      <c r="BE192" s="185"/>
      <c r="BF192" s="185"/>
      <c r="BG192" s="185"/>
      <c r="BH192" s="185"/>
      <c r="BI192" s="185"/>
      <c r="BJ192" s="185"/>
      <c r="BK192" s="185"/>
      <c r="BL192" s="185"/>
    </row>
    <row r="193" ht="15.7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/>
      <c r="AD193" s="185"/>
      <c r="AE193" s="233"/>
      <c r="AF193" s="185"/>
      <c r="AG193" s="185"/>
      <c r="AH193" s="185"/>
      <c r="AI193" s="185"/>
      <c r="AJ193" s="185"/>
      <c r="AK193" s="185"/>
      <c r="AL193" s="185"/>
      <c r="AM193" s="185"/>
      <c r="AN193" s="185"/>
      <c r="AO193" s="185"/>
      <c r="AP193" s="185"/>
      <c r="AQ193" s="185"/>
      <c r="AR193" s="185"/>
      <c r="AS193" s="185"/>
      <c r="AT193" s="185"/>
      <c r="AU193" s="185"/>
      <c r="AV193" s="185"/>
      <c r="AW193" s="185"/>
      <c r="AX193" s="185"/>
      <c r="AY193" s="185"/>
      <c r="AZ193" s="185"/>
      <c r="BA193" s="185"/>
      <c r="BB193" s="185"/>
      <c r="BC193" s="185"/>
      <c r="BD193" s="185"/>
      <c r="BE193" s="185"/>
      <c r="BF193" s="185"/>
      <c r="BG193" s="185"/>
      <c r="BH193" s="185"/>
      <c r="BI193" s="185"/>
      <c r="BJ193" s="185"/>
      <c r="BK193" s="185"/>
      <c r="BL193" s="185"/>
    </row>
    <row r="194" ht="15.7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233"/>
      <c r="AF194" s="185"/>
      <c r="AG194" s="185"/>
      <c r="AH194" s="185"/>
      <c r="AI194" s="185"/>
      <c r="AJ194" s="185"/>
      <c r="AK194" s="185"/>
      <c r="AL194" s="185"/>
      <c r="AM194" s="185"/>
      <c r="AN194" s="185"/>
      <c r="AO194" s="185"/>
      <c r="AP194" s="185"/>
      <c r="AQ194" s="185"/>
      <c r="AR194" s="185"/>
      <c r="AS194" s="185"/>
      <c r="AT194" s="185"/>
      <c r="AU194" s="185"/>
      <c r="AV194" s="185"/>
      <c r="AW194" s="185"/>
      <c r="AX194" s="185"/>
      <c r="AY194" s="185"/>
      <c r="AZ194" s="185"/>
      <c r="BA194" s="185"/>
      <c r="BB194" s="185"/>
      <c r="BC194" s="185"/>
      <c r="BD194" s="185"/>
      <c r="BE194" s="185"/>
      <c r="BF194" s="185"/>
      <c r="BG194" s="185"/>
      <c r="BH194" s="185"/>
      <c r="BI194" s="185"/>
      <c r="BJ194" s="185"/>
      <c r="BK194" s="185"/>
      <c r="BL194" s="185"/>
    </row>
    <row r="195" ht="15.7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/>
      <c r="AD195" s="185"/>
      <c r="AE195" s="233"/>
      <c r="AF195" s="185"/>
      <c r="AG195" s="185"/>
      <c r="AH195" s="185"/>
      <c r="AI195" s="185"/>
      <c r="AJ195" s="185"/>
      <c r="AK195" s="185"/>
      <c r="AL195" s="185"/>
      <c r="AM195" s="185"/>
      <c r="AN195" s="185"/>
      <c r="AO195" s="185"/>
      <c r="AP195" s="185"/>
      <c r="AQ195" s="185"/>
      <c r="AR195" s="185"/>
      <c r="AS195" s="185"/>
      <c r="AT195" s="185"/>
      <c r="AU195" s="185"/>
      <c r="AV195" s="185"/>
      <c r="AW195" s="185"/>
      <c r="AX195" s="185"/>
      <c r="AY195" s="185"/>
      <c r="AZ195" s="185"/>
      <c r="BA195" s="185"/>
      <c r="BB195" s="185"/>
      <c r="BC195" s="185"/>
      <c r="BD195" s="185"/>
      <c r="BE195" s="185"/>
      <c r="BF195" s="185"/>
      <c r="BG195" s="185"/>
      <c r="BH195" s="185"/>
      <c r="BI195" s="185"/>
      <c r="BJ195" s="185"/>
      <c r="BK195" s="185"/>
      <c r="BL195" s="185"/>
    </row>
    <row r="196" ht="15.7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233"/>
      <c r="AF196" s="185"/>
      <c r="AG196" s="185"/>
      <c r="AH196" s="185"/>
      <c r="AI196" s="185"/>
      <c r="AJ196" s="185"/>
      <c r="AK196" s="185"/>
      <c r="AL196" s="185"/>
      <c r="AM196" s="185"/>
      <c r="AN196" s="185"/>
      <c r="AO196" s="185"/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5"/>
      <c r="BI196" s="185"/>
      <c r="BJ196" s="185"/>
      <c r="BK196" s="185"/>
      <c r="BL196" s="185"/>
    </row>
    <row r="197" ht="15.7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/>
      <c r="AD197" s="185"/>
      <c r="AE197" s="233"/>
      <c r="AF197" s="185"/>
      <c r="AG197" s="185"/>
      <c r="AH197" s="185"/>
      <c r="AI197" s="185"/>
      <c r="AJ197" s="185"/>
      <c r="AK197" s="185"/>
      <c r="AL197" s="185"/>
      <c r="AM197" s="185"/>
      <c r="AN197" s="185"/>
      <c r="AO197" s="185"/>
      <c r="AP197" s="185"/>
      <c r="AQ197" s="185"/>
      <c r="AR197" s="185"/>
      <c r="AS197" s="185"/>
      <c r="AT197" s="185"/>
      <c r="AU197" s="185"/>
      <c r="AV197" s="185"/>
      <c r="AW197" s="185"/>
      <c r="AX197" s="185"/>
      <c r="AY197" s="185"/>
      <c r="AZ197" s="185"/>
      <c r="BA197" s="185"/>
      <c r="BB197" s="185"/>
      <c r="BC197" s="185"/>
      <c r="BD197" s="185"/>
      <c r="BE197" s="185"/>
      <c r="BF197" s="185"/>
      <c r="BG197" s="185"/>
      <c r="BH197" s="185"/>
      <c r="BI197" s="185"/>
      <c r="BJ197" s="185"/>
      <c r="BK197" s="185"/>
      <c r="BL197" s="185"/>
    </row>
    <row r="198" ht="15.7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233"/>
      <c r="AF198" s="185"/>
      <c r="AG198" s="185"/>
      <c r="AH198" s="185"/>
      <c r="AI198" s="185"/>
      <c r="AJ198" s="185"/>
      <c r="AK198" s="185"/>
      <c r="AL198" s="185"/>
      <c r="AM198" s="185"/>
      <c r="AN198" s="185"/>
      <c r="AO198" s="185"/>
      <c r="AP198" s="185"/>
      <c r="AQ198" s="185"/>
      <c r="AR198" s="185"/>
      <c r="AS198" s="185"/>
      <c r="AT198" s="185"/>
      <c r="AU198" s="185"/>
      <c r="AV198" s="185"/>
      <c r="AW198" s="185"/>
      <c r="AX198" s="185"/>
      <c r="AY198" s="185"/>
      <c r="AZ198" s="185"/>
      <c r="BA198" s="185"/>
      <c r="BB198" s="185"/>
      <c r="BC198" s="185"/>
      <c r="BD198" s="185"/>
      <c r="BE198" s="185"/>
      <c r="BF198" s="185"/>
      <c r="BG198" s="185"/>
      <c r="BH198" s="185"/>
      <c r="BI198" s="185"/>
      <c r="BJ198" s="185"/>
      <c r="BK198" s="185"/>
      <c r="BL198" s="185"/>
    </row>
    <row r="199" ht="15.7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/>
      <c r="AD199" s="185"/>
      <c r="AE199" s="233"/>
      <c r="AF199" s="185"/>
      <c r="AG199" s="185"/>
      <c r="AH199" s="185"/>
      <c r="AI199" s="185"/>
      <c r="AJ199" s="185"/>
      <c r="AK199" s="185"/>
      <c r="AL199" s="185"/>
      <c r="AM199" s="185"/>
      <c r="AN199" s="185"/>
      <c r="AO199" s="185"/>
      <c r="AP199" s="185"/>
      <c r="AQ199" s="185"/>
      <c r="AR199" s="185"/>
      <c r="AS199" s="185"/>
      <c r="AT199" s="185"/>
      <c r="AU199" s="185"/>
      <c r="AV199" s="185"/>
      <c r="AW199" s="185"/>
      <c r="AX199" s="185"/>
      <c r="AY199" s="185"/>
      <c r="AZ199" s="185"/>
      <c r="BA199" s="185"/>
      <c r="BB199" s="185"/>
      <c r="BC199" s="185"/>
      <c r="BD199" s="185"/>
      <c r="BE199" s="185"/>
      <c r="BF199" s="185"/>
      <c r="BG199" s="185"/>
      <c r="BH199" s="185"/>
      <c r="BI199" s="185"/>
      <c r="BJ199" s="185"/>
      <c r="BK199" s="185"/>
      <c r="BL199" s="185"/>
    </row>
    <row r="200" ht="15.7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233"/>
      <c r="AF200" s="185"/>
      <c r="AG200" s="185"/>
      <c r="AH200" s="185"/>
      <c r="AI200" s="185"/>
      <c r="AJ200" s="185"/>
      <c r="AK200" s="185"/>
      <c r="AL200" s="185"/>
      <c r="AM200" s="185"/>
      <c r="AN200" s="185"/>
      <c r="AO200" s="185"/>
      <c r="AP200" s="185"/>
      <c r="AQ200" s="185"/>
      <c r="AR200" s="185"/>
      <c r="AS200" s="185"/>
      <c r="AT200" s="185"/>
      <c r="AU200" s="185"/>
      <c r="AV200" s="185"/>
      <c r="AW200" s="185"/>
      <c r="AX200" s="185"/>
      <c r="AY200" s="185"/>
      <c r="AZ200" s="185"/>
      <c r="BA200" s="185"/>
      <c r="BB200" s="185"/>
      <c r="BC200" s="185"/>
      <c r="BD200" s="185"/>
      <c r="BE200" s="185"/>
      <c r="BF200" s="185"/>
      <c r="BG200" s="185"/>
      <c r="BH200" s="185"/>
      <c r="BI200" s="185"/>
      <c r="BJ200" s="185"/>
      <c r="BK200" s="185"/>
      <c r="BL200" s="185"/>
    </row>
    <row r="201" ht="15.75" customHeight="1">
      <c r="A201" s="246"/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  <c r="AF201" s="246"/>
      <c r="AG201" s="246"/>
      <c r="AH201" s="246"/>
      <c r="AI201" s="246"/>
      <c r="AJ201" s="246"/>
      <c r="AK201" s="246"/>
      <c r="AL201" s="246"/>
      <c r="AM201" s="246"/>
      <c r="AN201" s="246"/>
      <c r="AO201" s="246"/>
      <c r="AP201" s="246"/>
      <c r="AQ201" s="246"/>
      <c r="AR201" s="246"/>
      <c r="AS201" s="246"/>
      <c r="AT201" s="246"/>
      <c r="AU201" s="246"/>
      <c r="AV201" s="246"/>
      <c r="AW201" s="246"/>
      <c r="AX201" s="246"/>
      <c r="AY201" s="246"/>
      <c r="AZ201" s="246"/>
      <c r="BA201" s="246"/>
      <c r="BB201" s="246"/>
      <c r="BC201" s="246"/>
      <c r="BD201" s="246"/>
      <c r="BE201" s="246"/>
      <c r="BF201" s="246"/>
      <c r="BG201" s="246"/>
      <c r="BH201" s="246"/>
      <c r="BI201" s="246"/>
      <c r="BJ201" s="246"/>
      <c r="BK201" s="246"/>
      <c r="BL201" s="246"/>
    </row>
    <row r="202" ht="15.75" customHeight="1">
      <c r="A202" s="246"/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  <c r="AD202" s="246"/>
      <c r="AE202" s="246"/>
      <c r="AF202" s="246"/>
      <c r="AG202" s="246"/>
      <c r="AH202" s="246"/>
      <c r="AI202" s="246"/>
      <c r="AJ202" s="246"/>
      <c r="AK202" s="246"/>
      <c r="AL202" s="246"/>
      <c r="AM202" s="246"/>
      <c r="AN202" s="246"/>
      <c r="AO202" s="246"/>
      <c r="AP202" s="246"/>
      <c r="AQ202" s="246"/>
      <c r="AR202" s="246"/>
      <c r="AS202" s="246"/>
      <c r="AT202" s="246"/>
      <c r="AU202" s="246"/>
      <c r="AV202" s="246"/>
      <c r="AW202" s="246"/>
      <c r="AX202" s="246"/>
      <c r="AY202" s="246"/>
      <c r="AZ202" s="246"/>
      <c r="BA202" s="246"/>
      <c r="BB202" s="246"/>
      <c r="BC202" s="246"/>
      <c r="BD202" s="246"/>
      <c r="BE202" s="246"/>
      <c r="BF202" s="246"/>
      <c r="BG202" s="246"/>
      <c r="BH202" s="246"/>
      <c r="BI202" s="246"/>
      <c r="BJ202" s="246"/>
      <c r="BK202" s="246"/>
      <c r="BL202" s="246"/>
    </row>
    <row r="203" ht="15.75" customHeight="1">
      <c r="A203" s="246"/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  <c r="AF203" s="246"/>
      <c r="AG203" s="246"/>
      <c r="AH203" s="246"/>
      <c r="AI203" s="246"/>
      <c r="AJ203" s="246"/>
      <c r="AK203" s="246"/>
      <c r="AL203" s="246"/>
      <c r="AM203" s="246"/>
      <c r="AN203" s="246"/>
      <c r="AO203" s="246"/>
      <c r="AP203" s="246"/>
      <c r="AQ203" s="246"/>
      <c r="AR203" s="246"/>
      <c r="AS203" s="246"/>
      <c r="AT203" s="246"/>
      <c r="AU203" s="246"/>
      <c r="AV203" s="246"/>
      <c r="AW203" s="246"/>
      <c r="AX203" s="246"/>
      <c r="AY203" s="246"/>
      <c r="AZ203" s="246"/>
      <c r="BA203" s="246"/>
      <c r="BB203" s="246"/>
      <c r="BC203" s="246"/>
      <c r="BD203" s="246"/>
      <c r="BE203" s="246"/>
      <c r="BF203" s="246"/>
      <c r="BG203" s="246"/>
      <c r="BH203" s="246"/>
      <c r="BI203" s="246"/>
      <c r="BJ203" s="246"/>
      <c r="BK203" s="246"/>
      <c r="BL203" s="246"/>
    </row>
    <row r="204" ht="15.75" customHeight="1">
      <c r="A204" s="246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  <c r="AD204" s="246"/>
      <c r="AE204" s="246"/>
      <c r="AF204" s="246"/>
      <c r="AG204" s="246"/>
      <c r="AH204" s="246"/>
      <c r="AI204" s="246"/>
      <c r="AJ204" s="246"/>
      <c r="AK204" s="246"/>
      <c r="AL204" s="246"/>
      <c r="AM204" s="246"/>
      <c r="AN204" s="246"/>
      <c r="AO204" s="246"/>
      <c r="AP204" s="246"/>
      <c r="AQ204" s="246"/>
      <c r="AR204" s="246"/>
      <c r="AS204" s="246"/>
      <c r="AT204" s="246"/>
      <c r="AU204" s="246"/>
      <c r="AV204" s="246"/>
      <c r="AW204" s="246"/>
      <c r="AX204" s="246"/>
      <c r="AY204" s="246"/>
      <c r="AZ204" s="246"/>
      <c r="BA204" s="246"/>
      <c r="BB204" s="246"/>
      <c r="BC204" s="246"/>
      <c r="BD204" s="246"/>
      <c r="BE204" s="246"/>
      <c r="BF204" s="246"/>
      <c r="BG204" s="246"/>
      <c r="BH204" s="246"/>
      <c r="BI204" s="246"/>
      <c r="BJ204" s="246"/>
      <c r="BK204" s="246"/>
      <c r="BL204" s="246"/>
    </row>
    <row r="205" ht="15.75" customHeight="1">
      <c r="A205" s="246"/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  <c r="AF205" s="246"/>
      <c r="AG205" s="246"/>
      <c r="AH205" s="246"/>
      <c r="AI205" s="246"/>
      <c r="AJ205" s="246"/>
      <c r="AK205" s="246"/>
      <c r="AL205" s="246"/>
      <c r="AM205" s="246"/>
      <c r="AN205" s="246"/>
      <c r="AO205" s="246"/>
      <c r="AP205" s="246"/>
      <c r="AQ205" s="246"/>
      <c r="AR205" s="246"/>
      <c r="AS205" s="246"/>
      <c r="AT205" s="246"/>
      <c r="AU205" s="246"/>
      <c r="AV205" s="246"/>
      <c r="AW205" s="246"/>
      <c r="AX205" s="246"/>
      <c r="AY205" s="246"/>
      <c r="AZ205" s="246"/>
      <c r="BA205" s="246"/>
      <c r="BB205" s="246"/>
      <c r="BC205" s="246"/>
      <c r="BD205" s="246"/>
      <c r="BE205" s="246"/>
      <c r="BF205" s="246"/>
      <c r="BG205" s="246"/>
      <c r="BH205" s="246"/>
      <c r="BI205" s="246"/>
      <c r="BJ205" s="246"/>
      <c r="BK205" s="246"/>
      <c r="BL205" s="246"/>
    </row>
    <row r="206" ht="15.75" customHeight="1">
      <c r="A206" s="246"/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  <c r="AD206" s="246"/>
      <c r="AE206" s="246"/>
      <c r="AF206" s="246"/>
      <c r="AG206" s="246"/>
      <c r="AH206" s="246"/>
      <c r="AI206" s="246"/>
      <c r="AJ206" s="246"/>
      <c r="AK206" s="246"/>
      <c r="AL206" s="246"/>
      <c r="AM206" s="246"/>
      <c r="AN206" s="246"/>
      <c r="AO206" s="246"/>
      <c r="AP206" s="246"/>
      <c r="AQ206" s="246"/>
      <c r="AR206" s="246"/>
      <c r="AS206" s="246"/>
      <c r="AT206" s="246"/>
      <c r="AU206" s="246"/>
      <c r="AV206" s="246"/>
      <c r="AW206" s="246"/>
      <c r="AX206" s="246"/>
      <c r="AY206" s="246"/>
      <c r="AZ206" s="246"/>
      <c r="BA206" s="246"/>
      <c r="BB206" s="246"/>
      <c r="BC206" s="246"/>
      <c r="BD206" s="246"/>
      <c r="BE206" s="246"/>
      <c r="BF206" s="246"/>
      <c r="BG206" s="246"/>
      <c r="BH206" s="246"/>
      <c r="BI206" s="246"/>
      <c r="BJ206" s="246"/>
      <c r="BK206" s="246"/>
      <c r="BL206" s="246"/>
    </row>
    <row r="207" ht="15.75" customHeight="1">
      <c r="A207" s="246"/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  <c r="AF207" s="246"/>
      <c r="AG207" s="246"/>
      <c r="AH207" s="246"/>
      <c r="AI207" s="246"/>
      <c r="AJ207" s="246"/>
      <c r="AK207" s="246"/>
      <c r="AL207" s="246"/>
      <c r="AM207" s="246"/>
      <c r="AN207" s="246"/>
      <c r="AO207" s="246"/>
      <c r="AP207" s="246"/>
      <c r="AQ207" s="246"/>
      <c r="AR207" s="246"/>
      <c r="AS207" s="246"/>
      <c r="AT207" s="246"/>
      <c r="AU207" s="246"/>
      <c r="AV207" s="246"/>
      <c r="AW207" s="246"/>
      <c r="AX207" s="246"/>
      <c r="AY207" s="246"/>
      <c r="AZ207" s="246"/>
      <c r="BA207" s="246"/>
      <c r="BB207" s="246"/>
      <c r="BC207" s="246"/>
      <c r="BD207" s="246"/>
      <c r="BE207" s="246"/>
      <c r="BF207" s="246"/>
      <c r="BG207" s="246"/>
      <c r="BH207" s="246"/>
      <c r="BI207" s="246"/>
      <c r="BJ207" s="246"/>
      <c r="BK207" s="246"/>
      <c r="BL207" s="246"/>
    </row>
    <row r="208" ht="15.75" customHeight="1">
      <c r="A208" s="246"/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  <c r="AD208" s="246"/>
      <c r="AE208" s="246"/>
      <c r="AF208" s="246"/>
      <c r="AG208" s="246"/>
      <c r="AH208" s="246"/>
      <c r="AI208" s="246"/>
      <c r="AJ208" s="246"/>
      <c r="AK208" s="246"/>
      <c r="AL208" s="246"/>
      <c r="AM208" s="246"/>
      <c r="AN208" s="246"/>
      <c r="AO208" s="246"/>
      <c r="AP208" s="246"/>
      <c r="AQ208" s="246"/>
      <c r="AR208" s="246"/>
      <c r="AS208" s="246"/>
      <c r="AT208" s="246"/>
      <c r="AU208" s="246"/>
      <c r="AV208" s="246"/>
      <c r="AW208" s="246"/>
      <c r="AX208" s="246"/>
      <c r="AY208" s="246"/>
      <c r="AZ208" s="246"/>
      <c r="BA208" s="246"/>
      <c r="BB208" s="246"/>
      <c r="BC208" s="246"/>
      <c r="BD208" s="246"/>
      <c r="BE208" s="246"/>
      <c r="BF208" s="246"/>
      <c r="BG208" s="246"/>
      <c r="BH208" s="246"/>
      <c r="BI208" s="246"/>
      <c r="BJ208" s="246"/>
      <c r="BK208" s="246"/>
      <c r="BL208" s="246"/>
    </row>
    <row r="209" ht="15.75" customHeight="1">
      <c r="A209" s="246"/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  <c r="AF209" s="246"/>
      <c r="AG209" s="246"/>
      <c r="AH209" s="246"/>
      <c r="AI209" s="246"/>
      <c r="AJ209" s="246"/>
      <c r="AK209" s="246"/>
      <c r="AL209" s="246"/>
      <c r="AM209" s="246"/>
      <c r="AN209" s="246"/>
      <c r="AO209" s="246"/>
      <c r="AP209" s="246"/>
      <c r="AQ209" s="246"/>
      <c r="AR209" s="246"/>
      <c r="AS209" s="246"/>
      <c r="AT209" s="246"/>
      <c r="AU209" s="246"/>
      <c r="AV209" s="246"/>
      <c r="AW209" s="246"/>
      <c r="AX209" s="246"/>
      <c r="AY209" s="246"/>
      <c r="AZ209" s="246"/>
      <c r="BA209" s="246"/>
      <c r="BB209" s="246"/>
      <c r="BC209" s="246"/>
      <c r="BD209" s="246"/>
      <c r="BE209" s="246"/>
      <c r="BF209" s="246"/>
      <c r="BG209" s="246"/>
      <c r="BH209" s="246"/>
      <c r="BI209" s="246"/>
      <c r="BJ209" s="246"/>
      <c r="BK209" s="246"/>
      <c r="BL209" s="246"/>
    </row>
    <row r="210" ht="15.75" customHeight="1">
      <c r="A210" s="246"/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  <c r="AF210" s="246"/>
      <c r="AG210" s="246"/>
      <c r="AH210" s="246"/>
      <c r="AI210" s="246"/>
      <c r="AJ210" s="246"/>
      <c r="AK210" s="246"/>
      <c r="AL210" s="246"/>
      <c r="AM210" s="246"/>
      <c r="AN210" s="246"/>
      <c r="AO210" s="246"/>
      <c r="AP210" s="246"/>
      <c r="AQ210" s="246"/>
      <c r="AR210" s="246"/>
      <c r="AS210" s="246"/>
      <c r="AT210" s="246"/>
      <c r="AU210" s="246"/>
      <c r="AV210" s="246"/>
      <c r="AW210" s="246"/>
      <c r="AX210" s="246"/>
      <c r="AY210" s="246"/>
      <c r="AZ210" s="246"/>
      <c r="BA210" s="246"/>
      <c r="BB210" s="246"/>
      <c r="BC210" s="246"/>
      <c r="BD210" s="246"/>
      <c r="BE210" s="246"/>
      <c r="BF210" s="246"/>
      <c r="BG210" s="246"/>
      <c r="BH210" s="246"/>
      <c r="BI210" s="246"/>
      <c r="BJ210" s="246"/>
      <c r="BK210" s="246"/>
      <c r="BL210" s="246"/>
    </row>
    <row r="211" ht="15.75" customHeight="1">
      <c r="A211" s="246"/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6"/>
      <c r="AG211" s="246"/>
      <c r="AH211" s="246"/>
      <c r="AI211" s="246"/>
      <c r="AJ211" s="246"/>
      <c r="AK211" s="246"/>
      <c r="AL211" s="246"/>
      <c r="AM211" s="246"/>
      <c r="AN211" s="246"/>
      <c r="AO211" s="246"/>
      <c r="AP211" s="246"/>
      <c r="AQ211" s="246"/>
      <c r="AR211" s="246"/>
      <c r="AS211" s="246"/>
      <c r="AT211" s="246"/>
      <c r="AU211" s="246"/>
      <c r="AV211" s="246"/>
      <c r="AW211" s="246"/>
      <c r="AX211" s="246"/>
      <c r="AY211" s="246"/>
      <c r="AZ211" s="246"/>
      <c r="BA211" s="246"/>
      <c r="BB211" s="246"/>
      <c r="BC211" s="246"/>
      <c r="BD211" s="246"/>
      <c r="BE211" s="246"/>
      <c r="BF211" s="246"/>
      <c r="BG211" s="246"/>
      <c r="BH211" s="246"/>
      <c r="BI211" s="246"/>
      <c r="BJ211" s="246"/>
      <c r="BK211" s="246"/>
      <c r="BL211" s="246"/>
    </row>
    <row r="212" ht="15.75" customHeight="1">
      <c r="A212" s="246"/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  <c r="AF212" s="246"/>
      <c r="AG212" s="246"/>
      <c r="AH212" s="246"/>
      <c r="AI212" s="246"/>
      <c r="AJ212" s="246"/>
      <c r="AK212" s="246"/>
      <c r="AL212" s="246"/>
      <c r="AM212" s="246"/>
      <c r="AN212" s="246"/>
      <c r="AO212" s="246"/>
      <c r="AP212" s="246"/>
      <c r="AQ212" s="246"/>
      <c r="AR212" s="246"/>
      <c r="AS212" s="246"/>
      <c r="AT212" s="246"/>
      <c r="AU212" s="246"/>
      <c r="AV212" s="246"/>
      <c r="AW212" s="246"/>
      <c r="AX212" s="246"/>
      <c r="AY212" s="246"/>
      <c r="AZ212" s="246"/>
      <c r="BA212" s="246"/>
      <c r="BB212" s="246"/>
      <c r="BC212" s="246"/>
      <c r="BD212" s="246"/>
      <c r="BE212" s="246"/>
      <c r="BF212" s="246"/>
      <c r="BG212" s="246"/>
      <c r="BH212" s="246"/>
      <c r="BI212" s="246"/>
      <c r="BJ212" s="246"/>
      <c r="BK212" s="246"/>
      <c r="BL212" s="246"/>
    </row>
    <row r="213" ht="15.75" customHeight="1">
      <c r="A213" s="246"/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  <c r="AF213" s="246"/>
      <c r="AG213" s="246"/>
      <c r="AH213" s="246"/>
      <c r="AI213" s="246"/>
      <c r="AJ213" s="246"/>
      <c r="AK213" s="246"/>
      <c r="AL213" s="246"/>
      <c r="AM213" s="246"/>
      <c r="AN213" s="246"/>
      <c r="AO213" s="246"/>
      <c r="AP213" s="246"/>
      <c r="AQ213" s="246"/>
      <c r="AR213" s="246"/>
      <c r="AS213" s="246"/>
      <c r="AT213" s="246"/>
      <c r="AU213" s="246"/>
      <c r="AV213" s="246"/>
      <c r="AW213" s="246"/>
      <c r="AX213" s="246"/>
      <c r="AY213" s="246"/>
      <c r="AZ213" s="246"/>
      <c r="BA213" s="246"/>
      <c r="BB213" s="246"/>
      <c r="BC213" s="246"/>
      <c r="BD213" s="246"/>
      <c r="BE213" s="246"/>
      <c r="BF213" s="246"/>
      <c r="BG213" s="246"/>
      <c r="BH213" s="246"/>
      <c r="BI213" s="246"/>
      <c r="BJ213" s="246"/>
      <c r="BK213" s="246"/>
      <c r="BL213" s="246"/>
    </row>
    <row r="214" ht="15.75" customHeight="1">
      <c r="A214" s="246"/>
      <c r="B214" s="246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  <c r="AD214" s="246"/>
      <c r="AE214" s="246"/>
      <c r="AF214" s="246"/>
      <c r="AG214" s="246"/>
      <c r="AH214" s="246"/>
      <c r="AI214" s="246"/>
      <c r="AJ214" s="246"/>
      <c r="AK214" s="246"/>
      <c r="AL214" s="246"/>
      <c r="AM214" s="246"/>
      <c r="AN214" s="246"/>
      <c r="AO214" s="246"/>
      <c r="AP214" s="246"/>
      <c r="AQ214" s="246"/>
      <c r="AR214" s="246"/>
      <c r="AS214" s="246"/>
      <c r="AT214" s="246"/>
      <c r="AU214" s="246"/>
      <c r="AV214" s="246"/>
      <c r="AW214" s="246"/>
      <c r="AX214" s="246"/>
      <c r="AY214" s="246"/>
      <c r="AZ214" s="246"/>
      <c r="BA214" s="246"/>
      <c r="BB214" s="246"/>
      <c r="BC214" s="246"/>
      <c r="BD214" s="246"/>
      <c r="BE214" s="246"/>
      <c r="BF214" s="246"/>
      <c r="BG214" s="246"/>
      <c r="BH214" s="246"/>
      <c r="BI214" s="246"/>
      <c r="BJ214" s="246"/>
      <c r="BK214" s="246"/>
      <c r="BL214" s="246"/>
    </row>
    <row r="215" ht="15.75" customHeight="1">
      <c r="A215" s="246"/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  <c r="AF215" s="246"/>
      <c r="AG215" s="246"/>
      <c r="AH215" s="246"/>
      <c r="AI215" s="246"/>
      <c r="AJ215" s="246"/>
      <c r="AK215" s="246"/>
      <c r="AL215" s="246"/>
      <c r="AM215" s="246"/>
      <c r="AN215" s="246"/>
      <c r="AO215" s="246"/>
      <c r="AP215" s="246"/>
      <c r="AQ215" s="246"/>
      <c r="AR215" s="246"/>
      <c r="AS215" s="246"/>
      <c r="AT215" s="246"/>
      <c r="AU215" s="246"/>
      <c r="AV215" s="246"/>
      <c r="AW215" s="246"/>
      <c r="AX215" s="246"/>
      <c r="AY215" s="246"/>
      <c r="AZ215" s="246"/>
      <c r="BA215" s="246"/>
      <c r="BB215" s="246"/>
      <c r="BC215" s="246"/>
      <c r="BD215" s="246"/>
      <c r="BE215" s="246"/>
      <c r="BF215" s="246"/>
      <c r="BG215" s="246"/>
      <c r="BH215" s="246"/>
      <c r="BI215" s="246"/>
      <c r="BJ215" s="246"/>
      <c r="BK215" s="246"/>
      <c r="BL215" s="246"/>
    </row>
    <row r="216" ht="15.75" customHeight="1">
      <c r="A216" s="246"/>
      <c r="B216" s="246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  <c r="AD216" s="246"/>
      <c r="AE216" s="246"/>
      <c r="AF216" s="246"/>
      <c r="AG216" s="246"/>
      <c r="AH216" s="246"/>
      <c r="AI216" s="246"/>
      <c r="AJ216" s="246"/>
      <c r="AK216" s="246"/>
      <c r="AL216" s="246"/>
      <c r="AM216" s="246"/>
      <c r="AN216" s="246"/>
      <c r="AO216" s="246"/>
      <c r="AP216" s="246"/>
      <c r="AQ216" s="246"/>
      <c r="AR216" s="246"/>
      <c r="AS216" s="246"/>
      <c r="AT216" s="246"/>
      <c r="AU216" s="246"/>
      <c r="AV216" s="246"/>
      <c r="AW216" s="246"/>
      <c r="AX216" s="246"/>
      <c r="AY216" s="246"/>
      <c r="AZ216" s="246"/>
      <c r="BA216" s="246"/>
      <c r="BB216" s="246"/>
      <c r="BC216" s="246"/>
      <c r="BD216" s="246"/>
      <c r="BE216" s="246"/>
      <c r="BF216" s="246"/>
      <c r="BG216" s="246"/>
      <c r="BH216" s="246"/>
      <c r="BI216" s="246"/>
      <c r="BJ216" s="246"/>
      <c r="BK216" s="246"/>
      <c r="BL216" s="246"/>
    </row>
    <row r="217" ht="15.75" customHeight="1">
      <c r="A217" s="246"/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  <c r="AF217" s="246"/>
      <c r="AG217" s="246"/>
      <c r="AH217" s="246"/>
      <c r="AI217" s="246"/>
      <c r="AJ217" s="246"/>
      <c r="AK217" s="246"/>
      <c r="AL217" s="246"/>
      <c r="AM217" s="246"/>
      <c r="AN217" s="246"/>
      <c r="AO217" s="246"/>
      <c r="AP217" s="246"/>
      <c r="AQ217" s="246"/>
      <c r="AR217" s="246"/>
      <c r="AS217" s="246"/>
      <c r="AT217" s="246"/>
      <c r="AU217" s="246"/>
      <c r="AV217" s="246"/>
      <c r="AW217" s="246"/>
      <c r="AX217" s="246"/>
      <c r="AY217" s="246"/>
      <c r="AZ217" s="246"/>
      <c r="BA217" s="246"/>
      <c r="BB217" s="246"/>
      <c r="BC217" s="246"/>
      <c r="BD217" s="246"/>
      <c r="BE217" s="246"/>
      <c r="BF217" s="246"/>
      <c r="BG217" s="246"/>
      <c r="BH217" s="246"/>
      <c r="BI217" s="246"/>
      <c r="BJ217" s="246"/>
      <c r="BK217" s="246"/>
      <c r="BL217" s="246"/>
    </row>
    <row r="218" ht="15.75" customHeight="1">
      <c r="A218" s="246"/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  <c r="AD218" s="246"/>
      <c r="AE218" s="246"/>
      <c r="AF218" s="246"/>
      <c r="AG218" s="246"/>
      <c r="AH218" s="246"/>
      <c r="AI218" s="246"/>
      <c r="AJ218" s="246"/>
      <c r="AK218" s="246"/>
      <c r="AL218" s="246"/>
      <c r="AM218" s="246"/>
      <c r="AN218" s="246"/>
      <c r="AO218" s="246"/>
      <c r="AP218" s="246"/>
      <c r="AQ218" s="246"/>
      <c r="AR218" s="246"/>
      <c r="AS218" s="246"/>
      <c r="AT218" s="246"/>
      <c r="AU218" s="246"/>
      <c r="AV218" s="246"/>
      <c r="AW218" s="246"/>
      <c r="AX218" s="246"/>
      <c r="AY218" s="246"/>
      <c r="AZ218" s="246"/>
      <c r="BA218" s="246"/>
      <c r="BB218" s="246"/>
      <c r="BC218" s="246"/>
      <c r="BD218" s="246"/>
      <c r="BE218" s="246"/>
      <c r="BF218" s="246"/>
      <c r="BG218" s="246"/>
      <c r="BH218" s="246"/>
      <c r="BI218" s="246"/>
      <c r="BJ218" s="246"/>
      <c r="BK218" s="246"/>
      <c r="BL218" s="246"/>
    </row>
    <row r="219" ht="15.75" customHeight="1">
      <c r="A219" s="246"/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  <c r="AF219" s="246"/>
      <c r="AG219" s="246"/>
      <c r="AH219" s="246"/>
      <c r="AI219" s="246"/>
      <c r="AJ219" s="246"/>
      <c r="AK219" s="246"/>
      <c r="AL219" s="246"/>
      <c r="AM219" s="246"/>
      <c r="AN219" s="246"/>
      <c r="AO219" s="246"/>
      <c r="AP219" s="246"/>
      <c r="AQ219" s="246"/>
      <c r="AR219" s="246"/>
      <c r="AS219" s="246"/>
      <c r="AT219" s="246"/>
      <c r="AU219" s="246"/>
      <c r="AV219" s="246"/>
      <c r="AW219" s="246"/>
      <c r="AX219" s="246"/>
      <c r="AY219" s="246"/>
      <c r="AZ219" s="246"/>
      <c r="BA219" s="246"/>
      <c r="BB219" s="246"/>
      <c r="BC219" s="246"/>
      <c r="BD219" s="246"/>
      <c r="BE219" s="246"/>
      <c r="BF219" s="246"/>
      <c r="BG219" s="246"/>
      <c r="BH219" s="246"/>
      <c r="BI219" s="246"/>
      <c r="BJ219" s="246"/>
      <c r="BK219" s="246"/>
      <c r="BL219" s="246"/>
    </row>
    <row r="220" ht="15.75" customHeight="1">
      <c r="A220" s="246"/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  <c r="AF220" s="246"/>
      <c r="AG220" s="246"/>
      <c r="AH220" s="246"/>
      <c r="AI220" s="246"/>
      <c r="AJ220" s="246"/>
      <c r="AK220" s="246"/>
      <c r="AL220" s="246"/>
      <c r="AM220" s="246"/>
      <c r="AN220" s="246"/>
      <c r="AO220" s="246"/>
      <c r="AP220" s="246"/>
      <c r="AQ220" s="246"/>
      <c r="AR220" s="246"/>
      <c r="AS220" s="246"/>
      <c r="AT220" s="246"/>
      <c r="AU220" s="246"/>
      <c r="AV220" s="246"/>
      <c r="AW220" s="246"/>
      <c r="AX220" s="246"/>
      <c r="AY220" s="246"/>
      <c r="AZ220" s="246"/>
      <c r="BA220" s="246"/>
      <c r="BB220" s="246"/>
      <c r="BC220" s="246"/>
      <c r="BD220" s="246"/>
      <c r="BE220" s="246"/>
      <c r="BF220" s="246"/>
      <c r="BG220" s="246"/>
      <c r="BH220" s="246"/>
      <c r="BI220" s="246"/>
      <c r="BJ220" s="246"/>
      <c r="BK220" s="246"/>
      <c r="BL220" s="246"/>
    </row>
    <row r="221" ht="15.75" customHeight="1">
      <c r="A221" s="246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  <c r="AF221" s="246"/>
      <c r="AG221" s="246"/>
      <c r="AH221" s="246"/>
      <c r="AI221" s="246"/>
      <c r="AJ221" s="246"/>
      <c r="AK221" s="246"/>
      <c r="AL221" s="246"/>
      <c r="AM221" s="246"/>
      <c r="AN221" s="246"/>
      <c r="AO221" s="246"/>
      <c r="AP221" s="246"/>
      <c r="AQ221" s="246"/>
      <c r="AR221" s="246"/>
      <c r="AS221" s="246"/>
      <c r="AT221" s="246"/>
      <c r="AU221" s="246"/>
      <c r="AV221" s="246"/>
      <c r="AW221" s="246"/>
      <c r="AX221" s="246"/>
      <c r="AY221" s="246"/>
      <c r="AZ221" s="246"/>
      <c r="BA221" s="246"/>
      <c r="BB221" s="246"/>
      <c r="BC221" s="246"/>
      <c r="BD221" s="246"/>
      <c r="BE221" s="246"/>
      <c r="BF221" s="246"/>
      <c r="BG221" s="246"/>
      <c r="BH221" s="246"/>
      <c r="BI221" s="246"/>
      <c r="BJ221" s="246"/>
      <c r="BK221" s="246"/>
      <c r="BL221" s="246"/>
    </row>
    <row r="222" ht="15.75" customHeight="1">
      <c r="A222" s="246"/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  <c r="AF222" s="246"/>
      <c r="AG222" s="246"/>
      <c r="AH222" s="246"/>
      <c r="AI222" s="246"/>
      <c r="AJ222" s="246"/>
      <c r="AK222" s="246"/>
      <c r="AL222" s="246"/>
      <c r="AM222" s="246"/>
      <c r="AN222" s="246"/>
      <c r="AO222" s="246"/>
      <c r="AP222" s="246"/>
      <c r="AQ222" s="246"/>
      <c r="AR222" s="246"/>
      <c r="AS222" s="246"/>
      <c r="AT222" s="246"/>
      <c r="AU222" s="246"/>
      <c r="AV222" s="246"/>
      <c r="AW222" s="246"/>
      <c r="AX222" s="246"/>
      <c r="AY222" s="246"/>
      <c r="AZ222" s="246"/>
      <c r="BA222" s="246"/>
      <c r="BB222" s="246"/>
      <c r="BC222" s="246"/>
      <c r="BD222" s="246"/>
      <c r="BE222" s="246"/>
      <c r="BF222" s="246"/>
      <c r="BG222" s="246"/>
      <c r="BH222" s="246"/>
      <c r="BI222" s="246"/>
      <c r="BJ222" s="246"/>
      <c r="BK222" s="246"/>
      <c r="BL222" s="246"/>
    </row>
    <row r="223" ht="15.75" customHeight="1">
      <c r="A223" s="246"/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  <c r="AF223" s="246"/>
      <c r="AG223" s="246"/>
      <c r="AH223" s="246"/>
      <c r="AI223" s="246"/>
      <c r="AJ223" s="246"/>
      <c r="AK223" s="246"/>
      <c r="AL223" s="246"/>
      <c r="AM223" s="246"/>
      <c r="AN223" s="246"/>
      <c r="AO223" s="246"/>
      <c r="AP223" s="246"/>
      <c r="AQ223" s="246"/>
      <c r="AR223" s="246"/>
      <c r="AS223" s="246"/>
      <c r="AT223" s="246"/>
      <c r="AU223" s="246"/>
      <c r="AV223" s="246"/>
      <c r="AW223" s="246"/>
      <c r="AX223" s="246"/>
      <c r="AY223" s="246"/>
      <c r="AZ223" s="246"/>
      <c r="BA223" s="246"/>
      <c r="BB223" s="246"/>
      <c r="BC223" s="246"/>
      <c r="BD223" s="246"/>
      <c r="BE223" s="246"/>
      <c r="BF223" s="246"/>
      <c r="BG223" s="246"/>
      <c r="BH223" s="246"/>
      <c r="BI223" s="246"/>
      <c r="BJ223" s="246"/>
      <c r="BK223" s="246"/>
      <c r="BL223" s="246"/>
    </row>
    <row r="224" ht="15.75" customHeight="1">
      <c r="A224" s="246"/>
      <c r="B224" s="246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  <c r="AF224" s="246"/>
      <c r="AG224" s="246"/>
      <c r="AH224" s="246"/>
      <c r="AI224" s="246"/>
      <c r="AJ224" s="246"/>
      <c r="AK224" s="246"/>
      <c r="AL224" s="246"/>
      <c r="AM224" s="246"/>
      <c r="AN224" s="246"/>
      <c r="AO224" s="246"/>
      <c r="AP224" s="246"/>
      <c r="AQ224" s="246"/>
      <c r="AR224" s="246"/>
      <c r="AS224" s="246"/>
      <c r="AT224" s="246"/>
      <c r="AU224" s="246"/>
      <c r="AV224" s="246"/>
      <c r="AW224" s="246"/>
      <c r="AX224" s="246"/>
      <c r="AY224" s="246"/>
      <c r="AZ224" s="246"/>
      <c r="BA224" s="246"/>
      <c r="BB224" s="246"/>
      <c r="BC224" s="246"/>
      <c r="BD224" s="246"/>
      <c r="BE224" s="246"/>
      <c r="BF224" s="246"/>
      <c r="BG224" s="246"/>
      <c r="BH224" s="246"/>
      <c r="BI224" s="246"/>
      <c r="BJ224" s="246"/>
      <c r="BK224" s="246"/>
      <c r="BL224" s="246"/>
    </row>
    <row r="225" ht="15.75" customHeight="1">
      <c r="A225" s="246"/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  <c r="AF225" s="246"/>
      <c r="AG225" s="246"/>
      <c r="AH225" s="246"/>
      <c r="AI225" s="246"/>
      <c r="AJ225" s="246"/>
      <c r="AK225" s="246"/>
      <c r="AL225" s="246"/>
      <c r="AM225" s="246"/>
      <c r="AN225" s="246"/>
      <c r="AO225" s="246"/>
      <c r="AP225" s="246"/>
      <c r="AQ225" s="246"/>
      <c r="AR225" s="246"/>
      <c r="AS225" s="246"/>
      <c r="AT225" s="246"/>
      <c r="AU225" s="246"/>
      <c r="AV225" s="246"/>
      <c r="AW225" s="246"/>
      <c r="AX225" s="246"/>
      <c r="AY225" s="246"/>
      <c r="AZ225" s="246"/>
      <c r="BA225" s="246"/>
      <c r="BB225" s="246"/>
      <c r="BC225" s="246"/>
      <c r="BD225" s="246"/>
      <c r="BE225" s="246"/>
      <c r="BF225" s="246"/>
      <c r="BG225" s="246"/>
      <c r="BH225" s="246"/>
      <c r="BI225" s="246"/>
      <c r="BJ225" s="246"/>
      <c r="BK225" s="246"/>
      <c r="BL225" s="246"/>
    </row>
    <row r="226" ht="15.75" customHeight="1">
      <c r="A226" s="246"/>
      <c r="B226" s="246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  <c r="AB226" s="246"/>
      <c r="AC226" s="246"/>
      <c r="AD226" s="246"/>
      <c r="AE226" s="246"/>
      <c r="AF226" s="246"/>
      <c r="AG226" s="246"/>
      <c r="AH226" s="246"/>
      <c r="AI226" s="246"/>
      <c r="AJ226" s="246"/>
      <c r="AK226" s="246"/>
      <c r="AL226" s="246"/>
      <c r="AM226" s="246"/>
      <c r="AN226" s="246"/>
      <c r="AO226" s="246"/>
      <c r="AP226" s="246"/>
      <c r="AQ226" s="246"/>
      <c r="AR226" s="246"/>
      <c r="AS226" s="246"/>
      <c r="AT226" s="246"/>
      <c r="AU226" s="246"/>
      <c r="AV226" s="246"/>
      <c r="AW226" s="246"/>
      <c r="AX226" s="246"/>
      <c r="AY226" s="246"/>
      <c r="AZ226" s="246"/>
      <c r="BA226" s="246"/>
      <c r="BB226" s="246"/>
      <c r="BC226" s="246"/>
      <c r="BD226" s="246"/>
      <c r="BE226" s="246"/>
      <c r="BF226" s="246"/>
      <c r="BG226" s="246"/>
      <c r="BH226" s="246"/>
      <c r="BI226" s="246"/>
      <c r="BJ226" s="246"/>
      <c r="BK226" s="246"/>
      <c r="BL226" s="246"/>
    </row>
    <row r="227" ht="15.75" customHeight="1">
      <c r="A227" s="246"/>
      <c r="B227" s="246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  <c r="AD227" s="246"/>
      <c r="AE227" s="246"/>
      <c r="AF227" s="246"/>
      <c r="AG227" s="246"/>
      <c r="AH227" s="246"/>
      <c r="AI227" s="246"/>
      <c r="AJ227" s="246"/>
      <c r="AK227" s="246"/>
      <c r="AL227" s="246"/>
      <c r="AM227" s="246"/>
      <c r="AN227" s="246"/>
      <c r="AO227" s="246"/>
      <c r="AP227" s="246"/>
      <c r="AQ227" s="246"/>
      <c r="AR227" s="246"/>
      <c r="AS227" s="246"/>
      <c r="AT227" s="246"/>
      <c r="AU227" s="246"/>
      <c r="AV227" s="246"/>
      <c r="AW227" s="246"/>
      <c r="AX227" s="246"/>
      <c r="AY227" s="246"/>
      <c r="AZ227" s="246"/>
      <c r="BA227" s="246"/>
      <c r="BB227" s="246"/>
      <c r="BC227" s="246"/>
      <c r="BD227" s="246"/>
      <c r="BE227" s="246"/>
      <c r="BF227" s="246"/>
      <c r="BG227" s="246"/>
      <c r="BH227" s="246"/>
      <c r="BI227" s="246"/>
      <c r="BJ227" s="246"/>
      <c r="BK227" s="246"/>
      <c r="BL227" s="246"/>
    </row>
    <row r="228" ht="15.75" customHeight="1">
      <c r="A228" s="246"/>
      <c r="B228" s="246"/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  <c r="AF228" s="246"/>
      <c r="AG228" s="246"/>
      <c r="AH228" s="246"/>
      <c r="AI228" s="246"/>
      <c r="AJ228" s="246"/>
      <c r="AK228" s="246"/>
      <c r="AL228" s="246"/>
      <c r="AM228" s="246"/>
      <c r="AN228" s="246"/>
      <c r="AO228" s="246"/>
      <c r="AP228" s="246"/>
      <c r="AQ228" s="246"/>
      <c r="AR228" s="246"/>
      <c r="AS228" s="246"/>
      <c r="AT228" s="246"/>
      <c r="AU228" s="246"/>
      <c r="AV228" s="246"/>
      <c r="AW228" s="246"/>
      <c r="AX228" s="246"/>
      <c r="AY228" s="246"/>
      <c r="AZ228" s="246"/>
      <c r="BA228" s="246"/>
      <c r="BB228" s="246"/>
      <c r="BC228" s="246"/>
      <c r="BD228" s="246"/>
      <c r="BE228" s="246"/>
      <c r="BF228" s="246"/>
      <c r="BG228" s="246"/>
      <c r="BH228" s="246"/>
      <c r="BI228" s="246"/>
      <c r="BJ228" s="246"/>
      <c r="BK228" s="246"/>
      <c r="BL228" s="246"/>
    </row>
    <row r="229" ht="15.75" customHeight="1">
      <c r="A229" s="246"/>
      <c r="B229" s="246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  <c r="AF229" s="246"/>
      <c r="AG229" s="246"/>
      <c r="AH229" s="246"/>
      <c r="AI229" s="246"/>
      <c r="AJ229" s="246"/>
      <c r="AK229" s="246"/>
      <c r="AL229" s="246"/>
      <c r="AM229" s="246"/>
      <c r="AN229" s="246"/>
      <c r="AO229" s="246"/>
      <c r="AP229" s="246"/>
      <c r="AQ229" s="246"/>
      <c r="AR229" s="246"/>
      <c r="AS229" s="246"/>
      <c r="AT229" s="246"/>
      <c r="AU229" s="246"/>
      <c r="AV229" s="246"/>
      <c r="AW229" s="246"/>
      <c r="AX229" s="246"/>
      <c r="AY229" s="246"/>
      <c r="AZ229" s="246"/>
      <c r="BA229" s="246"/>
      <c r="BB229" s="246"/>
      <c r="BC229" s="246"/>
      <c r="BD229" s="246"/>
      <c r="BE229" s="246"/>
      <c r="BF229" s="246"/>
      <c r="BG229" s="246"/>
      <c r="BH229" s="246"/>
      <c r="BI229" s="246"/>
      <c r="BJ229" s="246"/>
      <c r="BK229" s="246"/>
      <c r="BL229" s="246"/>
    </row>
    <row r="230" ht="15.75" customHeight="1">
      <c r="A230" s="246"/>
      <c r="B230" s="246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  <c r="AB230" s="246"/>
      <c r="AC230" s="246"/>
      <c r="AD230" s="246"/>
      <c r="AE230" s="246"/>
      <c r="AF230" s="246"/>
      <c r="AG230" s="246"/>
      <c r="AH230" s="246"/>
      <c r="AI230" s="246"/>
      <c r="AJ230" s="246"/>
      <c r="AK230" s="246"/>
      <c r="AL230" s="246"/>
      <c r="AM230" s="246"/>
      <c r="AN230" s="246"/>
      <c r="AO230" s="246"/>
      <c r="AP230" s="246"/>
      <c r="AQ230" s="246"/>
      <c r="AR230" s="246"/>
      <c r="AS230" s="246"/>
      <c r="AT230" s="246"/>
      <c r="AU230" s="246"/>
      <c r="AV230" s="246"/>
      <c r="AW230" s="246"/>
      <c r="AX230" s="246"/>
      <c r="AY230" s="246"/>
      <c r="AZ230" s="246"/>
      <c r="BA230" s="246"/>
      <c r="BB230" s="246"/>
      <c r="BC230" s="246"/>
      <c r="BD230" s="246"/>
      <c r="BE230" s="246"/>
      <c r="BF230" s="246"/>
      <c r="BG230" s="246"/>
      <c r="BH230" s="246"/>
      <c r="BI230" s="246"/>
      <c r="BJ230" s="246"/>
      <c r="BK230" s="246"/>
      <c r="BL230" s="246"/>
    </row>
    <row r="231" ht="15.75" customHeight="1">
      <c r="A231" s="246"/>
      <c r="B231" s="246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  <c r="AD231" s="246"/>
      <c r="AE231" s="246"/>
      <c r="AF231" s="246"/>
      <c r="AG231" s="246"/>
      <c r="AH231" s="246"/>
      <c r="AI231" s="246"/>
      <c r="AJ231" s="246"/>
      <c r="AK231" s="246"/>
      <c r="AL231" s="246"/>
      <c r="AM231" s="246"/>
      <c r="AN231" s="246"/>
      <c r="AO231" s="246"/>
      <c r="AP231" s="246"/>
      <c r="AQ231" s="246"/>
      <c r="AR231" s="246"/>
      <c r="AS231" s="246"/>
      <c r="AT231" s="246"/>
      <c r="AU231" s="246"/>
      <c r="AV231" s="246"/>
      <c r="AW231" s="246"/>
      <c r="AX231" s="246"/>
      <c r="AY231" s="246"/>
      <c r="AZ231" s="246"/>
      <c r="BA231" s="246"/>
      <c r="BB231" s="246"/>
      <c r="BC231" s="246"/>
      <c r="BD231" s="246"/>
      <c r="BE231" s="246"/>
      <c r="BF231" s="246"/>
      <c r="BG231" s="246"/>
      <c r="BH231" s="246"/>
      <c r="BI231" s="246"/>
      <c r="BJ231" s="246"/>
      <c r="BK231" s="246"/>
      <c r="BL231" s="246"/>
    </row>
    <row r="232" ht="15.75" customHeight="1">
      <c r="A232" s="246"/>
      <c r="B232" s="246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  <c r="AF232" s="246"/>
      <c r="AG232" s="246"/>
      <c r="AH232" s="246"/>
      <c r="AI232" s="246"/>
      <c r="AJ232" s="246"/>
      <c r="AK232" s="246"/>
      <c r="AL232" s="246"/>
      <c r="AM232" s="246"/>
      <c r="AN232" s="246"/>
      <c r="AO232" s="246"/>
      <c r="AP232" s="246"/>
      <c r="AQ232" s="246"/>
      <c r="AR232" s="246"/>
      <c r="AS232" s="246"/>
      <c r="AT232" s="246"/>
      <c r="AU232" s="246"/>
      <c r="AV232" s="246"/>
      <c r="AW232" s="246"/>
      <c r="AX232" s="246"/>
      <c r="AY232" s="246"/>
      <c r="AZ232" s="246"/>
      <c r="BA232" s="246"/>
      <c r="BB232" s="246"/>
      <c r="BC232" s="246"/>
      <c r="BD232" s="246"/>
      <c r="BE232" s="246"/>
      <c r="BF232" s="246"/>
      <c r="BG232" s="246"/>
      <c r="BH232" s="246"/>
      <c r="BI232" s="246"/>
      <c r="BJ232" s="246"/>
      <c r="BK232" s="246"/>
      <c r="BL232" s="246"/>
    </row>
    <row r="233" ht="15.75" customHeight="1">
      <c r="A233" s="246"/>
      <c r="B233" s="246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  <c r="AD233" s="246"/>
      <c r="AE233" s="246"/>
      <c r="AF233" s="246"/>
      <c r="AG233" s="246"/>
      <c r="AH233" s="246"/>
      <c r="AI233" s="246"/>
      <c r="AJ233" s="246"/>
      <c r="AK233" s="246"/>
      <c r="AL233" s="246"/>
      <c r="AM233" s="246"/>
      <c r="AN233" s="246"/>
      <c r="AO233" s="246"/>
      <c r="AP233" s="246"/>
      <c r="AQ233" s="246"/>
      <c r="AR233" s="246"/>
      <c r="AS233" s="246"/>
      <c r="AT233" s="246"/>
      <c r="AU233" s="246"/>
      <c r="AV233" s="246"/>
      <c r="AW233" s="246"/>
      <c r="AX233" s="246"/>
      <c r="AY233" s="246"/>
      <c r="AZ233" s="246"/>
      <c r="BA233" s="246"/>
      <c r="BB233" s="246"/>
      <c r="BC233" s="246"/>
      <c r="BD233" s="246"/>
      <c r="BE233" s="246"/>
      <c r="BF233" s="246"/>
      <c r="BG233" s="246"/>
      <c r="BH233" s="246"/>
      <c r="BI233" s="246"/>
      <c r="BJ233" s="246"/>
      <c r="BK233" s="246"/>
      <c r="BL233" s="246"/>
    </row>
    <row r="234" ht="15.75" customHeight="1">
      <c r="A234" s="246"/>
      <c r="B234" s="246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  <c r="AB234" s="246"/>
      <c r="AC234" s="246"/>
      <c r="AD234" s="246"/>
      <c r="AE234" s="246"/>
      <c r="AF234" s="246"/>
      <c r="AG234" s="246"/>
      <c r="AH234" s="246"/>
      <c r="AI234" s="246"/>
      <c r="AJ234" s="246"/>
      <c r="AK234" s="246"/>
      <c r="AL234" s="246"/>
      <c r="AM234" s="246"/>
      <c r="AN234" s="246"/>
      <c r="AO234" s="246"/>
      <c r="AP234" s="246"/>
      <c r="AQ234" s="246"/>
      <c r="AR234" s="246"/>
      <c r="AS234" s="246"/>
      <c r="AT234" s="246"/>
      <c r="AU234" s="246"/>
      <c r="AV234" s="246"/>
      <c r="AW234" s="246"/>
      <c r="AX234" s="246"/>
      <c r="AY234" s="246"/>
      <c r="AZ234" s="246"/>
      <c r="BA234" s="246"/>
      <c r="BB234" s="246"/>
      <c r="BC234" s="246"/>
      <c r="BD234" s="246"/>
      <c r="BE234" s="246"/>
      <c r="BF234" s="246"/>
      <c r="BG234" s="246"/>
      <c r="BH234" s="246"/>
      <c r="BI234" s="246"/>
      <c r="BJ234" s="246"/>
      <c r="BK234" s="246"/>
      <c r="BL234" s="246"/>
    </row>
    <row r="235" ht="15.75" customHeight="1">
      <c r="A235" s="246"/>
      <c r="B235" s="246"/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  <c r="AB235" s="246"/>
      <c r="AC235" s="246"/>
      <c r="AD235" s="246"/>
      <c r="AE235" s="246"/>
      <c r="AF235" s="246"/>
      <c r="AG235" s="246"/>
      <c r="AH235" s="246"/>
      <c r="AI235" s="246"/>
      <c r="AJ235" s="246"/>
      <c r="AK235" s="246"/>
      <c r="AL235" s="246"/>
      <c r="AM235" s="246"/>
      <c r="AN235" s="246"/>
      <c r="AO235" s="246"/>
      <c r="AP235" s="246"/>
      <c r="AQ235" s="246"/>
      <c r="AR235" s="246"/>
      <c r="AS235" s="246"/>
      <c r="AT235" s="246"/>
      <c r="AU235" s="246"/>
      <c r="AV235" s="246"/>
      <c r="AW235" s="246"/>
      <c r="AX235" s="246"/>
      <c r="AY235" s="246"/>
      <c r="AZ235" s="246"/>
      <c r="BA235" s="246"/>
      <c r="BB235" s="246"/>
      <c r="BC235" s="246"/>
      <c r="BD235" s="246"/>
      <c r="BE235" s="246"/>
      <c r="BF235" s="246"/>
      <c r="BG235" s="246"/>
      <c r="BH235" s="246"/>
      <c r="BI235" s="246"/>
      <c r="BJ235" s="246"/>
      <c r="BK235" s="246"/>
      <c r="BL235" s="246"/>
    </row>
    <row r="236" ht="15.75" customHeight="1">
      <c r="A236" s="246"/>
      <c r="B236" s="246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  <c r="AB236" s="246"/>
      <c r="AC236" s="246"/>
      <c r="AD236" s="246"/>
      <c r="AE236" s="246"/>
      <c r="AF236" s="246"/>
      <c r="AG236" s="246"/>
      <c r="AH236" s="246"/>
      <c r="AI236" s="246"/>
      <c r="AJ236" s="246"/>
      <c r="AK236" s="246"/>
      <c r="AL236" s="246"/>
      <c r="AM236" s="246"/>
      <c r="AN236" s="246"/>
      <c r="AO236" s="246"/>
      <c r="AP236" s="246"/>
      <c r="AQ236" s="246"/>
      <c r="AR236" s="246"/>
      <c r="AS236" s="246"/>
      <c r="AT236" s="246"/>
      <c r="AU236" s="246"/>
      <c r="AV236" s="246"/>
      <c r="AW236" s="246"/>
      <c r="AX236" s="246"/>
      <c r="AY236" s="246"/>
      <c r="AZ236" s="246"/>
      <c r="BA236" s="246"/>
      <c r="BB236" s="246"/>
      <c r="BC236" s="246"/>
      <c r="BD236" s="246"/>
      <c r="BE236" s="246"/>
      <c r="BF236" s="246"/>
      <c r="BG236" s="246"/>
      <c r="BH236" s="246"/>
      <c r="BI236" s="246"/>
      <c r="BJ236" s="246"/>
      <c r="BK236" s="246"/>
      <c r="BL236" s="246"/>
    </row>
    <row r="237" ht="15.75" customHeight="1">
      <c r="A237" s="246"/>
      <c r="B237" s="246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  <c r="AB237" s="246"/>
      <c r="AC237" s="246"/>
      <c r="AD237" s="246"/>
      <c r="AE237" s="246"/>
      <c r="AF237" s="246"/>
      <c r="AG237" s="246"/>
      <c r="AH237" s="246"/>
      <c r="AI237" s="246"/>
      <c r="AJ237" s="246"/>
      <c r="AK237" s="246"/>
      <c r="AL237" s="246"/>
      <c r="AM237" s="246"/>
      <c r="AN237" s="246"/>
      <c r="AO237" s="246"/>
      <c r="AP237" s="246"/>
      <c r="AQ237" s="246"/>
      <c r="AR237" s="246"/>
      <c r="AS237" s="246"/>
      <c r="AT237" s="246"/>
      <c r="AU237" s="246"/>
      <c r="AV237" s="246"/>
      <c r="AW237" s="246"/>
      <c r="AX237" s="246"/>
      <c r="AY237" s="246"/>
      <c r="AZ237" s="246"/>
      <c r="BA237" s="246"/>
      <c r="BB237" s="246"/>
      <c r="BC237" s="246"/>
      <c r="BD237" s="246"/>
      <c r="BE237" s="246"/>
      <c r="BF237" s="246"/>
      <c r="BG237" s="246"/>
      <c r="BH237" s="246"/>
      <c r="BI237" s="246"/>
      <c r="BJ237" s="246"/>
      <c r="BK237" s="246"/>
      <c r="BL237" s="246"/>
    </row>
    <row r="238" ht="15.75" customHeight="1">
      <c r="A238" s="246"/>
      <c r="B238" s="246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  <c r="AB238" s="246"/>
      <c r="AC238" s="246"/>
      <c r="AD238" s="246"/>
      <c r="AE238" s="246"/>
      <c r="AF238" s="246"/>
      <c r="AG238" s="246"/>
      <c r="AH238" s="246"/>
      <c r="AI238" s="246"/>
      <c r="AJ238" s="246"/>
      <c r="AK238" s="246"/>
      <c r="AL238" s="246"/>
      <c r="AM238" s="246"/>
      <c r="AN238" s="246"/>
      <c r="AO238" s="246"/>
      <c r="AP238" s="246"/>
      <c r="AQ238" s="246"/>
      <c r="AR238" s="246"/>
      <c r="AS238" s="246"/>
      <c r="AT238" s="246"/>
      <c r="AU238" s="246"/>
      <c r="AV238" s="246"/>
      <c r="AW238" s="246"/>
      <c r="AX238" s="246"/>
      <c r="AY238" s="246"/>
      <c r="AZ238" s="246"/>
      <c r="BA238" s="246"/>
      <c r="BB238" s="246"/>
      <c r="BC238" s="246"/>
      <c r="BD238" s="246"/>
      <c r="BE238" s="246"/>
      <c r="BF238" s="246"/>
      <c r="BG238" s="246"/>
      <c r="BH238" s="246"/>
      <c r="BI238" s="246"/>
      <c r="BJ238" s="246"/>
      <c r="BK238" s="246"/>
      <c r="BL238" s="246"/>
    </row>
    <row r="239" ht="15.75" customHeight="1">
      <c r="A239" s="246"/>
      <c r="B239" s="246"/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  <c r="AB239" s="246"/>
      <c r="AC239" s="246"/>
      <c r="AD239" s="246"/>
      <c r="AE239" s="246"/>
      <c r="AF239" s="246"/>
      <c r="AG239" s="246"/>
      <c r="AH239" s="246"/>
      <c r="AI239" s="246"/>
      <c r="AJ239" s="246"/>
      <c r="AK239" s="246"/>
      <c r="AL239" s="246"/>
      <c r="AM239" s="246"/>
      <c r="AN239" s="246"/>
      <c r="AO239" s="246"/>
      <c r="AP239" s="246"/>
      <c r="AQ239" s="246"/>
      <c r="AR239" s="246"/>
      <c r="AS239" s="246"/>
      <c r="AT239" s="246"/>
      <c r="AU239" s="246"/>
      <c r="AV239" s="246"/>
      <c r="AW239" s="246"/>
      <c r="AX239" s="246"/>
      <c r="AY239" s="246"/>
      <c r="AZ239" s="246"/>
      <c r="BA239" s="246"/>
      <c r="BB239" s="246"/>
      <c r="BC239" s="246"/>
      <c r="BD239" s="246"/>
      <c r="BE239" s="246"/>
      <c r="BF239" s="246"/>
      <c r="BG239" s="246"/>
      <c r="BH239" s="246"/>
      <c r="BI239" s="246"/>
      <c r="BJ239" s="246"/>
      <c r="BK239" s="246"/>
      <c r="BL239" s="246"/>
    </row>
    <row r="240" ht="15.75" customHeight="1">
      <c r="A240" s="246"/>
      <c r="B240" s="246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  <c r="AB240" s="246"/>
      <c r="AC240" s="246"/>
      <c r="AD240" s="246"/>
      <c r="AE240" s="246"/>
      <c r="AF240" s="246"/>
      <c r="AG240" s="246"/>
      <c r="AH240" s="246"/>
      <c r="AI240" s="246"/>
      <c r="AJ240" s="246"/>
      <c r="AK240" s="246"/>
      <c r="AL240" s="246"/>
      <c r="AM240" s="246"/>
      <c r="AN240" s="246"/>
      <c r="AO240" s="246"/>
      <c r="AP240" s="246"/>
      <c r="AQ240" s="246"/>
      <c r="AR240" s="246"/>
      <c r="AS240" s="246"/>
      <c r="AT240" s="246"/>
      <c r="AU240" s="246"/>
      <c r="AV240" s="246"/>
      <c r="AW240" s="246"/>
      <c r="AX240" s="246"/>
      <c r="AY240" s="246"/>
      <c r="AZ240" s="246"/>
      <c r="BA240" s="246"/>
      <c r="BB240" s="246"/>
      <c r="BC240" s="246"/>
      <c r="BD240" s="246"/>
      <c r="BE240" s="246"/>
      <c r="BF240" s="246"/>
      <c r="BG240" s="246"/>
      <c r="BH240" s="246"/>
      <c r="BI240" s="246"/>
      <c r="BJ240" s="246"/>
      <c r="BK240" s="246"/>
      <c r="BL240" s="246"/>
    </row>
    <row r="241" ht="15.75" customHeight="1">
      <c r="A241" s="246"/>
      <c r="B241" s="246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  <c r="AB241" s="246"/>
      <c r="AC241" s="246"/>
      <c r="AD241" s="246"/>
      <c r="AE241" s="246"/>
      <c r="AF241" s="246"/>
      <c r="AG241" s="246"/>
      <c r="AH241" s="246"/>
      <c r="AI241" s="246"/>
      <c r="AJ241" s="246"/>
      <c r="AK241" s="246"/>
      <c r="AL241" s="246"/>
      <c r="AM241" s="246"/>
      <c r="AN241" s="246"/>
      <c r="AO241" s="246"/>
      <c r="AP241" s="246"/>
      <c r="AQ241" s="246"/>
      <c r="AR241" s="246"/>
      <c r="AS241" s="246"/>
      <c r="AT241" s="246"/>
      <c r="AU241" s="246"/>
      <c r="AV241" s="246"/>
      <c r="AW241" s="246"/>
      <c r="AX241" s="246"/>
      <c r="AY241" s="246"/>
      <c r="AZ241" s="246"/>
      <c r="BA241" s="246"/>
      <c r="BB241" s="246"/>
      <c r="BC241" s="246"/>
      <c r="BD241" s="246"/>
      <c r="BE241" s="246"/>
      <c r="BF241" s="246"/>
      <c r="BG241" s="246"/>
      <c r="BH241" s="246"/>
      <c r="BI241" s="246"/>
      <c r="BJ241" s="246"/>
      <c r="BK241" s="246"/>
      <c r="BL241" s="246"/>
    </row>
    <row r="242" ht="15.75" customHeight="1">
      <c r="A242" s="246"/>
      <c r="B242" s="246"/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  <c r="AB242" s="246"/>
      <c r="AC242" s="246"/>
      <c r="AD242" s="246"/>
      <c r="AE242" s="246"/>
      <c r="AF242" s="246"/>
      <c r="AG242" s="246"/>
      <c r="AH242" s="246"/>
      <c r="AI242" s="246"/>
      <c r="AJ242" s="246"/>
      <c r="AK242" s="246"/>
      <c r="AL242" s="246"/>
      <c r="AM242" s="246"/>
      <c r="AN242" s="246"/>
      <c r="AO242" s="246"/>
      <c r="AP242" s="246"/>
      <c r="AQ242" s="246"/>
      <c r="AR242" s="246"/>
      <c r="AS242" s="246"/>
      <c r="AT242" s="246"/>
      <c r="AU242" s="246"/>
      <c r="AV242" s="246"/>
      <c r="AW242" s="246"/>
      <c r="AX242" s="246"/>
      <c r="AY242" s="246"/>
      <c r="AZ242" s="246"/>
      <c r="BA242" s="246"/>
      <c r="BB242" s="246"/>
      <c r="BC242" s="246"/>
      <c r="BD242" s="246"/>
      <c r="BE242" s="246"/>
      <c r="BF242" s="246"/>
      <c r="BG242" s="246"/>
      <c r="BH242" s="246"/>
      <c r="BI242" s="246"/>
      <c r="BJ242" s="246"/>
      <c r="BK242" s="246"/>
      <c r="BL242" s="246"/>
    </row>
    <row r="243" ht="15.75" customHeight="1">
      <c r="A243" s="246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  <c r="AB243" s="246"/>
      <c r="AC243" s="246"/>
      <c r="AD243" s="246"/>
      <c r="AE243" s="246"/>
      <c r="AF243" s="246"/>
      <c r="AG243" s="246"/>
      <c r="AH243" s="246"/>
      <c r="AI243" s="246"/>
      <c r="AJ243" s="246"/>
      <c r="AK243" s="246"/>
      <c r="AL243" s="246"/>
      <c r="AM243" s="246"/>
      <c r="AN243" s="246"/>
      <c r="AO243" s="246"/>
      <c r="AP243" s="246"/>
      <c r="AQ243" s="246"/>
      <c r="AR243" s="246"/>
      <c r="AS243" s="246"/>
      <c r="AT243" s="246"/>
      <c r="AU243" s="246"/>
      <c r="AV243" s="246"/>
      <c r="AW243" s="246"/>
      <c r="AX243" s="246"/>
      <c r="AY243" s="246"/>
      <c r="AZ243" s="246"/>
      <c r="BA243" s="246"/>
      <c r="BB243" s="246"/>
      <c r="BC243" s="246"/>
      <c r="BD243" s="246"/>
      <c r="BE243" s="246"/>
      <c r="BF243" s="246"/>
      <c r="BG243" s="246"/>
      <c r="BH243" s="246"/>
      <c r="BI243" s="246"/>
      <c r="BJ243" s="246"/>
      <c r="BK243" s="246"/>
      <c r="BL243" s="246"/>
    </row>
    <row r="244" ht="15.75" customHeight="1">
      <c r="A244" s="246"/>
      <c r="B244" s="246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  <c r="AA244" s="246"/>
      <c r="AB244" s="246"/>
      <c r="AC244" s="246"/>
      <c r="AD244" s="246"/>
      <c r="AE244" s="246"/>
      <c r="AF244" s="246"/>
      <c r="AG244" s="246"/>
      <c r="AH244" s="246"/>
      <c r="AI244" s="246"/>
      <c r="AJ244" s="246"/>
      <c r="AK244" s="246"/>
      <c r="AL244" s="246"/>
      <c r="AM244" s="246"/>
      <c r="AN244" s="246"/>
      <c r="AO244" s="246"/>
      <c r="AP244" s="246"/>
      <c r="AQ244" s="246"/>
      <c r="AR244" s="246"/>
      <c r="AS244" s="246"/>
      <c r="AT244" s="246"/>
      <c r="AU244" s="246"/>
      <c r="AV244" s="246"/>
      <c r="AW244" s="246"/>
      <c r="AX244" s="246"/>
      <c r="AY244" s="246"/>
      <c r="AZ244" s="246"/>
      <c r="BA244" s="246"/>
      <c r="BB244" s="246"/>
      <c r="BC244" s="246"/>
      <c r="BD244" s="246"/>
      <c r="BE244" s="246"/>
      <c r="BF244" s="246"/>
      <c r="BG244" s="246"/>
      <c r="BH244" s="246"/>
      <c r="BI244" s="246"/>
      <c r="BJ244" s="246"/>
      <c r="BK244" s="246"/>
      <c r="BL244" s="246"/>
    </row>
    <row r="245" ht="15.75" customHeight="1">
      <c r="A245" s="246"/>
      <c r="B245" s="246"/>
      <c r="C245" s="246"/>
      <c r="D245" s="246"/>
      <c r="E245" s="246"/>
      <c r="F245" s="246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246"/>
      <c r="S245" s="246"/>
      <c r="T245" s="246"/>
      <c r="U245" s="246"/>
      <c r="V245" s="246"/>
      <c r="W245" s="246"/>
      <c r="X245" s="246"/>
      <c r="Y245" s="246"/>
      <c r="Z245" s="246"/>
      <c r="AA245" s="246"/>
      <c r="AB245" s="246"/>
      <c r="AC245" s="246"/>
      <c r="AD245" s="246"/>
      <c r="AE245" s="246"/>
      <c r="AF245" s="246"/>
      <c r="AG245" s="246"/>
      <c r="AH245" s="246"/>
      <c r="AI245" s="246"/>
      <c r="AJ245" s="246"/>
      <c r="AK245" s="246"/>
      <c r="AL245" s="246"/>
      <c r="AM245" s="246"/>
      <c r="AN245" s="246"/>
      <c r="AO245" s="246"/>
      <c r="AP245" s="246"/>
      <c r="AQ245" s="246"/>
      <c r="AR245" s="246"/>
      <c r="AS245" s="246"/>
      <c r="AT245" s="246"/>
      <c r="AU245" s="246"/>
      <c r="AV245" s="246"/>
      <c r="AW245" s="246"/>
      <c r="AX245" s="246"/>
      <c r="AY245" s="246"/>
      <c r="AZ245" s="246"/>
      <c r="BA245" s="246"/>
      <c r="BB245" s="246"/>
      <c r="BC245" s="246"/>
      <c r="BD245" s="246"/>
      <c r="BE245" s="246"/>
      <c r="BF245" s="246"/>
      <c r="BG245" s="246"/>
      <c r="BH245" s="246"/>
      <c r="BI245" s="246"/>
      <c r="BJ245" s="246"/>
      <c r="BK245" s="246"/>
      <c r="BL245" s="246"/>
    </row>
    <row r="246" ht="15.75" customHeight="1">
      <c r="A246" s="246"/>
      <c r="B246" s="246"/>
      <c r="C246" s="246"/>
      <c r="D246" s="246"/>
      <c r="E246" s="246"/>
      <c r="F246" s="246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246"/>
      <c r="S246" s="246"/>
      <c r="T246" s="246"/>
      <c r="U246" s="246"/>
      <c r="V246" s="246"/>
      <c r="W246" s="246"/>
      <c r="X246" s="246"/>
      <c r="Y246" s="246"/>
      <c r="Z246" s="246"/>
      <c r="AA246" s="246"/>
      <c r="AB246" s="246"/>
      <c r="AC246" s="246"/>
      <c r="AD246" s="246"/>
      <c r="AE246" s="246"/>
      <c r="AF246" s="246"/>
      <c r="AG246" s="246"/>
      <c r="AH246" s="246"/>
      <c r="AI246" s="246"/>
      <c r="AJ246" s="246"/>
      <c r="AK246" s="246"/>
      <c r="AL246" s="246"/>
      <c r="AM246" s="246"/>
      <c r="AN246" s="246"/>
      <c r="AO246" s="246"/>
      <c r="AP246" s="246"/>
      <c r="AQ246" s="246"/>
      <c r="AR246" s="246"/>
      <c r="AS246" s="246"/>
      <c r="AT246" s="246"/>
      <c r="AU246" s="246"/>
      <c r="AV246" s="246"/>
      <c r="AW246" s="246"/>
      <c r="AX246" s="246"/>
      <c r="AY246" s="246"/>
      <c r="AZ246" s="246"/>
      <c r="BA246" s="246"/>
      <c r="BB246" s="246"/>
      <c r="BC246" s="246"/>
      <c r="BD246" s="246"/>
      <c r="BE246" s="246"/>
      <c r="BF246" s="246"/>
      <c r="BG246" s="246"/>
      <c r="BH246" s="246"/>
      <c r="BI246" s="246"/>
      <c r="BJ246" s="246"/>
      <c r="BK246" s="246"/>
      <c r="BL246" s="246"/>
    </row>
    <row r="247" ht="15.75" customHeight="1">
      <c r="A247" s="246"/>
      <c r="B247" s="246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246"/>
      <c r="S247" s="246"/>
      <c r="T247" s="246"/>
      <c r="U247" s="246"/>
      <c r="V247" s="246"/>
      <c r="W247" s="246"/>
      <c r="X247" s="246"/>
      <c r="Y247" s="246"/>
      <c r="Z247" s="246"/>
      <c r="AA247" s="246"/>
      <c r="AB247" s="246"/>
      <c r="AC247" s="246"/>
      <c r="AD247" s="246"/>
      <c r="AE247" s="246"/>
      <c r="AF247" s="246"/>
      <c r="AG247" s="246"/>
      <c r="AH247" s="246"/>
      <c r="AI247" s="246"/>
      <c r="AJ247" s="246"/>
      <c r="AK247" s="246"/>
      <c r="AL247" s="246"/>
      <c r="AM247" s="246"/>
      <c r="AN247" s="246"/>
      <c r="AO247" s="246"/>
      <c r="AP247" s="246"/>
      <c r="AQ247" s="246"/>
      <c r="AR247" s="246"/>
      <c r="AS247" s="246"/>
      <c r="AT247" s="246"/>
      <c r="AU247" s="246"/>
      <c r="AV247" s="246"/>
      <c r="AW247" s="246"/>
      <c r="AX247" s="246"/>
      <c r="AY247" s="246"/>
      <c r="AZ247" s="246"/>
      <c r="BA247" s="246"/>
      <c r="BB247" s="246"/>
      <c r="BC247" s="246"/>
      <c r="BD247" s="246"/>
      <c r="BE247" s="246"/>
      <c r="BF247" s="246"/>
      <c r="BG247" s="246"/>
      <c r="BH247" s="246"/>
      <c r="BI247" s="246"/>
      <c r="BJ247" s="246"/>
      <c r="BK247" s="246"/>
      <c r="BL247" s="246"/>
    </row>
    <row r="248" ht="15.75" customHeight="1">
      <c r="A248" s="246"/>
      <c r="B248" s="246"/>
      <c r="C248" s="246"/>
      <c r="D248" s="246"/>
      <c r="E248" s="246"/>
      <c r="F248" s="246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246"/>
      <c r="S248" s="246"/>
      <c r="T248" s="246"/>
      <c r="U248" s="246"/>
      <c r="V248" s="246"/>
      <c r="W248" s="246"/>
      <c r="X248" s="246"/>
      <c r="Y248" s="246"/>
      <c r="Z248" s="246"/>
      <c r="AA248" s="246"/>
      <c r="AB248" s="246"/>
      <c r="AC248" s="246"/>
      <c r="AD248" s="246"/>
      <c r="AE248" s="246"/>
      <c r="AF248" s="246"/>
      <c r="AG248" s="246"/>
      <c r="AH248" s="246"/>
      <c r="AI248" s="246"/>
      <c r="AJ248" s="246"/>
      <c r="AK248" s="246"/>
      <c r="AL248" s="246"/>
      <c r="AM248" s="246"/>
      <c r="AN248" s="246"/>
      <c r="AO248" s="246"/>
      <c r="AP248" s="246"/>
      <c r="AQ248" s="246"/>
      <c r="AR248" s="246"/>
      <c r="AS248" s="246"/>
      <c r="AT248" s="246"/>
      <c r="AU248" s="246"/>
      <c r="AV248" s="246"/>
      <c r="AW248" s="246"/>
      <c r="AX248" s="246"/>
      <c r="AY248" s="246"/>
      <c r="AZ248" s="246"/>
      <c r="BA248" s="246"/>
      <c r="BB248" s="246"/>
      <c r="BC248" s="246"/>
      <c r="BD248" s="246"/>
      <c r="BE248" s="246"/>
      <c r="BF248" s="246"/>
      <c r="BG248" s="246"/>
      <c r="BH248" s="246"/>
      <c r="BI248" s="246"/>
      <c r="BJ248" s="246"/>
      <c r="BK248" s="246"/>
      <c r="BL248" s="246"/>
    </row>
    <row r="249" ht="15.75" customHeight="1">
      <c r="A249" s="246"/>
      <c r="B249" s="246"/>
      <c r="C249" s="246"/>
      <c r="D249" s="246"/>
      <c r="E249" s="246"/>
      <c r="F249" s="246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246"/>
      <c r="S249" s="246"/>
      <c r="T249" s="246"/>
      <c r="U249" s="246"/>
      <c r="V249" s="246"/>
      <c r="W249" s="246"/>
      <c r="X249" s="246"/>
      <c r="Y249" s="246"/>
      <c r="Z249" s="246"/>
      <c r="AA249" s="246"/>
      <c r="AB249" s="246"/>
      <c r="AC249" s="246"/>
      <c r="AD249" s="246"/>
      <c r="AE249" s="246"/>
      <c r="AF249" s="246"/>
      <c r="AG249" s="246"/>
      <c r="AH249" s="246"/>
      <c r="AI249" s="246"/>
      <c r="AJ249" s="246"/>
      <c r="AK249" s="246"/>
      <c r="AL249" s="246"/>
      <c r="AM249" s="246"/>
      <c r="AN249" s="246"/>
      <c r="AO249" s="246"/>
      <c r="AP249" s="246"/>
      <c r="AQ249" s="246"/>
      <c r="AR249" s="246"/>
      <c r="AS249" s="246"/>
      <c r="AT249" s="246"/>
      <c r="AU249" s="246"/>
      <c r="AV249" s="246"/>
      <c r="AW249" s="246"/>
      <c r="AX249" s="246"/>
      <c r="AY249" s="246"/>
      <c r="AZ249" s="246"/>
      <c r="BA249" s="246"/>
      <c r="BB249" s="246"/>
      <c r="BC249" s="246"/>
      <c r="BD249" s="246"/>
      <c r="BE249" s="246"/>
      <c r="BF249" s="246"/>
      <c r="BG249" s="246"/>
      <c r="BH249" s="246"/>
      <c r="BI249" s="246"/>
      <c r="BJ249" s="246"/>
      <c r="BK249" s="246"/>
      <c r="BL249" s="246"/>
    </row>
    <row r="250" ht="15.75" customHeight="1">
      <c r="A250" s="246"/>
      <c r="B250" s="246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246"/>
      <c r="S250" s="246"/>
      <c r="T250" s="246"/>
      <c r="U250" s="246"/>
      <c r="V250" s="246"/>
      <c r="W250" s="246"/>
      <c r="X250" s="246"/>
      <c r="Y250" s="246"/>
      <c r="Z250" s="246"/>
      <c r="AA250" s="246"/>
      <c r="AB250" s="246"/>
      <c r="AC250" s="246"/>
      <c r="AD250" s="246"/>
      <c r="AE250" s="246"/>
      <c r="AF250" s="246"/>
      <c r="AG250" s="246"/>
      <c r="AH250" s="246"/>
      <c r="AI250" s="246"/>
      <c r="AJ250" s="246"/>
      <c r="AK250" s="246"/>
      <c r="AL250" s="246"/>
      <c r="AM250" s="246"/>
      <c r="AN250" s="246"/>
      <c r="AO250" s="246"/>
      <c r="AP250" s="246"/>
      <c r="AQ250" s="246"/>
      <c r="AR250" s="246"/>
      <c r="AS250" s="246"/>
      <c r="AT250" s="246"/>
      <c r="AU250" s="246"/>
      <c r="AV250" s="246"/>
      <c r="AW250" s="246"/>
      <c r="AX250" s="246"/>
      <c r="AY250" s="246"/>
      <c r="AZ250" s="246"/>
      <c r="BA250" s="246"/>
      <c r="BB250" s="246"/>
      <c r="BC250" s="246"/>
      <c r="BD250" s="246"/>
      <c r="BE250" s="246"/>
      <c r="BF250" s="246"/>
      <c r="BG250" s="246"/>
      <c r="BH250" s="246"/>
      <c r="BI250" s="246"/>
      <c r="BJ250" s="246"/>
      <c r="BK250" s="246"/>
      <c r="BL250" s="246"/>
    </row>
    <row r="251" ht="15.75" customHeight="1">
      <c r="A251" s="246"/>
      <c r="B251" s="246"/>
      <c r="C251" s="246"/>
      <c r="D251" s="246"/>
      <c r="E251" s="246"/>
      <c r="F251" s="246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246"/>
      <c r="S251" s="246"/>
      <c r="T251" s="246"/>
      <c r="U251" s="246"/>
      <c r="V251" s="246"/>
      <c r="W251" s="246"/>
      <c r="X251" s="246"/>
      <c r="Y251" s="246"/>
      <c r="Z251" s="246"/>
      <c r="AA251" s="246"/>
      <c r="AB251" s="246"/>
      <c r="AC251" s="246"/>
      <c r="AD251" s="246"/>
      <c r="AE251" s="246"/>
      <c r="AF251" s="246"/>
      <c r="AG251" s="246"/>
      <c r="AH251" s="246"/>
      <c r="AI251" s="246"/>
      <c r="AJ251" s="246"/>
      <c r="AK251" s="246"/>
      <c r="AL251" s="246"/>
      <c r="AM251" s="246"/>
      <c r="AN251" s="246"/>
      <c r="AO251" s="246"/>
      <c r="AP251" s="246"/>
      <c r="AQ251" s="246"/>
      <c r="AR251" s="246"/>
      <c r="AS251" s="246"/>
      <c r="AT251" s="246"/>
      <c r="AU251" s="246"/>
      <c r="AV251" s="246"/>
      <c r="AW251" s="246"/>
      <c r="AX251" s="246"/>
      <c r="AY251" s="246"/>
      <c r="AZ251" s="246"/>
      <c r="BA251" s="246"/>
      <c r="BB251" s="246"/>
      <c r="BC251" s="246"/>
      <c r="BD251" s="246"/>
      <c r="BE251" s="246"/>
      <c r="BF251" s="246"/>
      <c r="BG251" s="246"/>
      <c r="BH251" s="246"/>
      <c r="BI251" s="246"/>
      <c r="BJ251" s="246"/>
      <c r="BK251" s="246"/>
      <c r="BL251" s="246"/>
    </row>
    <row r="252" ht="15.75" customHeight="1">
      <c r="A252" s="246"/>
      <c r="B252" s="246"/>
      <c r="C252" s="246"/>
      <c r="D252" s="246"/>
      <c r="E252" s="246"/>
      <c r="F252" s="246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246"/>
      <c r="S252" s="246"/>
      <c r="T252" s="246"/>
      <c r="U252" s="246"/>
      <c r="V252" s="246"/>
      <c r="W252" s="246"/>
      <c r="X252" s="246"/>
      <c r="Y252" s="246"/>
      <c r="Z252" s="246"/>
      <c r="AA252" s="246"/>
      <c r="AB252" s="246"/>
      <c r="AC252" s="246"/>
      <c r="AD252" s="246"/>
      <c r="AE252" s="246"/>
      <c r="AF252" s="246"/>
      <c r="AG252" s="246"/>
      <c r="AH252" s="246"/>
      <c r="AI252" s="246"/>
      <c r="AJ252" s="246"/>
      <c r="AK252" s="246"/>
      <c r="AL252" s="246"/>
      <c r="AM252" s="246"/>
      <c r="AN252" s="246"/>
      <c r="AO252" s="246"/>
      <c r="AP252" s="246"/>
      <c r="AQ252" s="246"/>
      <c r="AR252" s="246"/>
      <c r="AS252" s="246"/>
      <c r="AT252" s="246"/>
      <c r="AU252" s="246"/>
      <c r="AV252" s="246"/>
      <c r="AW252" s="246"/>
      <c r="AX252" s="246"/>
      <c r="AY252" s="246"/>
      <c r="AZ252" s="246"/>
      <c r="BA252" s="246"/>
      <c r="BB252" s="246"/>
      <c r="BC252" s="246"/>
      <c r="BD252" s="246"/>
      <c r="BE252" s="246"/>
      <c r="BF252" s="246"/>
      <c r="BG252" s="246"/>
      <c r="BH252" s="246"/>
      <c r="BI252" s="246"/>
      <c r="BJ252" s="246"/>
      <c r="BK252" s="246"/>
      <c r="BL252" s="246"/>
    </row>
    <row r="253" ht="15.75" customHeight="1">
      <c r="A253" s="246"/>
      <c r="B253" s="246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6"/>
      <c r="Y253" s="246"/>
      <c r="Z253" s="246"/>
      <c r="AA253" s="246"/>
      <c r="AB253" s="246"/>
      <c r="AC253" s="246"/>
      <c r="AD253" s="246"/>
      <c r="AE253" s="246"/>
      <c r="AF253" s="246"/>
      <c r="AG253" s="246"/>
      <c r="AH253" s="246"/>
      <c r="AI253" s="246"/>
      <c r="AJ253" s="246"/>
      <c r="AK253" s="246"/>
      <c r="AL253" s="246"/>
      <c r="AM253" s="246"/>
      <c r="AN253" s="246"/>
      <c r="AO253" s="246"/>
      <c r="AP253" s="246"/>
      <c r="AQ253" s="246"/>
      <c r="AR253" s="246"/>
      <c r="AS253" s="246"/>
      <c r="AT253" s="246"/>
      <c r="AU253" s="246"/>
      <c r="AV253" s="246"/>
      <c r="AW253" s="246"/>
      <c r="AX253" s="246"/>
      <c r="AY253" s="246"/>
      <c r="AZ253" s="246"/>
      <c r="BA253" s="246"/>
      <c r="BB253" s="246"/>
      <c r="BC253" s="246"/>
      <c r="BD253" s="246"/>
      <c r="BE253" s="246"/>
      <c r="BF253" s="246"/>
      <c r="BG253" s="246"/>
      <c r="BH253" s="246"/>
      <c r="BI253" s="246"/>
      <c r="BJ253" s="246"/>
      <c r="BK253" s="246"/>
      <c r="BL253" s="246"/>
    </row>
    <row r="254" ht="15.75" customHeight="1">
      <c r="A254" s="246"/>
      <c r="B254" s="246"/>
      <c r="C254" s="246"/>
      <c r="D254" s="246"/>
      <c r="E254" s="246"/>
      <c r="F254" s="246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246"/>
      <c r="S254" s="246"/>
      <c r="T254" s="246"/>
      <c r="U254" s="246"/>
      <c r="V254" s="246"/>
      <c r="W254" s="246"/>
      <c r="X254" s="246"/>
      <c r="Y254" s="246"/>
      <c r="Z254" s="246"/>
      <c r="AA254" s="246"/>
      <c r="AB254" s="246"/>
      <c r="AC254" s="246"/>
      <c r="AD254" s="246"/>
      <c r="AE254" s="246"/>
      <c r="AF254" s="246"/>
      <c r="AG254" s="246"/>
      <c r="AH254" s="246"/>
      <c r="AI254" s="246"/>
      <c r="AJ254" s="246"/>
      <c r="AK254" s="246"/>
      <c r="AL254" s="246"/>
      <c r="AM254" s="246"/>
      <c r="AN254" s="246"/>
      <c r="AO254" s="246"/>
      <c r="AP254" s="246"/>
      <c r="AQ254" s="246"/>
      <c r="AR254" s="246"/>
      <c r="AS254" s="246"/>
      <c r="AT254" s="246"/>
      <c r="AU254" s="246"/>
      <c r="AV254" s="246"/>
      <c r="AW254" s="246"/>
      <c r="AX254" s="246"/>
      <c r="AY254" s="246"/>
      <c r="AZ254" s="246"/>
      <c r="BA254" s="246"/>
      <c r="BB254" s="246"/>
      <c r="BC254" s="246"/>
      <c r="BD254" s="246"/>
      <c r="BE254" s="246"/>
      <c r="BF254" s="246"/>
      <c r="BG254" s="246"/>
      <c r="BH254" s="246"/>
      <c r="BI254" s="246"/>
      <c r="BJ254" s="246"/>
      <c r="BK254" s="246"/>
      <c r="BL254" s="246"/>
    </row>
    <row r="255" ht="15.75" customHeight="1">
      <c r="A255" s="246"/>
      <c r="B255" s="246"/>
      <c r="C255" s="246"/>
      <c r="D255" s="246"/>
      <c r="E255" s="246"/>
      <c r="F255" s="246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246"/>
      <c r="S255" s="246"/>
      <c r="T255" s="246"/>
      <c r="U255" s="246"/>
      <c r="V255" s="246"/>
      <c r="W255" s="246"/>
      <c r="X255" s="246"/>
      <c r="Y255" s="246"/>
      <c r="Z255" s="246"/>
      <c r="AA255" s="246"/>
      <c r="AB255" s="246"/>
      <c r="AC255" s="246"/>
      <c r="AD255" s="246"/>
      <c r="AE255" s="246"/>
      <c r="AF255" s="246"/>
      <c r="AG255" s="246"/>
      <c r="AH255" s="246"/>
      <c r="AI255" s="246"/>
      <c r="AJ255" s="246"/>
      <c r="AK255" s="246"/>
      <c r="AL255" s="246"/>
      <c r="AM255" s="246"/>
      <c r="AN255" s="246"/>
      <c r="AO255" s="246"/>
      <c r="AP255" s="246"/>
      <c r="AQ255" s="246"/>
      <c r="AR255" s="246"/>
      <c r="AS255" s="246"/>
      <c r="AT255" s="246"/>
      <c r="AU255" s="246"/>
      <c r="AV255" s="246"/>
      <c r="AW255" s="246"/>
      <c r="AX255" s="246"/>
      <c r="AY255" s="246"/>
      <c r="AZ255" s="246"/>
      <c r="BA255" s="246"/>
      <c r="BB255" s="246"/>
      <c r="BC255" s="246"/>
      <c r="BD255" s="246"/>
      <c r="BE255" s="246"/>
      <c r="BF255" s="246"/>
      <c r="BG255" s="246"/>
      <c r="BH255" s="246"/>
      <c r="BI255" s="246"/>
      <c r="BJ255" s="246"/>
      <c r="BK255" s="246"/>
      <c r="BL255" s="246"/>
    </row>
    <row r="256" ht="15.75" customHeight="1">
      <c r="A256" s="246"/>
      <c r="B256" s="246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246"/>
      <c r="S256" s="246"/>
      <c r="T256" s="246"/>
      <c r="U256" s="246"/>
      <c r="V256" s="246"/>
      <c r="W256" s="246"/>
      <c r="X256" s="246"/>
      <c r="Y256" s="246"/>
      <c r="Z256" s="246"/>
      <c r="AA256" s="246"/>
      <c r="AB256" s="246"/>
      <c r="AC256" s="246"/>
      <c r="AD256" s="246"/>
      <c r="AE256" s="246"/>
      <c r="AF256" s="246"/>
      <c r="AG256" s="246"/>
      <c r="AH256" s="246"/>
      <c r="AI256" s="246"/>
      <c r="AJ256" s="246"/>
      <c r="AK256" s="246"/>
      <c r="AL256" s="246"/>
      <c r="AM256" s="246"/>
      <c r="AN256" s="246"/>
      <c r="AO256" s="246"/>
      <c r="AP256" s="246"/>
      <c r="AQ256" s="246"/>
      <c r="AR256" s="246"/>
      <c r="AS256" s="246"/>
      <c r="AT256" s="246"/>
      <c r="AU256" s="246"/>
      <c r="AV256" s="246"/>
      <c r="AW256" s="246"/>
      <c r="AX256" s="246"/>
      <c r="AY256" s="246"/>
      <c r="AZ256" s="246"/>
      <c r="BA256" s="246"/>
      <c r="BB256" s="246"/>
      <c r="BC256" s="246"/>
      <c r="BD256" s="246"/>
      <c r="BE256" s="246"/>
      <c r="BF256" s="246"/>
      <c r="BG256" s="246"/>
      <c r="BH256" s="246"/>
      <c r="BI256" s="246"/>
      <c r="BJ256" s="246"/>
      <c r="BK256" s="246"/>
      <c r="BL256" s="246"/>
    </row>
    <row r="257" ht="15.75" customHeight="1">
      <c r="A257" s="246"/>
      <c r="B257" s="246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246"/>
      <c r="S257" s="246"/>
      <c r="T257" s="246"/>
      <c r="U257" s="246"/>
      <c r="V257" s="246"/>
      <c r="W257" s="246"/>
      <c r="X257" s="246"/>
      <c r="Y257" s="246"/>
      <c r="Z257" s="246"/>
      <c r="AA257" s="246"/>
      <c r="AB257" s="246"/>
      <c r="AC257" s="246"/>
      <c r="AD257" s="246"/>
      <c r="AE257" s="246"/>
      <c r="AF257" s="246"/>
      <c r="AG257" s="246"/>
      <c r="AH257" s="246"/>
      <c r="AI257" s="246"/>
      <c r="AJ257" s="246"/>
      <c r="AK257" s="246"/>
      <c r="AL257" s="246"/>
      <c r="AM257" s="246"/>
      <c r="AN257" s="246"/>
      <c r="AO257" s="246"/>
      <c r="AP257" s="246"/>
      <c r="AQ257" s="246"/>
      <c r="AR257" s="246"/>
      <c r="AS257" s="246"/>
      <c r="AT257" s="246"/>
      <c r="AU257" s="246"/>
      <c r="AV257" s="246"/>
      <c r="AW257" s="246"/>
      <c r="AX257" s="246"/>
      <c r="AY257" s="246"/>
      <c r="AZ257" s="246"/>
      <c r="BA257" s="246"/>
      <c r="BB257" s="246"/>
      <c r="BC257" s="246"/>
      <c r="BD257" s="246"/>
      <c r="BE257" s="246"/>
      <c r="BF257" s="246"/>
      <c r="BG257" s="246"/>
      <c r="BH257" s="246"/>
      <c r="BI257" s="246"/>
      <c r="BJ257" s="246"/>
      <c r="BK257" s="246"/>
      <c r="BL257" s="246"/>
    </row>
    <row r="258" ht="15.75" customHeight="1">
      <c r="A258" s="246"/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6"/>
      <c r="S258" s="246"/>
      <c r="T258" s="246"/>
      <c r="U258" s="246"/>
      <c r="V258" s="246"/>
      <c r="W258" s="246"/>
      <c r="X258" s="246"/>
      <c r="Y258" s="246"/>
      <c r="Z258" s="246"/>
      <c r="AA258" s="246"/>
      <c r="AB258" s="246"/>
      <c r="AC258" s="246"/>
      <c r="AD258" s="246"/>
      <c r="AE258" s="246"/>
      <c r="AF258" s="246"/>
      <c r="AG258" s="246"/>
      <c r="AH258" s="246"/>
      <c r="AI258" s="246"/>
      <c r="AJ258" s="246"/>
      <c r="AK258" s="246"/>
      <c r="AL258" s="246"/>
      <c r="AM258" s="246"/>
      <c r="AN258" s="246"/>
      <c r="AO258" s="246"/>
      <c r="AP258" s="246"/>
      <c r="AQ258" s="246"/>
      <c r="AR258" s="246"/>
      <c r="AS258" s="246"/>
      <c r="AT258" s="246"/>
      <c r="AU258" s="246"/>
      <c r="AV258" s="246"/>
      <c r="AW258" s="246"/>
      <c r="AX258" s="246"/>
      <c r="AY258" s="246"/>
      <c r="AZ258" s="246"/>
      <c r="BA258" s="246"/>
      <c r="BB258" s="246"/>
      <c r="BC258" s="246"/>
      <c r="BD258" s="246"/>
      <c r="BE258" s="246"/>
      <c r="BF258" s="246"/>
      <c r="BG258" s="246"/>
      <c r="BH258" s="246"/>
      <c r="BI258" s="246"/>
      <c r="BJ258" s="246"/>
      <c r="BK258" s="246"/>
      <c r="BL258" s="246"/>
    </row>
    <row r="259" ht="15.75" customHeight="1">
      <c r="A259" s="246"/>
      <c r="B259" s="246"/>
      <c r="C259" s="246"/>
      <c r="D259" s="246"/>
      <c r="E259" s="246"/>
      <c r="F259" s="246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246"/>
      <c r="S259" s="246"/>
      <c r="T259" s="246"/>
      <c r="U259" s="246"/>
      <c r="V259" s="246"/>
      <c r="W259" s="246"/>
      <c r="X259" s="246"/>
      <c r="Y259" s="246"/>
      <c r="Z259" s="246"/>
      <c r="AA259" s="246"/>
      <c r="AB259" s="246"/>
      <c r="AC259" s="246"/>
      <c r="AD259" s="246"/>
      <c r="AE259" s="246"/>
      <c r="AF259" s="246"/>
      <c r="AG259" s="246"/>
      <c r="AH259" s="246"/>
      <c r="AI259" s="246"/>
      <c r="AJ259" s="246"/>
      <c r="AK259" s="246"/>
      <c r="AL259" s="246"/>
      <c r="AM259" s="246"/>
      <c r="AN259" s="246"/>
      <c r="AO259" s="246"/>
      <c r="AP259" s="246"/>
      <c r="AQ259" s="246"/>
      <c r="AR259" s="246"/>
      <c r="AS259" s="246"/>
      <c r="AT259" s="246"/>
      <c r="AU259" s="246"/>
      <c r="AV259" s="246"/>
      <c r="AW259" s="246"/>
      <c r="AX259" s="246"/>
      <c r="AY259" s="246"/>
      <c r="AZ259" s="246"/>
      <c r="BA259" s="246"/>
      <c r="BB259" s="246"/>
      <c r="BC259" s="246"/>
      <c r="BD259" s="246"/>
      <c r="BE259" s="246"/>
      <c r="BF259" s="246"/>
      <c r="BG259" s="246"/>
      <c r="BH259" s="246"/>
      <c r="BI259" s="246"/>
      <c r="BJ259" s="246"/>
      <c r="BK259" s="246"/>
      <c r="BL259" s="246"/>
    </row>
    <row r="260" ht="15.75" customHeight="1">
      <c r="A260" s="246"/>
      <c r="B260" s="246"/>
      <c r="C260" s="246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246"/>
      <c r="S260" s="246"/>
      <c r="T260" s="246"/>
      <c r="U260" s="246"/>
      <c r="V260" s="246"/>
      <c r="W260" s="246"/>
      <c r="X260" s="246"/>
      <c r="Y260" s="246"/>
      <c r="Z260" s="246"/>
      <c r="AA260" s="246"/>
      <c r="AB260" s="246"/>
      <c r="AC260" s="246"/>
      <c r="AD260" s="246"/>
      <c r="AE260" s="246"/>
      <c r="AF260" s="246"/>
      <c r="AG260" s="246"/>
      <c r="AH260" s="246"/>
      <c r="AI260" s="246"/>
      <c r="AJ260" s="246"/>
      <c r="AK260" s="246"/>
      <c r="AL260" s="246"/>
      <c r="AM260" s="246"/>
      <c r="AN260" s="246"/>
      <c r="AO260" s="246"/>
      <c r="AP260" s="246"/>
      <c r="AQ260" s="246"/>
      <c r="AR260" s="246"/>
      <c r="AS260" s="246"/>
      <c r="AT260" s="246"/>
      <c r="AU260" s="246"/>
      <c r="AV260" s="246"/>
      <c r="AW260" s="246"/>
      <c r="AX260" s="246"/>
      <c r="AY260" s="246"/>
      <c r="AZ260" s="246"/>
      <c r="BA260" s="246"/>
      <c r="BB260" s="246"/>
      <c r="BC260" s="246"/>
      <c r="BD260" s="246"/>
      <c r="BE260" s="246"/>
      <c r="BF260" s="246"/>
      <c r="BG260" s="246"/>
      <c r="BH260" s="246"/>
      <c r="BI260" s="246"/>
      <c r="BJ260" s="246"/>
      <c r="BK260" s="246"/>
      <c r="BL260" s="246"/>
    </row>
    <row r="261" ht="15.75" customHeight="1">
      <c r="A261" s="246"/>
      <c r="B261" s="246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46"/>
      <c r="S261" s="246"/>
      <c r="T261" s="246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6"/>
      <c r="AG261" s="246"/>
      <c r="AH261" s="246"/>
      <c r="AI261" s="246"/>
      <c r="AJ261" s="246"/>
      <c r="AK261" s="246"/>
      <c r="AL261" s="246"/>
      <c r="AM261" s="246"/>
      <c r="AN261" s="246"/>
      <c r="AO261" s="246"/>
      <c r="AP261" s="246"/>
      <c r="AQ261" s="246"/>
      <c r="AR261" s="246"/>
      <c r="AS261" s="246"/>
      <c r="AT261" s="246"/>
      <c r="AU261" s="246"/>
      <c r="AV261" s="246"/>
      <c r="AW261" s="246"/>
      <c r="AX261" s="246"/>
      <c r="AY261" s="246"/>
      <c r="AZ261" s="246"/>
      <c r="BA261" s="246"/>
      <c r="BB261" s="246"/>
      <c r="BC261" s="246"/>
      <c r="BD261" s="246"/>
      <c r="BE261" s="246"/>
      <c r="BF261" s="246"/>
      <c r="BG261" s="246"/>
      <c r="BH261" s="246"/>
      <c r="BI261" s="246"/>
      <c r="BJ261" s="246"/>
      <c r="BK261" s="246"/>
      <c r="BL261" s="246"/>
    </row>
    <row r="262" ht="15.75" customHeight="1">
      <c r="A262" s="246"/>
      <c r="B262" s="246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246"/>
      <c r="S262" s="246"/>
      <c r="T262" s="246"/>
      <c r="U262" s="246"/>
      <c r="V262" s="246"/>
      <c r="W262" s="246"/>
      <c r="X262" s="246"/>
      <c r="Y262" s="246"/>
      <c r="Z262" s="246"/>
      <c r="AA262" s="246"/>
      <c r="AB262" s="246"/>
      <c r="AC262" s="246"/>
      <c r="AD262" s="246"/>
      <c r="AE262" s="246"/>
      <c r="AF262" s="246"/>
      <c r="AG262" s="246"/>
      <c r="AH262" s="246"/>
      <c r="AI262" s="246"/>
      <c r="AJ262" s="246"/>
      <c r="AK262" s="246"/>
      <c r="AL262" s="246"/>
      <c r="AM262" s="246"/>
      <c r="AN262" s="246"/>
      <c r="AO262" s="246"/>
      <c r="AP262" s="246"/>
      <c r="AQ262" s="246"/>
      <c r="AR262" s="246"/>
      <c r="AS262" s="246"/>
      <c r="AT262" s="246"/>
      <c r="AU262" s="246"/>
      <c r="AV262" s="246"/>
      <c r="AW262" s="246"/>
      <c r="AX262" s="246"/>
      <c r="AY262" s="246"/>
      <c r="AZ262" s="246"/>
      <c r="BA262" s="246"/>
      <c r="BB262" s="246"/>
      <c r="BC262" s="246"/>
      <c r="BD262" s="246"/>
      <c r="BE262" s="246"/>
      <c r="BF262" s="246"/>
      <c r="BG262" s="246"/>
      <c r="BH262" s="246"/>
      <c r="BI262" s="246"/>
      <c r="BJ262" s="246"/>
      <c r="BK262" s="246"/>
      <c r="BL262" s="246"/>
    </row>
    <row r="263" ht="15.75" customHeight="1">
      <c r="A263" s="246"/>
      <c r="B263" s="246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246"/>
      <c r="S263" s="246"/>
      <c r="T263" s="246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6"/>
      <c r="AG263" s="246"/>
      <c r="AH263" s="246"/>
      <c r="AI263" s="246"/>
      <c r="AJ263" s="246"/>
      <c r="AK263" s="246"/>
      <c r="AL263" s="246"/>
      <c r="AM263" s="246"/>
      <c r="AN263" s="246"/>
      <c r="AO263" s="246"/>
      <c r="AP263" s="246"/>
      <c r="AQ263" s="246"/>
      <c r="AR263" s="246"/>
      <c r="AS263" s="246"/>
      <c r="AT263" s="246"/>
      <c r="AU263" s="246"/>
      <c r="AV263" s="246"/>
      <c r="AW263" s="246"/>
      <c r="AX263" s="246"/>
      <c r="AY263" s="246"/>
      <c r="AZ263" s="246"/>
      <c r="BA263" s="246"/>
      <c r="BB263" s="246"/>
      <c r="BC263" s="246"/>
      <c r="BD263" s="246"/>
      <c r="BE263" s="246"/>
      <c r="BF263" s="246"/>
      <c r="BG263" s="246"/>
      <c r="BH263" s="246"/>
      <c r="BI263" s="246"/>
      <c r="BJ263" s="246"/>
      <c r="BK263" s="246"/>
      <c r="BL263" s="246"/>
    </row>
    <row r="264" ht="15.75" customHeight="1">
      <c r="A264" s="246"/>
      <c r="B264" s="246"/>
      <c r="C264" s="246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246"/>
      <c r="S264" s="246"/>
      <c r="T264" s="246"/>
      <c r="U264" s="246"/>
      <c r="V264" s="246"/>
      <c r="W264" s="246"/>
      <c r="X264" s="246"/>
      <c r="Y264" s="246"/>
      <c r="Z264" s="246"/>
      <c r="AA264" s="246"/>
      <c r="AB264" s="246"/>
      <c r="AC264" s="246"/>
      <c r="AD264" s="246"/>
      <c r="AE264" s="246"/>
      <c r="AF264" s="246"/>
      <c r="AG264" s="246"/>
      <c r="AH264" s="246"/>
      <c r="AI264" s="246"/>
      <c r="AJ264" s="246"/>
      <c r="AK264" s="246"/>
      <c r="AL264" s="246"/>
      <c r="AM264" s="246"/>
      <c r="AN264" s="246"/>
      <c r="AO264" s="246"/>
      <c r="AP264" s="246"/>
      <c r="AQ264" s="246"/>
      <c r="AR264" s="246"/>
      <c r="AS264" s="246"/>
      <c r="AT264" s="246"/>
      <c r="AU264" s="246"/>
      <c r="AV264" s="246"/>
      <c r="AW264" s="246"/>
      <c r="AX264" s="246"/>
      <c r="AY264" s="246"/>
      <c r="AZ264" s="246"/>
      <c r="BA264" s="246"/>
      <c r="BB264" s="246"/>
      <c r="BC264" s="246"/>
      <c r="BD264" s="246"/>
      <c r="BE264" s="246"/>
      <c r="BF264" s="246"/>
      <c r="BG264" s="246"/>
      <c r="BH264" s="246"/>
      <c r="BI264" s="246"/>
      <c r="BJ264" s="246"/>
      <c r="BK264" s="246"/>
      <c r="BL264" s="246"/>
    </row>
    <row r="265" ht="15.75" customHeight="1">
      <c r="A265" s="246"/>
      <c r="B265" s="246"/>
      <c r="C265" s="246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246"/>
      <c r="S265" s="246"/>
      <c r="T265" s="246"/>
      <c r="U265" s="246"/>
      <c r="V265" s="246"/>
      <c r="W265" s="246"/>
      <c r="X265" s="246"/>
      <c r="Y265" s="246"/>
      <c r="Z265" s="246"/>
      <c r="AA265" s="246"/>
      <c r="AB265" s="246"/>
      <c r="AC265" s="246"/>
      <c r="AD265" s="246"/>
      <c r="AE265" s="246"/>
      <c r="AF265" s="246"/>
      <c r="AG265" s="246"/>
      <c r="AH265" s="246"/>
      <c r="AI265" s="246"/>
      <c r="AJ265" s="246"/>
      <c r="AK265" s="246"/>
      <c r="AL265" s="246"/>
      <c r="AM265" s="246"/>
      <c r="AN265" s="246"/>
      <c r="AO265" s="246"/>
      <c r="AP265" s="246"/>
      <c r="AQ265" s="246"/>
      <c r="AR265" s="246"/>
      <c r="AS265" s="246"/>
      <c r="AT265" s="246"/>
      <c r="AU265" s="246"/>
      <c r="AV265" s="246"/>
      <c r="AW265" s="246"/>
      <c r="AX265" s="246"/>
      <c r="AY265" s="246"/>
      <c r="AZ265" s="246"/>
      <c r="BA265" s="246"/>
      <c r="BB265" s="246"/>
      <c r="BC265" s="246"/>
      <c r="BD265" s="246"/>
      <c r="BE265" s="246"/>
      <c r="BF265" s="246"/>
      <c r="BG265" s="246"/>
      <c r="BH265" s="246"/>
      <c r="BI265" s="246"/>
      <c r="BJ265" s="246"/>
      <c r="BK265" s="246"/>
      <c r="BL265" s="246"/>
    </row>
    <row r="266" ht="15.75" customHeight="1">
      <c r="A266" s="246"/>
      <c r="B266" s="246"/>
      <c r="C266" s="246"/>
      <c r="D266" s="246"/>
      <c r="E266" s="246"/>
      <c r="F266" s="246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246"/>
      <c r="S266" s="246"/>
      <c r="T266" s="246"/>
      <c r="U266" s="246"/>
      <c r="V266" s="246"/>
      <c r="W266" s="246"/>
      <c r="X266" s="246"/>
      <c r="Y266" s="246"/>
      <c r="Z266" s="246"/>
      <c r="AA266" s="246"/>
      <c r="AB266" s="246"/>
      <c r="AC266" s="246"/>
      <c r="AD266" s="246"/>
      <c r="AE266" s="246"/>
      <c r="AF266" s="246"/>
      <c r="AG266" s="246"/>
      <c r="AH266" s="246"/>
      <c r="AI266" s="246"/>
      <c r="AJ266" s="246"/>
      <c r="AK266" s="246"/>
      <c r="AL266" s="246"/>
      <c r="AM266" s="246"/>
      <c r="AN266" s="246"/>
      <c r="AO266" s="246"/>
      <c r="AP266" s="246"/>
      <c r="AQ266" s="246"/>
      <c r="AR266" s="246"/>
      <c r="AS266" s="246"/>
      <c r="AT266" s="246"/>
      <c r="AU266" s="246"/>
      <c r="AV266" s="246"/>
      <c r="AW266" s="246"/>
      <c r="AX266" s="246"/>
      <c r="AY266" s="246"/>
      <c r="AZ266" s="246"/>
      <c r="BA266" s="246"/>
      <c r="BB266" s="246"/>
      <c r="BC266" s="246"/>
      <c r="BD266" s="246"/>
      <c r="BE266" s="246"/>
      <c r="BF266" s="246"/>
      <c r="BG266" s="246"/>
      <c r="BH266" s="246"/>
      <c r="BI266" s="246"/>
      <c r="BJ266" s="246"/>
      <c r="BK266" s="246"/>
      <c r="BL266" s="246"/>
    </row>
    <row r="267" ht="15.75" customHeight="1">
      <c r="A267" s="246"/>
      <c r="B267" s="246"/>
      <c r="C267" s="246"/>
      <c r="D267" s="246"/>
      <c r="E267" s="246"/>
      <c r="F267" s="246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246"/>
      <c r="S267" s="246"/>
      <c r="T267" s="246"/>
      <c r="U267" s="246"/>
      <c r="V267" s="246"/>
      <c r="W267" s="246"/>
      <c r="X267" s="246"/>
      <c r="Y267" s="246"/>
      <c r="Z267" s="246"/>
      <c r="AA267" s="246"/>
      <c r="AB267" s="246"/>
      <c r="AC267" s="246"/>
      <c r="AD267" s="246"/>
      <c r="AE267" s="246"/>
      <c r="AF267" s="246"/>
      <c r="AG267" s="246"/>
      <c r="AH267" s="246"/>
      <c r="AI267" s="246"/>
      <c r="AJ267" s="246"/>
      <c r="AK267" s="246"/>
      <c r="AL267" s="246"/>
      <c r="AM267" s="246"/>
      <c r="AN267" s="246"/>
      <c r="AO267" s="246"/>
      <c r="AP267" s="246"/>
      <c r="AQ267" s="246"/>
      <c r="AR267" s="246"/>
      <c r="AS267" s="246"/>
      <c r="AT267" s="246"/>
      <c r="AU267" s="246"/>
      <c r="AV267" s="246"/>
      <c r="AW267" s="246"/>
      <c r="AX267" s="246"/>
      <c r="AY267" s="246"/>
      <c r="AZ267" s="246"/>
      <c r="BA267" s="246"/>
      <c r="BB267" s="246"/>
      <c r="BC267" s="246"/>
      <c r="BD267" s="246"/>
      <c r="BE267" s="246"/>
      <c r="BF267" s="246"/>
      <c r="BG267" s="246"/>
      <c r="BH267" s="246"/>
      <c r="BI267" s="246"/>
      <c r="BJ267" s="246"/>
      <c r="BK267" s="246"/>
      <c r="BL267" s="246"/>
    </row>
    <row r="268" ht="15.75" customHeight="1">
      <c r="A268" s="246"/>
      <c r="B268" s="246"/>
      <c r="C268" s="246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246"/>
      <c r="S268" s="246"/>
      <c r="T268" s="246"/>
      <c r="U268" s="246"/>
      <c r="V268" s="246"/>
      <c r="W268" s="246"/>
      <c r="X268" s="246"/>
      <c r="Y268" s="246"/>
      <c r="Z268" s="246"/>
      <c r="AA268" s="246"/>
      <c r="AB268" s="246"/>
      <c r="AC268" s="246"/>
      <c r="AD268" s="246"/>
      <c r="AE268" s="246"/>
      <c r="AF268" s="246"/>
      <c r="AG268" s="246"/>
      <c r="AH268" s="246"/>
      <c r="AI268" s="246"/>
      <c r="AJ268" s="246"/>
      <c r="AK268" s="246"/>
      <c r="AL268" s="246"/>
      <c r="AM268" s="246"/>
      <c r="AN268" s="246"/>
      <c r="AO268" s="246"/>
      <c r="AP268" s="246"/>
      <c r="AQ268" s="246"/>
      <c r="AR268" s="246"/>
      <c r="AS268" s="246"/>
      <c r="AT268" s="246"/>
      <c r="AU268" s="246"/>
      <c r="AV268" s="246"/>
      <c r="AW268" s="246"/>
      <c r="AX268" s="246"/>
      <c r="AY268" s="246"/>
      <c r="AZ268" s="246"/>
      <c r="BA268" s="246"/>
      <c r="BB268" s="246"/>
      <c r="BC268" s="246"/>
      <c r="BD268" s="246"/>
      <c r="BE268" s="246"/>
      <c r="BF268" s="246"/>
      <c r="BG268" s="246"/>
      <c r="BH268" s="246"/>
      <c r="BI268" s="246"/>
      <c r="BJ268" s="246"/>
      <c r="BK268" s="246"/>
      <c r="BL268" s="246"/>
    </row>
    <row r="269" ht="15.75" customHeight="1">
      <c r="A269" s="246"/>
      <c r="B269" s="246"/>
      <c r="C269" s="246"/>
      <c r="D269" s="246"/>
      <c r="E269" s="246"/>
      <c r="F269" s="246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246"/>
      <c r="S269" s="246"/>
      <c r="T269" s="246"/>
      <c r="U269" s="246"/>
      <c r="V269" s="246"/>
      <c r="W269" s="246"/>
      <c r="X269" s="246"/>
      <c r="Y269" s="246"/>
      <c r="Z269" s="246"/>
      <c r="AA269" s="246"/>
      <c r="AB269" s="246"/>
      <c r="AC269" s="246"/>
      <c r="AD269" s="246"/>
      <c r="AE269" s="246"/>
      <c r="AF269" s="246"/>
      <c r="AG269" s="246"/>
      <c r="AH269" s="246"/>
      <c r="AI269" s="246"/>
      <c r="AJ269" s="246"/>
      <c r="AK269" s="246"/>
      <c r="AL269" s="246"/>
      <c r="AM269" s="246"/>
      <c r="AN269" s="246"/>
      <c r="AO269" s="246"/>
      <c r="AP269" s="246"/>
      <c r="AQ269" s="246"/>
      <c r="AR269" s="246"/>
      <c r="AS269" s="246"/>
      <c r="AT269" s="246"/>
      <c r="AU269" s="246"/>
      <c r="AV269" s="246"/>
      <c r="AW269" s="246"/>
      <c r="AX269" s="246"/>
      <c r="AY269" s="246"/>
      <c r="AZ269" s="246"/>
      <c r="BA269" s="246"/>
      <c r="BB269" s="246"/>
      <c r="BC269" s="246"/>
      <c r="BD269" s="246"/>
      <c r="BE269" s="246"/>
      <c r="BF269" s="246"/>
      <c r="BG269" s="246"/>
      <c r="BH269" s="246"/>
      <c r="BI269" s="246"/>
      <c r="BJ269" s="246"/>
      <c r="BK269" s="246"/>
      <c r="BL269" s="24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.25"/>
    <col customWidth="1" min="3" max="3" width="14.0"/>
    <col customWidth="1" min="4" max="4" width="9.2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  <col customWidth="1" min="17" max="17" width="15.0"/>
  </cols>
  <sheetData>
    <row r="1" ht="15.75" customHeight="1">
      <c r="A1" s="17" t="s">
        <v>0</v>
      </c>
      <c r="B1" s="17" t="s">
        <v>1</v>
      </c>
      <c r="C1" s="17"/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  <c r="Q1" s="36" t="s">
        <v>53</v>
      </c>
    </row>
    <row r="2" ht="15.75" customHeight="1">
      <c r="A2" s="17" t="s">
        <v>2</v>
      </c>
      <c r="B2" s="18"/>
      <c r="C2" s="18"/>
      <c r="D2" s="18"/>
      <c r="E2" s="19">
        <v>0.13</v>
      </c>
      <c r="F2" s="19">
        <v>0.43</v>
      </c>
      <c r="G2" s="19">
        <v>0.36</v>
      </c>
      <c r="H2" s="19">
        <v>0.08</v>
      </c>
      <c r="I2" s="18"/>
      <c r="J2" s="18"/>
      <c r="K2" s="18"/>
      <c r="L2" s="18"/>
      <c r="M2" s="18"/>
      <c r="N2" s="18"/>
      <c r="O2" s="18"/>
      <c r="P2" s="18"/>
      <c r="Q2" s="3"/>
    </row>
    <row r="3" ht="15.75" customHeight="1">
      <c r="A3" s="17" t="s">
        <v>3</v>
      </c>
      <c r="B3" s="18"/>
      <c r="C3" s="18"/>
      <c r="D3" s="18"/>
      <c r="E3" s="18"/>
      <c r="F3" s="19">
        <v>0.13</v>
      </c>
      <c r="G3" s="19">
        <v>0.43</v>
      </c>
      <c r="H3" s="19">
        <v>0.36</v>
      </c>
      <c r="I3" s="19">
        <v>0.08</v>
      </c>
      <c r="J3" s="18"/>
      <c r="K3" s="18"/>
      <c r="L3" s="18"/>
      <c r="M3" s="18"/>
      <c r="N3" s="18"/>
      <c r="O3" s="18"/>
      <c r="P3" s="18"/>
      <c r="Q3" s="3"/>
    </row>
    <row r="4" ht="15.75" customHeight="1">
      <c r="A4" s="17" t="s">
        <v>4</v>
      </c>
      <c r="B4" s="18"/>
      <c r="C4" s="18"/>
      <c r="D4" s="18"/>
      <c r="E4" s="18"/>
      <c r="F4" s="18"/>
      <c r="G4" s="19">
        <v>0.13</v>
      </c>
      <c r="H4" s="19">
        <v>0.43</v>
      </c>
      <c r="I4" s="19">
        <v>0.36</v>
      </c>
      <c r="J4" s="19">
        <v>0.08</v>
      </c>
      <c r="K4" s="18"/>
      <c r="L4" s="18"/>
      <c r="M4" s="18"/>
      <c r="N4" s="18"/>
      <c r="O4" s="18"/>
      <c r="P4" s="18"/>
      <c r="Q4" s="3"/>
    </row>
    <row r="5" ht="15.75" customHeight="1">
      <c r="A5" s="17" t="s">
        <v>5</v>
      </c>
      <c r="B5" s="18"/>
      <c r="C5" s="18"/>
      <c r="D5" s="18"/>
      <c r="E5" s="18"/>
      <c r="F5" s="18"/>
      <c r="G5" s="18"/>
      <c r="H5" s="19">
        <v>0.13</v>
      </c>
      <c r="I5" s="19">
        <v>0.43</v>
      </c>
      <c r="J5" s="19">
        <v>0.36</v>
      </c>
      <c r="K5" s="19">
        <v>0.08</v>
      </c>
      <c r="L5" s="18"/>
      <c r="M5" s="18"/>
      <c r="N5" s="18"/>
      <c r="O5" s="18"/>
      <c r="P5" s="18"/>
      <c r="Q5" s="3"/>
    </row>
    <row r="6" ht="15.75" customHeight="1">
      <c r="A6" s="17" t="s">
        <v>6</v>
      </c>
      <c r="B6" s="18"/>
      <c r="C6" s="18"/>
      <c r="D6" s="18"/>
      <c r="E6" s="18"/>
      <c r="F6" s="18"/>
      <c r="G6" s="18"/>
      <c r="H6" s="18"/>
      <c r="I6" s="19">
        <v>0.13</v>
      </c>
      <c r="J6" s="19">
        <v>0.43</v>
      </c>
      <c r="K6" s="19">
        <v>0.36</v>
      </c>
      <c r="L6" s="19">
        <v>0.08</v>
      </c>
      <c r="M6" s="18"/>
      <c r="N6" s="18"/>
      <c r="O6" s="18"/>
      <c r="P6" s="18"/>
      <c r="Q6" s="3"/>
    </row>
    <row r="7" ht="15.75" customHeight="1">
      <c r="A7" s="17" t="s">
        <v>7</v>
      </c>
      <c r="B7" s="18"/>
      <c r="C7" s="18"/>
      <c r="D7" s="18"/>
      <c r="E7" s="18"/>
      <c r="F7" s="18"/>
      <c r="G7" s="18"/>
      <c r="H7" s="18"/>
      <c r="I7" s="18"/>
      <c r="J7" s="19">
        <v>0.13</v>
      </c>
      <c r="K7" s="19">
        <v>0.43</v>
      </c>
      <c r="L7" s="19">
        <v>0.36</v>
      </c>
      <c r="M7" s="19">
        <v>0.08</v>
      </c>
      <c r="N7" s="18"/>
      <c r="O7" s="18"/>
      <c r="P7" s="18"/>
      <c r="Q7" s="3"/>
    </row>
    <row r="8" ht="15.75" customHeight="1">
      <c r="A8" s="17" t="s">
        <v>8</v>
      </c>
      <c r="B8" s="18"/>
      <c r="C8" s="18"/>
      <c r="D8" s="18"/>
      <c r="E8" s="18"/>
      <c r="F8" s="18"/>
      <c r="G8" s="18"/>
      <c r="H8" s="18"/>
      <c r="I8" s="18"/>
      <c r="J8" s="18"/>
      <c r="K8" s="19">
        <v>0.13</v>
      </c>
      <c r="L8" s="19">
        <v>0.43</v>
      </c>
      <c r="M8" s="19">
        <v>0.36</v>
      </c>
      <c r="N8" s="19">
        <v>0.08</v>
      </c>
      <c r="O8" s="18"/>
      <c r="P8" s="18"/>
      <c r="Q8" s="3"/>
    </row>
    <row r="9" ht="15.75" customHeight="1">
      <c r="A9" s="17" t="s">
        <v>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9">
        <v>0.13</v>
      </c>
      <c r="M9" s="19">
        <v>0.43</v>
      </c>
      <c r="N9" s="19">
        <v>0.36</v>
      </c>
      <c r="O9" s="19">
        <v>0.08</v>
      </c>
      <c r="P9" s="18"/>
      <c r="Q9" s="3"/>
    </row>
    <row r="10" ht="15.75" customHeight="1">
      <c r="A10" s="17" t="s">
        <v>10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>
        <v>0.17</v>
      </c>
      <c r="N10" s="19">
        <v>0.5</v>
      </c>
      <c r="O10" s="19">
        <v>0.3</v>
      </c>
      <c r="P10" s="19">
        <v>0.03</v>
      </c>
      <c r="Q10" s="3"/>
    </row>
    <row r="11" ht="15.75" customHeight="1">
      <c r="A11" s="17" t="s">
        <v>11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>
        <v>0.17</v>
      </c>
      <c r="O11" s="19">
        <v>0.5</v>
      </c>
      <c r="P11" s="19">
        <v>0.3</v>
      </c>
      <c r="Q11" s="3"/>
    </row>
    <row r="12" ht="15.75" customHeight="1">
      <c r="A12" s="17" t="s">
        <v>12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>
        <v>0.17</v>
      </c>
      <c r="P12" s="19">
        <v>0.5</v>
      </c>
      <c r="Q12" s="3"/>
    </row>
    <row r="13" ht="15.75" customHeight="1">
      <c r="A13" s="17" t="s">
        <v>13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>
        <v>0.17</v>
      </c>
      <c r="Q13" s="3"/>
    </row>
    <row r="14" ht="15.75" customHeight="1">
      <c r="A14" s="20"/>
      <c r="B14" s="21" t="s">
        <v>14</v>
      </c>
      <c r="C14" s="21" t="s">
        <v>30</v>
      </c>
      <c r="D14" s="21" t="s">
        <v>31</v>
      </c>
      <c r="E14" s="21" t="s">
        <v>2</v>
      </c>
      <c r="F14" s="21" t="s">
        <v>3</v>
      </c>
      <c r="G14" s="21" t="s">
        <v>4</v>
      </c>
      <c r="H14" s="21" t="s">
        <v>5</v>
      </c>
      <c r="I14" s="21" t="s">
        <v>6</v>
      </c>
      <c r="J14" s="21" t="s">
        <v>7</v>
      </c>
      <c r="K14" s="21" t="s">
        <v>8</v>
      </c>
      <c r="L14" s="21" t="s">
        <v>9</v>
      </c>
      <c r="M14" s="21" t="s">
        <v>10</v>
      </c>
      <c r="N14" s="21" t="s">
        <v>11</v>
      </c>
      <c r="O14" s="21" t="s">
        <v>12</v>
      </c>
      <c r="P14" s="21" t="s">
        <v>13</v>
      </c>
      <c r="Q14" s="3"/>
    </row>
    <row r="15" ht="15.75" customHeight="1">
      <c r="A15" s="21" t="s">
        <v>2</v>
      </c>
      <c r="B15" s="19">
        <v>29.0</v>
      </c>
      <c r="C15" s="22"/>
      <c r="D15" s="22"/>
      <c r="E15" s="23">
        <f t="shared" ref="E15:H15" si="1">$B15*E2</f>
        <v>3.77</v>
      </c>
      <c r="F15" s="23">
        <f t="shared" si="1"/>
        <v>12.47</v>
      </c>
      <c r="G15" s="23">
        <f t="shared" si="1"/>
        <v>10.44</v>
      </c>
      <c r="H15" s="23">
        <f t="shared" si="1"/>
        <v>2.32</v>
      </c>
      <c r="I15" s="22"/>
      <c r="J15" s="22"/>
      <c r="K15" s="22"/>
      <c r="L15" s="22"/>
      <c r="M15" s="22"/>
      <c r="N15" s="22"/>
      <c r="O15" s="22"/>
      <c r="P15" s="22"/>
      <c r="Q15" s="3"/>
    </row>
    <row r="16" ht="15.75" customHeight="1">
      <c r="A16" s="21" t="s">
        <v>3</v>
      </c>
      <c r="B16" s="19">
        <f>15+11+6</f>
        <v>32</v>
      </c>
      <c r="C16" s="22"/>
      <c r="D16" s="22"/>
      <c r="E16" s="22"/>
      <c r="F16" s="23">
        <f t="shared" ref="F16:I16" si="2">$B16*F3</f>
        <v>4.16</v>
      </c>
      <c r="G16" s="23">
        <f t="shared" si="2"/>
        <v>13.76</v>
      </c>
      <c r="H16" s="23">
        <f t="shared" si="2"/>
        <v>11.52</v>
      </c>
      <c r="I16" s="23">
        <f t="shared" si="2"/>
        <v>2.56</v>
      </c>
      <c r="J16" s="22"/>
      <c r="K16" s="22"/>
      <c r="L16" s="22"/>
      <c r="M16" s="22"/>
      <c r="N16" s="22"/>
      <c r="O16" s="22"/>
      <c r="P16" s="22"/>
      <c r="Q16" s="3"/>
    </row>
    <row r="17" ht="15.75" customHeight="1">
      <c r="A17" s="21" t="s">
        <v>4</v>
      </c>
      <c r="B17" s="19">
        <f>30+19+20</f>
        <v>69</v>
      </c>
      <c r="C17" s="22"/>
      <c r="D17" s="22"/>
      <c r="E17" s="22"/>
      <c r="F17" s="22"/>
      <c r="G17" s="23">
        <f t="shared" ref="G17:J17" si="3">$B17*G4</f>
        <v>8.97</v>
      </c>
      <c r="H17" s="23">
        <f t="shared" si="3"/>
        <v>29.67</v>
      </c>
      <c r="I17" s="23">
        <f t="shared" si="3"/>
        <v>24.84</v>
      </c>
      <c r="J17" s="23">
        <f t="shared" si="3"/>
        <v>5.52</v>
      </c>
      <c r="K17" s="22"/>
      <c r="L17" s="22"/>
      <c r="M17" s="22"/>
      <c r="N17" s="22"/>
      <c r="O17" s="22"/>
      <c r="P17" s="22"/>
      <c r="Q17" s="3"/>
    </row>
    <row r="18" ht="15.75" customHeight="1">
      <c r="A18" s="21" t="s">
        <v>5</v>
      </c>
      <c r="B18" s="19">
        <f>16+28+16</f>
        <v>60</v>
      </c>
      <c r="C18" s="22"/>
      <c r="D18" s="22"/>
      <c r="E18" s="22"/>
      <c r="F18" s="22"/>
      <c r="G18" s="22"/>
      <c r="H18" s="23">
        <f t="shared" ref="H18:K18" si="4">$B18*H5</f>
        <v>7.8</v>
      </c>
      <c r="I18" s="23">
        <f t="shared" si="4"/>
        <v>25.8</v>
      </c>
      <c r="J18" s="23">
        <f t="shared" si="4"/>
        <v>21.6</v>
      </c>
      <c r="K18" s="23">
        <f t="shared" si="4"/>
        <v>4.8</v>
      </c>
      <c r="L18" s="22"/>
      <c r="M18" s="22"/>
      <c r="N18" s="22"/>
      <c r="O18" s="22"/>
      <c r="P18" s="22"/>
      <c r="Q18" s="3"/>
    </row>
    <row r="19" ht="15.75" customHeight="1">
      <c r="A19" s="21" t="s">
        <v>6</v>
      </c>
      <c r="B19" s="19">
        <f>16+23+34</f>
        <v>73</v>
      </c>
      <c r="C19" s="22"/>
      <c r="D19" s="23">
        <v>657933.0</v>
      </c>
      <c r="E19" s="22"/>
      <c r="F19" s="22"/>
      <c r="G19" s="22"/>
      <c r="H19" s="22"/>
      <c r="I19" s="23">
        <f t="shared" ref="I19:L19" si="5">$B19*I6</f>
        <v>9.49</v>
      </c>
      <c r="J19" s="23">
        <f t="shared" si="5"/>
        <v>31.39</v>
      </c>
      <c r="K19" s="23">
        <f t="shared" si="5"/>
        <v>26.28</v>
      </c>
      <c r="L19" s="23">
        <f t="shared" si="5"/>
        <v>5.84</v>
      </c>
      <c r="M19" s="22"/>
      <c r="N19" s="22"/>
      <c r="O19" s="22"/>
      <c r="P19" s="22"/>
      <c r="Q19" s="3"/>
    </row>
    <row r="20" ht="15.75" customHeight="1">
      <c r="A20" s="21" t="s">
        <v>7</v>
      </c>
      <c r="B20" s="24">
        <v>93.0</v>
      </c>
      <c r="C20" s="22"/>
      <c r="D20" s="23">
        <v>852976.0</v>
      </c>
      <c r="E20" s="22"/>
      <c r="F20" s="22"/>
      <c r="G20" s="22"/>
      <c r="H20" s="22"/>
      <c r="I20" s="22"/>
      <c r="J20" s="23">
        <f t="shared" ref="J20:M20" si="6">$B20*J7</f>
        <v>12.09</v>
      </c>
      <c r="K20" s="23">
        <f t="shared" si="6"/>
        <v>39.99</v>
      </c>
      <c r="L20" s="23">
        <f t="shared" si="6"/>
        <v>33.48</v>
      </c>
      <c r="M20" s="23">
        <f t="shared" si="6"/>
        <v>7.44</v>
      </c>
      <c r="N20" s="22"/>
      <c r="O20" s="22"/>
      <c r="P20" s="22"/>
      <c r="Q20" s="3"/>
    </row>
    <row r="21" ht="15.75" customHeight="1">
      <c r="A21" s="21" t="s">
        <v>8</v>
      </c>
      <c r="B21" s="23">
        <v>85.0</v>
      </c>
      <c r="C21" s="23">
        <f t="shared" ref="C21:C26" si="8">B21*0.75</f>
        <v>63.75</v>
      </c>
      <c r="D21" s="23">
        <v>1038700.0</v>
      </c>
      <c r="E21" s="22"/>
      <c r="F21" s="22"/>
      <c r="G21" s="22"/>
      <c r="H21" s="22"/>
      <c r="I21" s="22"/>
      <c r="J21" s="22"/>
      <c r="K21" s="23">
        <f t="shared" ref="K21:N21" si="7">$B21*K8</f>
        <v>11.05</v>
      </c>
      <c r="L21" s="23">
        <f t="shared" si="7"/>
        <v>36.55</v>
      </c>
      <c r="M21" s="23">
        <f t="shared" si="7"/>
        <v>30.6</v>
      </c>
      <c r="N21" s="23">
        <f t="shared" si="7"/>
        <v>6.8</v>
      </c>
      <c r="O21" s="22"/>
      <c r="P21" s="22"/>
      <c r="Q21" s="6">
        <f t="shared" ref="Q21:Q26" si="10">D21/C21</f>
        <v>16293.33333</v>
      </c>
    </row>
    <row r="22" ht="15.75" customHeight="1">
      <c r="A22" s="21" t="s">
        <v>9</v>
      </c>
      <c r="B22" s="23">
        <v>100.0</v>
      </c>
      <c r="C22" s="23">
        <f t="shared" si="8"/>
        <v>75</v>
      </c>
      <c r="D22" s="23">
        <v>834200.0</v>
      </c>
      <c r="E22" s="22"/>
      <c r="F22" s="22"/>
      <c r="G22" s="22"/>
      <c r="H22" s="22"/>
      <c r="I22" s="22"/>
      <c r="J22" s="22"/>
      <c r="K22" s="22"/>
      <c r="L22" s="23">
        <f t="shared" ref="L22:O22" si="9">$B22*L9</f>
        <v>13</v>
      </c>
      <c r="M22" s="23">
        <f t="shared" si="9"/>
        <v>43</v>
      </c>
      <c r="N22" s="23">
        <f t="shared" si="9"/>
        <v>36</v>
      </c>
      <c r="O22" s="23">
        <f t="shared" si="9"/>
        <v>8</v>
      </c>
      <c r="P22" s="22"/>
      <c r="Q22" s="6">
        <f t="shared" si="10"/>
        <v>11122.66667</v>
      </c>
    </row>
    <row r="23" ht="15.75" customHeight="1">
      <c r="A23" s="21" t="s">
        <v>10</v>
      </c>
      <c r="B23" s="23">
        <v>110.0</v>
      </c>
      <c r="C23" s="23">
        <f t="shared" si="8"/>
        <v>82.5</v>
      </c>
      <c r="D23" s="25">
        <v>645203.0</v>
      </c>
      <c r="E23" s="22"/>
      <c r="F23" s="22"/>
      <c r="G23" s="22"/>
      <c r="H23" s="22"/>
      <c r="I23" s="22"/>
      <c r="J23" s="22"/>
      <c r="K23" s="22"/>
      <c r="L23" s="22"/>
      <c r="M23" s="23">
        <f t="shared" ref="M23:P23" si="11">$B23*M10</f>
        <v>18.7</v>
      </c>
      <c r="N23" s="23">
        <f t="shared" si="11"/>
        <v>55</v>
      </c>
      <c r="O23" s="23">
        <f t="shared" si="11"/>
        <v>33</v>
      </c>
      <c r="P23" s="23">
        <f t="shared" si="11"/>
        <v>3.3</v>
      </c>
      <c r="Q23" s="6">
        <f t="shared" si="10"/>
        <v>7820.642424</v>
      </c>
    </row>
    <row r="24" ht="15.75" customHeight="1">
      <c r="A24" s="21" t="s">
        <v>11</v>
      </c>
      <c r="B24" s="23">
        <v>110.0</v>
      </c>
      <c r="C24" s="23">
        <f t="shared" si="8"/>
        <v>82.5</v>
      </c>
      <c r="D24" s="23">
        <v>677625.0</v>
      </c>
      <c r="E24" s="22"/>
      <c r="F24" s="22"/>
      <c r="G24" s="22"/>
      <c r="H24" s="22"/>
      <c r="I24" s="22"/>
      <c r="J24" s="22"/>
      <c r="K24" s="22"/>
      <c r="L24" s="22"/>
      <c r="M24" s="22"/>
      <c r="N24" s="23">
        <f t="shared" ref="N24:P24" si="12">$B24*N11</f>
        <v>18.7</v>
      </c>
      <c r="O24" s="23">
        <f t="shared" si="12"/>
        <v>55</v>
      </c>
      <c r="P24" s="23">
        <f t="shared" si="12"/>
        <v>33</v>
      </c>
      <c r="Q24" s="6">
        <f t="shared" si="10"/>
        <v>8213.636364</v>
      </c>
    </row>
    <row r="25" ht="15.75" customHeight="1">
      <c r="A25" s="21" t="s">
        <v>12</v>
      </c>
      <c r="B25" s="23">
        <v>110.0</v>
      </c>
      <c r="C25" s="23">
        <f t="shared" si="8"/>
        <v>82.5</v>
      </c>
      <c r="D25" s="23">
        <v>677625.0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>
        <f t="shared" ref="O25:P25" si="13">$B25*O12</f>
        <v>18.7</v>
      </c>
      <c r="P25" s="23">
        <f t="shared" si="13"/>
        <v>55</v>
      </c>
      <c r="Q25" s="6">
        <f t="shared" si="10"/>
        <v>8213.636364</v>
      </c>
    </row>
    <row r="26" ht="15.75" customHeight="1">
      <c r="A26" s="21" t="s">
        <v>13</v>
      </c>
      <c r="B26" s="23">
        <v>110.0</v>
      </c>
      <c r="C26" s="23">
        <f t="shared" si="8"/>
        <v>82.5</v>
      </c>
      <c r="D26" s="23">
        <v>677625.0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>
        <f>$B26*P13</f>
        <v>18.7</v>
      </c>
      <c r="Q26" s="6">
        <f t="shared" si="10"/>
        <v>8213.636364</v>
      </c>
    </row>
    <row r="27" ht="15.75" customHeight="1">
      <c r="A27" s="26" t="s">
        <v>15</v>
      </c>
      <c r="B27" s="18"/>
      <c r="C27" s="27"/>
      <c r="D27" s="27"/>
      <c r="E27" s="28">
        <f t="shared" ref="E27:P27" si="14">sum(E15:E26)</f>
        <v>3.77</v>
      </c>
      <c r="F27" s="28">
        <f t="shared" si="14"/>
        <v>16.63</v>
      </c>
      <c r="G27" s="28">
        <f t="shared" si="14"/>
        <v>33.17</v>
      </c>
      <c r="H27" s="28">
        <f t="shared" si="14"/>
        <v>51.31</v>
      </c>
      <c r="I27" s="28">
        <f t="shared" si="14"/>
        <v>62.69</v>
      </c>
      <c r="J27" s="28">
        <f t="shared" si="14"/>
        <v>70.6</v>
      </c>
      <c r="K27" s="28">
        <f t="shared" si="14"/>
        <v>82.12</v>
      </c>
      <c r="L27" s="28">
        <f t="shared" si="14"/>
        <v>88.87</v>
      </c>
      <c r="M27" s="28">
        <f t="shared" si="14"/>
        <v>99.74</v>
      </c>
      <c r="N27" s="28">
        <f t="shared" si="14"/>
        <v>116.5</v>
      </c>
      <c r="O27" s="28">
        <f t="shared" si="14"/>
        <v>114.7</v>
      </c>
      <c r="P27" s="28">
        <f t="shared" si="14"/>
        <v>110</v>
      </c>
      <c r="Q27" s="3"/>
    </row>
    <row r="28" ht="15.75" customHeight="1">
      <c r="A28" s="26" t="s">
        <v>32</v>
      </c>
      <c r="B28" s="18"/>
      <c r="C28" s="22"/>
      <c r="D28" s="22"/>
      <c r="E28" s="23" t="s">
        <v>18</v>
      </c>
      <c r="F28" s="23" t="s">
        <v>18</v>
      </c>
      <c r="G28" s="23" t="s">
        <v>18</v>
      </c>
      <c r="H28" s="23" t="s">
        <v>18</v>
      </c>
      <c r="I28" s="23">
        <v>582000.0</v>
      </c>
      <c r="J28" s="23">
        <v>749000.0</v>
      </c>
      <c r="K28" s="23">
        <v>1204000.0</v>
      </c>
      <c r="L28" s="23">
        <v>1750000.0</v>
      </c>
      <c r="M28" s="23">
        <f t="shared" ref="M28:P28" si="15">L28</f>
        <v>1750000</v>
      </c>
      <c r="N28" s="23">
        <f t="shared" si="15"/>
        <v>1750000</v>
      </c>
      <c r="O28" s="23">
        <f t="shared" si="15"/>
        <v>1750000</v>
      </c>
      <c r="P28" s="23">
        <f t="shared" si="15"/>
        <v>1750000</v>
      </c>
      <c r="Q28" s="3"/>
    </row>
    <row r="29" ht="15.75" customHeight="1">
      <c r="A29" s="26" t="s">
        <v>17</v>
      </c>
      <c r="B29" s="18"/>
      <c r="C29" s="22"/>
      <c r="D29" s="22"/>
      <c r="E29" s="23" t="s">
        <v>18</v>
      </c>
      <c r="F29" s="23" t="s">
        <v>18</v>
      </c>
      <c r="G29" s="23" t="s">
        <v>18</v>
      </c>
      <c r="H29" s="23" t="s">
        <v>18</v>
      </c>
      <c r="I29" s="23">
        <f>3267624+I28</f>
        <v>3849624</v>
      </c>
      <c r="J29" s="23">
        <f t="shared" ref="J29:P29" si="16">I29+J28</f>
        <v>4598624</v>
      </c>
      <c r="K29" s="23">
        <f t="shared" si="16"/>
        <v>5802624</v>
      </c>
      <c r="L29" s="23">
        <f t="shared" si="16"/>
        <v>7552624</v>
      </c>
      <c r="M29" s="23">
        <f t="shared" si="16"/>
        <v>9302624</v>
      </c>
      <c r="N29" s="23">
        <f t="shared" si="16"/>
        <v>11052624</v>
      </c>
      <c r="O29" s="23">
        <f t="shared" si="16"/>
        <v>12802624</v>
      </c>
      <c r="P29" s="23">
        <f t="shared" si="16"/>
        <v>14552624</v>
      </c>
      <c r="Q29" s="3"/>
    </row>
    <row r="30" ht="15.75" customHeight="1">
      <c r="A30" s="26" t="s">
        <v>19</v>
      </c>
      <c r="B30" s="18"/>
      <c r="C30" s="22"/>
      <c r="D30" s="22"/>
      <c r="E30" s="23">
        <v>35000.0</v>
      </c>
      <c r="F30" s="23">
        <v>35000.0</v>
      </c>
      <c r="G30" s="23">
        <v>35000.0</v>
      </c>
      <c r="H30" s="23">
        <v>35000.0</v>
      </c>
      <c r="I30" s="23">
        <v>35000.0</v>
      </c>
      <c r="J30" s="23">
        <v>35000.0</v>
      </c>
      <c r="K30" s="23">
        <v>45000.0</v>
      </c>
      <c r="L30" s="23">
        <v>45000.0</v>
      </c>
      <c r="M30" s="23">
        <v>45000.0</v>
      </c>
      <c r="N30" s="23">
        <v>55000.0</v>
      </c>
      <c r="O30" s="23">
        <v>55000.0</v>
      </c>
      <c r="P30" s="23">
        <v>55000.0</v>
      </c>
      <c r="Q30" s="3"/>
    </row>
    <row r="31" ht="15.75" customHeight="1">
      <c r="A31" s="26" t="s">
        <v>20</v>
      </c>
      <c r="B31" s="18"/>
      <c r="C31" s="18"/>
      <c r="D31" s="18"/>
      <c r="E31" s="19">
        <v>2.0</v>
      </c>
      <c r="F31" s="19">
        <v>2.0</v>
      </c>
      <c r="G31" s="19">
        <v>2.0</v>
      </c>
      <c r="H31" s="19">
        <v>2.0</v>
      </c>
      <c r="I31" s="19">
        <v>2.0</v>
      </c>
      <c r="J31" s="19">
        <v>3.0</v>
      </c>
      <c r="K31" s="19">
        <v>3.0</v>
      </c>
      <c r="L31" s="19">
        <v>3.0</v>
      </c>
      <c r="M31" s="19">
        <v>3.5</v>
      </c>
      <c r="N31" s="19">
        <v>3.5</v>
      </c>
      <c r="O31" s="19">
        <v>3.5</v>
      </c>
      <c r="P31" s="19">
        <v>3.5</v>
      </c>
      <c r="Q31" s="3"/>
    </row>
    <row r="32" ht="15.75" customHeight="1">
      <c r="A32" s="26" t="s">
        <v>21</v>
      </c>
      <c r="B32" s="18"/>
      <c r="C32" s="22"/>
      <c r="D32" s="22"/>
      <c r="E32" s="23" t="s">
        <v>18</v>
      </c>
      <c r="F32" s="23" t="s">
        <v>18</v>
      </c>
      <c r="G32" s="23" t="s">
        <v>18</v>
      </c>
      <c r="H32" s="23" t="s">
        <v>18</v>
      </c>
      <c r="I32" s="23">
        <f t="shared" ref="I32:P32" si="17">(I28/I30)*I31</f>
        <v>33.25714286</v>
      </c>
      <c r="J32" s="23">
        <f t="shared" si="17"/>
        <v>64.2</v>
      </c>
      <c r="K32" s="23">
        <f t="shared" si="17"/>
        <v>80.26666667</v>
      </c>
      <c r="L32" s="23">
        <f t="shared" si="17"/>
        <v>116.6666667</v>
      </c>
      <c r="M32" s="23">
        <f t="shared" si="17"/>
        <v>136.1111111</v>
      </c>
      <c r="N32" s="23">
        <f t="shared" si="17"/>
        <v>111.3636364</v>
      </c>
      <c r="O32" s="23">
        <f t="shared" si="17"/>
        <v>111.3636364</v>
      </c>
      <c r="P32" s="23">
        <f t="shared" si="17"/>
        <v>111.3636364</v>
      </c>
      <c r="Q32" s="3"/>
    </row>
    <row r="33" ht="15.75" customHeight="1">
      <c r="A33" s="26" t="s">
        <v>22</v>
      </c>
      <c r="B33" s="18"/>
      <c r="C33" s="18"/>
      <c r="D33" s="18"/>
      <c r="E33" s="19" t="s">
        <v>18</v>
      </c>
      <c r="F33" s="19" t="s">
        <v>18</v>
      </c>
      <c r="G33" s="19" t="s">
        <v>18</v>
      </c>
      <c r="H33" s="19" t="s">
        <v>18</v>
      </c>
      <c r="I33" s="23">
        <f t="shared" ref="I33:P33" si="18">I32-I27</f>
        <v>-29.43285714</v>
      </c>
      <c r="J33" s="23">
        <f t="shared" si="18"/>
        <v>-6.4</v>
      </c>
      <c r="K33" s="23">
        <f t="shared" si="18"/>
        <v>-1.853333333</v>
      </c>
      <c r="L33" s="23">
        <f t="shared" si="18"/>
        <v>27.79666667</v>
      </c>
      <c r="M33" s="23">
        <f t="shared" si="18"/>
        <v>36.37111111</v>
      </c>
      <c r="N33" s="23">
        <f t="shared" si="18"/>
        <v>-5.136363636</v>
      </c>
      <c r="O33" s="23">
        <f t="shared" si="18"/>
        <v>-3.336363636</v>
      </c>
      <c r="P33" s="23">
        <f t="shared" si="18"/>
        <v>1.363636364</v>
      </c>
      <c r="Q33" s="3"/>
    </row>
    <row r="34" ht="15.75" customHeight="1">
      <c r="A34" s="29" t="s">
        <v>23</v>
      </c>
      <c r="B34" s="18"/>
      <c r="C34" s="18"/>
      <c r="D34" s="18"/>
      <c r="E34" s="19" t="s">
        <v>33</v>
      </c>
      <c r="F34" s="19" t="s">
        <v>33</v>
      </c>
      <c r="G34" s="19" t="s">
        <v>33</v>
      </c>
      <c r="H34" s="19" t="s">
        <v>33</v>
      </c>
      <c r="I34" s="30">
        <f t="shared" ref="I34:P34" si="19">I27/I32</f>
        <v>1.885008591</v>
      </c>
      <c r="J34" s="30">
        <f t="shared" si="19"/>
        <v>1.099688474</v>
      </c>
      <c r="K34" s="30">
        <f t="shared" si="19"/>
        <v>1.023089701</v>
      </c>
      <c r="L34" s="30">
        <f t="shared" si="19"/>
        <v>0.7617428571</v>
      </c>
      <c r="M34" s="30">
        <f t="shared" si="19"/>
        <v>0.7327836735</v>
      </c>
      <c r="N34" s="30">
        <f t="shared" si="19"/>
        <v>1.046122449</v>
      </c>
      <c r="O34" s="30">
        <f t="shared" si="19"/>
        <v>1.029959184</v>
      </c>
      <c r="P34" s="30">
        <f t="shared" si="19"/>
        <v>0.987755102</v>
      </c>
      <c r="Q34" s="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34:P34">
    <cfRule type="cellIs" dxfId="0" priority="1" operator="greaterThanOrEqual">
      <formula>0.9</formula>
    </cfRule>
  </conditionalFormatting>
  <conditionalFormatting sqref="C34:P34">
    <cfRule type="cellIs" dxfId="1" priority="2" operator="between">
      <formula>0.7</formula>
      <formula>0.9</formula>
    </cfRule>
  </conditionalFormatting>
  <conditionalFormatting sqref="C34:P34">
    <cfRule type="cellIs" dxfId="2" priority="3" operator="lessThan">
      <formula>0.7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.25"/>
    <col customWidth="1" min="3" max="6" width="7.0"/>
    <col customWidth="1" min="7" max="8" width="8.38"/>
    <col customWidth="1" min="9" max="9" width="8.25"/>
    <col customWidth="1" min="10" max="10" width="8.38"/>
    <col customWidth="1" min="11" max="14" width="9.38"/>
  </cols>
  <sheetData>
    <row r="1" ht="15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</row>
    <row r="2" ht="15.75" customHeight="1">
      <c r="A2" s="17" t="s">
        <v>2</v>
      </c>
      <c r="B2" s="18"/>
      <c r="C2" s="19">
        <v>0.257</v>
      </c>
      <c r="D2" s="19">
        <v>0.4143</v>
      </c>
      <c r="E2" s="19">
        <v>0.1857</v>
      </c>
      <c r="F2" s="19">
        <v>0.1429</v>
      </c>
      <c r="G2" s="18"/>
      <c r="H2" s="18"/>
      <c r="I2" s="18"/>
      <c r="J2" s="18"/>
      <c r="K2" s="18"/>
      <c r="L2" s="18"/>
      <c r="M2" s="18"/>
      <c r="N2" s="18"/>
    </row>
    <row r="3" ht="15.75" customHeight="1">
      <c r="A3" s="17" t="s">
        <v>3</v>
      </c>
      <c r="B3" s="18"/>
      <c r="C3" s="18"/>
      <c r="D3" s="19">
        <v>0.257</v>
      </c>
      <c r="E3" s="19">
        <v>0.4143</v>
      </c>
      <c r="F3" s="19">
        <v>0.1857</v>
      </c>
      <c r="G3" s="19">
        <v>0.1429</v>
      </c>
      <c r="H3" s="18"/>
      <c r="I3" s="18"/>
      <c r="J3" s="18"/>
      <c r="K3" s="18"/>
      <c r="L3" s="18"/>
      <c r="M3" s="18"/>
      <c r="N3" s="18"/>
    </row>
    <row r="4" ht="15.75" customHeight="1">
      <c r="A4" s="17" t="s">
        <v>4</v>
      </c>
      <c r="B4" s="18"/>
      <c r="C4" s="18"/>
      <c r="D4" s="18"/>
      <c r="E4" s="19">
        <v>0.257</v>
      </c>
      <c r="F4" s="19">
        <v>0.4143</v>
      </c>
      <c r="G4" s="19">
        <v>0.1857</v>
      </c>
      <c r="H4" s="19">
        <v>0.1429</v>
      </c>
      <c r="I4" s="18"/>
      <c r="J4" s="18"/>
      <c r="K4" s="18"/>
      <c r="L4" s="18"/>
      <c r="M4" s="18"/>
      <c r="N4" s="18"/>
    </row>
    <row r="5" ht="15.75" customHeight="1">
      <c r="A5" s="17" t="s">
        <v>5</v>
      </c>
      <c r="B5" s="18"/>
      <c r="C5" s="18"/>
      <c r="D5" s="18"/>
      <c r="E5" s="18"/>
      <c r="F5" s="19">
        <v>0.257</v>
      </c>
      <c r="G5" s="19">
        <v>0.4143</v>
      </c>
      <c r="H5" s="19">
        <v>0.1857</v>
      </c>
      <c r="I5" s="19">
        <v>0.1429</v>
      </c>
      <c r="J5" s="18"/>
      <c r="K5" s="18"/>
      <c r="L5" s="18"/>
      <c r="M5" s="18"/>
      <c r="N5" s="18"/>
    </row>
    <row r="6" ht="15.75" customHeight="1">
      <c r="A6" s="17" t="s">
        <v>6</v>
      </c>
      <c r="B6" s="18"/>
      <c r="C6" s="18"/>
      <c r="D6" s="18"/>
      <c r="E6" s="18"/>
      <c r="F6" s="18"/>
      <c r="G6" s="19">
        <v>0.257</v>
      </c>
      <c r="H6" s="19">
        <v>0.4143</v>
      </c>
      <c r="I6" s="19">
        <v>0.1857</v>
      </c>
      <c r="J6" s="19">
        <v>0.1429</v>
      </c>
      <c r="K6" s="18"/>
      <c r="L6" s="18"/>
      <c r="M6" s="18"/>
      <c r="N6" s="18"/>
    </row>
    <row r="7" ht="15.75" customHeight="1">
      <c r="A7" s="17" t="s">
        <v>7</v>
      </c>
      <c r="B7" s="18"/>
      <c r="C7" s="18"/>
      <c r="D7" s="18"/>
      <c r="E7" s="18"/>
      <c r="F7" s="18"/>
      <c r="G7" s="18"/>
      <c r="H7" s="19">
        <v>0.257</v>
      </c>
      <c r="I7" s="19">
        <v>0.4143</v>
      </c>
      <c r="J7" s="19">
        <v>0.1857</v>
      </c>
      <c r="K7" s="19">
        <v>0.1429</v>
      </c>
      <c r="L7" s="18"/>
      <c r="M7" s="18"/>
      <c r="N7" s="18"/>
    </row>
    <row r="8" ht="15.75" customHeight="1">
      <c r="A8" s="17" t="s">
        <v>8</v>
      </c>
      <c r="B8" s="18"/>
      <c r="C8" s="18"/>
      <c r="D8" s="18"/>
      <c r="E8" s="18"/>
      <c r="F8" s="18"/>
      <c r="G8" s="18"/>
      <c r="H8" s="18"/>
      <c r="I8" s="19">
        <v>0.257</v>
      </c>
      <c r="J8" s="19">
        <v>0.4143</v>
      </c>
      <c r="K8" s="19">
        <v>0.1857</v>
      </c>
      <c r="L8" s="19">
        <v>0.1429</v>
      </c>
      <c r="M8" s="18"/>
      <c r="N8" s="18"/>
    </row>
    <row r="9" ht="15.75" customHeight="1">
      <c r="A9" s="17" t="s">
        <v>9</v>
      </c>
      <c r="B9" s="18"/>
      <c r="C9" s="18"/>
      <c r="D9" s="18"/>
      <c r="E9" s="18"/>
      <c r="F9" s="18"/>
      <c r="G9" s="18"/>
      <c r="H9" s="18"/>
      <c r="I9" s="18"/>
      <c r="J9" s="19">
        <v>0.257</v>
      </c>
      <c r="K9" s="19">
        <v>0.4143</v>
      </c>
      <c r="L9" s="19">
        <v>0.1857</v>
      </c>
      <c r="M9" s="19">
        <v>0.1429</v>
      </c>
      <c r="N9" s="18"/>
    </row>
    <row r="10" ht="15.75" customHeight="1">
      <c r="A10" s="17" t="s">
        <v>10</v>
      </c>
      <c r="B10" s="18"/>
      <c r="C10" s="18"/>
      <c r="D10" s="18"/>
      <c r="E10" s="18"/>
      <c r="F10" s="18"/>
      <c r="G10" s="18"/>
      <c r="H10" s="18"/>
      <c r="I10" s="18"/>
      <c r="J10" s="18"/>
      <c r="K10" s="19">
        <v>0.257</v>
      </c>
      <c r="L10" s="19">
        <v>0.4143</v>
      </c>
      <c r="M10" s="19">
        <v>0.1857</v>
      </c>
      <c r="N10" s="19">
        <v>0.1429</v>
      </c>
    </row>
    <row r="11" ht="15.75" customHeight="1">
      <c r="A11" s="17" t="s">
        <v>11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>
        <v>0.257</v>
      </c>
      <c r="M11" s="19">
        <v>0.4143</v>
      </c>
      <c r="N11" s="19">
        <v>0.1857</v>
      </c>
    </row>
    <row r="12" ht="15.75" customHeight="1">
      <c r="A12" s="17" t="s">
        <v>12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9">
        <v>0.257</v>
      </c>
      <c r="N12" s="19">
        <v>0.4143</v>
      </c>
      <c r="O12" s="31"/>
    </row>
    <row r="13" ht="15.75" customHeight="1">
      <c r="A13" s="17" t="s">
        <v>13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9">
        <v>0.257</v>
      </c>
    </row>
    <row r="14" ht="15.75" customHeight="1">
      <c r="A14" s="20"/>
      <c r="B14" s="21" t="s">
        <v>14</v>
      </c>
      <c r="C14" s="21" t="s">
        <v>2</v>
      </c>
      <c r="D14" s="21" t="s">
        <v>3</v>
      </c>
      <c r="E14" s="21" t="s">
        <v>4</v>
      </c>
      <c r="F14" s="21" t="s">
        <v>5</v>
      </c>
      <c r="G14" s="21" t="s">
        <v>6</v>
      </c>
      <c r="H14" s="21" t="s">
        <v>7</v>
      </c>
      <c r="I14" s="21" t="s">
        <v>8</v>
      </c>
      <c r="J14" s="21" t="s">
        <v>9</v>
      </c>
      <c r="K14" s="21" t="s">
        <v>10</v>
      </c>
      <c r="L14" s="21" t="s">
        <v>11</v>
      </c>
      <c r="M14" s="21" t="s">
        <v>12</v>
      </c>
      <c r="N14" s="21" t="s">
        <v>13</v>
      </c>
    </row>
    <row r="15" ht="15.75" customHeight="1">
      <c r="A15" s="21" t="s">
        <v>2</v>
      </c>
      <c r="B15" s="19">
        <v>29.0</v>
      </c>
      <c r="C15" s="23">
        <f t="shared" ref="C15:F15" si="1">$B15*C2</f>
        <v>7.453</v>
      </c>
      <c r="D15" s="23">
        <f t="shared" si="1"/>
        <v>12.0147</v>
      </c>
      <c r="E15" s="23">
        <f t="shared" si="1"/>
        <v>5.3853</v>
      </c>
      <c r="F15" s="23">
        <f t="shared" si="1"/>
        <v>4.1441</v>
      </c>
      <c r="G15" s="22"/>
      <c r="H15" s="22"/>
      <c r="I15" s="22"/>
      <c r="J15" s="22"/>
      <c r="K15" s="22"/>
      <c r="L15" s="22"/>
      <c r="M15" s="22"/>
      <c r="N15" s="22"/>
    </row>
    <row r="16" ht="15.75" customHeight="1">
      <c r="A16" s="21" t="s">
        <v>3</v>
      </c>
      <c r="B16" s="19">
        <f>15+11+6</f>
        <v>32</v>
      </c>
      <c r="C16" s="22"/>
      <c r="D16" s="23">
        <f t="shared" ref="D16:G16" si="2">$B16*D3</f>
        <v>8.224</v>
      </c>
      <c r="E16" s="23">
        <f t="shared" si="2"/>
        <v>13.2576</v>
      </c>
      <c r="F16" s="23">
        <f t="shared" si="2"/>
        <v>5.9424</v>
      </c>
      <c r="G16" s="23">
        <f t="shared" si="2"/>
        <v>4.5728</v>
      </c>
      <c r="H16" s="22"/>
      <c r="I16" s="22"/>
      <c r="J16" s="22"/>
      <c r="K16" s="22"/>
      <c r="L16" s="22"/>
      <c r="M16" s="22"/>
      <c r="N16" s="22"/>
    </row>
    <row r="17" ht="15.75" customHeight="1">
      <c r="A17" s="21" t="s">
        <v>4</v>
      </c>
      <c r="B17" s="19">
        <f>30+19+20</f>
        <v>69</v>
      </c>
      <c r="C17" s="22"/>
      <c r="D17" s="22"/>
      <c r="E17" s="23">
        <f t="shared" ref="E17:H17" si="3">$B17*E4</f>
        <v>17.733</v>
      </c>
      <c r="F17" s="23">
        <f t="shared" si="3"/>
        <v>28.5867</v>
      </c>
      <c r="G17" s="23">
        <f t="shared" si="3"/>
        <v>12.8133</v>
      </c>
      <c r="H17" s="23">
        <f t="shared" si="3"/>
        <v>9.8601</v>
      </c>
      <c r="I17" s="22"/>
      <c r="J17" s="22"/>
      <c r="K17" s="22"/>
      <c r="L17" s="22"/>
      <c r="M17" s="22"/>
      <c r="N17" s="22"/>
    </row>
    <row r="18" ht="15.75" customHeight="1">
      <c r="A18" s="21" t="s">
        <v>5</v>
      </c>
      <c r="B18" s="19">
        <f>16+28+16</f>
        <v>60</v>
      </c>
      <c r="C18" s="22"/>
      <c r="D18" s="22"/>
      <c r="E18" s="22"/>
      <c r="F18" s="23">
        <f t="shared" ref="F18:I18" si="4">$B18*F5</f>
        <v>15.42</v>
      </c>
      <c r="G18" s="23">
        <f t="shared" si="4"/>
        <v>24.858</v>
      </c>
      <c r="H18" s="23">
        <f t="shared" si="4"/>
        <v>11.142</v>
      </c>
      <c r="I18" s="23">
        <f t="shared" si="4"/>
        <v>8.574</v>
      </c>
      <c r="J18" s="22"/>
      <c r="K18" s="22"/>
      <c r="L18" s="22"/>
      <c r="M18" s="22"/>
      <c r="N18" s="22"/>
    </row>
    <row r="19" ht="15.75" customHeight="1">
      <c r="A19" s="21" t="s">
        <v>6</v>
      </c>
      <c r="B19" s="19">
        <f>16+23+34</f>
        <v>73</v>
      </c>
      <c r="C19" s="22"/>
      <c r="D19" s="22"/>
      <c r="E19" s="22"/>
      <c r="F19" s="22"/>
      <c r="G19" s="23">
        <f t="shared" ref="G19:J19" si="5">$B19*G6</f>
        <v>18.761</v>
      </c>
      <c r="H19" s="23">
        <f t="shared" si="5"/>
        <v>30.2439</v>
      </c>
      <c r="I19" s="23">
        <f t="shared" si="5"/>
        <v>13.5561</v>
      </c>
      <c r="J19" s="23">
        <f t="shared" si="5"/>
        <v>10.4317</v>
      </c>
      <c r="K19" s="22"/>
      <c r="L19" s="22"/>
      <c r="M19" s="22"/>
      <c r="N19" s="22"/>
    </row>
    <row r="20" ht="15.75" customHeight="1">
      <c r="A20" s="21" t="s">
        <v>7</v>
      </c>
      <c r="B20" s="24">
        <v>93.0</v>
      </c>
      <c r="C20" s="22"/>
      <c r="D20" s="22"/>
      <c r="E20" s="22"/>
      <c r="F20" s="22"/>
      <c r="G20" s="22"/>
      <c r="H20" s="23">
        <f t="shared" ref="H20:K20" si="6">$B20*H7</f>
        <v>23.901</v>
      </c>
      <c r="I20" s="23">
        <f t="shared" si="6"/>
        <v>38.5299</v>
      </c>
      <c r="J20" s="23">
        <f t="shared" si="6"/>
        <v>17.2701</v>
      </c>
      <c r="K20" s="23">
        <f t="shared" si="6"/>
        <v>13.2897</v>
      </c>
      <c r="L20" s="22"/>
      <c r="M20" s="22"/>
      <c r="N20" s="22"/>
    </row>
    <row r="21" ht="15.75" customHeight="1">
      <c r="A21" s="21" t="s">
        <v>8</v>
      </c>
      <c r="B21" s="23">
        <v>84.0</v>
      </c>
      <c r="C21" s="22"/>
      <c r="D21" s="22"/>
      <c r="E21" s="22"/>
      <c r="F21" s="22"/>
      <c r="G21" s="22"/>
      <c r="H21" s="22"/>
      <c r="I21" s="23">
        <f t="shared" ref="I21:L21" si="7">$B21*I8</f>
        <v>21.588</v>
      </c>
      <c r="J21" s="23">
        <f t="shared" si="7"/>
        <v>34.8012</v>
      </c>
      <c r="K21" s="23">
        <f t="shared" si="7"/>
        <v>15.5988</v>
      </c>
      <c r="L21" s="23">
        <f t="shared" si="7"/>
        <v>12.0036</v>
      </c>
      <c r="M21" s="22"/>
      <c r="N21" s="22"/>
    </row>
    <row r="22" ht="15.75" customHeight="1">
      <c r="A22" s="21" t="s">
        <v>9</v>
      </c>
      <c r="B22" s="23">
        <v>100.0</v>
      </c>
      <c r="C22" s="22"/>
      <c r="D22" s="22"/>
      <c r="E22" s="22"/>
      <c r="F22" s="22"/>
      <c r="G22" s="22"/>
      <c r="H22" s="22"/>
      <c r="I22" s="22"/>
      <c r="J22" s="23">
        <f t="shared" ref="J22:M22" si="8">$B22*J9</f>
        <v>25.7</v>
      </c>
      <c r="K22" s="23">
        <f t="shared" si="8"/>
        <v>41.43</v>
      </c>
      <c r="L22" s="23">
        <f t="shared" si="8"/>
        <v>18.57</v>
      </c>
      <c r="M22" s="23">
        <f t="shared" si="8"/>
        <v>14.29</v>
      </c>
      <c r="N22" s="22"/>
    </row>
    <row r="23" ht="15.75" customHeight="1">
      <c r="A23" s="21" t="s">
        <v>10</v>
      </c>
      <c r="B23" s="23">
        <v>115.0</v>
      </c>
      <c r="C23" s="22"/>
      <c r="D23" s="22"/>
      <c r="E23" s="22"/>
      <c r="F23" s="22"/>
      <c r="G23" s="22"/>
      <c r="H23" s="22"/>
      <c r="I23" s="22"/>
      <c r="J23" s="22"/>
      <c r="K23" s="23">
        <f t="shared" ref="K23:N23" si="9">$B23*K10</f>
        <v>29.555</v>
      </c>
      <c r="L23" s="23">
        <f t="shared" si="9"/>
        <v>47.6445</v>
      </c>
      <c r="M23" s="23">
        <f t="shared" si="9"/>
        <v>21.3555</v>
      </c>
      <c r="N23" s="23">
        <f t="shared" si="9"/>
        <v>16.4335</v>
      </c>
    </row>
    <row r="24" ht="15.75" customHeight="1">
      <c r="A24" s="21" t="s">
        <v>11</v>
      </c>
      <c r="B24" s="23">
        <v>115.0</v>
      </c>
      <c r="C24" s="22"/>
      <c r="D24" s="22"/>
      <c r="E24" s="22"/>
      <c r="F24" s="22"/>
      <c r="G24" s="22"/>
      <c r="H24" s="22"/>
      <c r="I24" s="22"/>
      <c r="J24" s="22"/>
      <c r="K24" s="22"/>
      <c r="L24" s="23">
        <f t="shared" ref="L24:N24" si="10">$B24*L11</f>
        <v>29.555</v>
      </c>
      <c r="M24" s="23">
        <f t="shared" si="10"/>
        <v>47.6445</v>
      </c>
      <c r="N24" s="23">
        <f t="shared" si="10"/>
        <v>21.3555</v>
      </c>
    </row>
    <row r="25" ht="15.75" customHeight="1">
      <c r="A25" s="21" t="s">
        <v>12</v>
      </c>
      <c r="B25" s="23">
        <v>115.0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3">
        <f t="shared" ref="M25:N25" si="11">$B25*M12</f>
        <v>29.555</v>
      </c>
      <c r="N25" s="23">
        <f t="shared" si="11"/>
        <v>47.6445</v>
      </c>
    </row>
    <row r="26" ht="15.75" customHeight="1">
      <c r="A26" s="21" t="s">
        <v>13</v>
      </c>
      <c r="B26" s="23">
        <v>115.0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3">
        <f>$B26*N13</f>
        <v>29.555</v>
      </c>
    </row>
    <row r="27" ht="15.75" customHeight="1">
      <c r="A27" s="26" t="s">
        <v>15</v>
      </c>
      <c r="B27" s="18"/>
      <c r="C27" s="28">
        <f t="shared" ref="C27:N27" si="12">sum(C15:C26)</f>
        <v>7.453</v>
      </c>
      <c r="D27" s="28">
        <f t="shared" si="12"/>
        <v>20.2387</v>
      </c>
      <c r="E27" s="28">
        <f t="shared" si="12"/>
        <v>36.3759</v>
      </c>
      <c r="F27" s="28">
        <f t="shared" si="12"/>
        <v>54.0932</v>
      </c>
      <c r="G27" s="28">
        <f t="shared" si="12"/>
        <v>61.0051</v>
      </c>
      <c r="H27" s="28">
        <f t="shared" si="12"/>
        <v>75.147</v>
      </c>
      <c r="I27" s="28">
        <f t="shared" si="12"/>
        <v>82.248</v>
      </c>
      <c r="J27" s="28">
        <f t="shared" si="12"/>
        <v>88.203</v>
      </c>
      <c r="K27" s="28">
        <f t="shared" si="12"/>
        <v>99.8735</v>
      </c>
      <c r="L27" s="28">
        <f t="shared" si="12"/>
        <v>107.7731</v>
      </c>
      <c r="M27" s="28">
        <f t="shared" si="12"/>
        <v>112.845</v>
      </c>
      <c r="N27" s="28">
        <f t="shared" si="12"/>
        <v>114.9885</v>
      </c>
    </row>
    <row r="28" ht="15.75" customHeight="1">
      <c r="A28" s="26" t="s">
        <v>32</v>
      </c>
      <c r="B28" s="18"/>
      <c r="C28" s="23" t="s">
        <v>18</v>
      </c>
      <c r="D28" s="23" t="s">
        <v>18</v>
      </c>
      <c r="E28" s="23" t="s">
        <v>18</v>
      </c>
      <c r="F28" s="23" t="s">
        <v>18</v>
      </c>
      <c r="G28" s="23">
        <v>582000.0</v>
      </c>
      <c r="H28" s="23">
        <v>749000.0</v>
      </c>
      <c r="I28" s="23">
        <v>1204000.0</v>
      </c>
      <c r="J28" s="23">
        <v>2000000.0</v>
      </c>
      <c r="K28" s="23">
        <f>J28</f>
        <v>2000000</v>
      </c>
      <c r="L28" s="23">
        <v>2250000.0</v>
      </c>
      <c r="M28" s="23">
        <f t="shared" ref="M28:N28" si="13">L28</f>
        <v>2250000</v>
      </c>
      <c r="N28" s="23">
        <f t="shared" si="13"/>
        <v>2250000</v>
      </c>
    </row>
    <row r="29" ht="15.75" customHeight="1">
      <c r="A29" s="26" t="s">
        <v>17</v>
      </c>
      <c r="B29" s="18"/>
      <c r="C29" s="23" t="s">
        <v>18</v>
      </c>
      <c r="D29" s="23" t="s">
        <v>18</v>
      </c>
      <c r="E29" s="23" t="s">
        <v>18</v>
      </c>
      <c r="F29" s="23" t="s">
        <v>18</v>
      </c>
      <c r="G29" s="23">
        <f>3267624+G28</f>
        <v>3849624</v>
      </c>
      <c r="H29" s="23">
        <f t="shared" ref="H29:N29" si="14">G29+H28</f>
        <v>4598624</v>
      </c>
      <c r="I29" s="23">
        <f t="shared" si="14"/>
        <v>5802624</v>
      </c>
      <c r="J29" s="23">
        <f t="shared" si="14"/>
        <v>7802624</v>
      </c>
      <c r="K29" s="23">
        <f t="shared" si="14"/>
        <v>9802624</v>
      </c>
      <c r="L29" s="23">
        <f t="shared" si="14"/>
        <v>12052624</v>
      </c>
      <c r="M29" s="23">
        <f t="shared" si="14"/>
        <v>14302624</v>
      </c>
      <c r="N29" s="23">
        <f t="shared" si="14"/>
        <v>16552624</v>
      </c>
    </row>
    <row r="30" ht="15.75" customHeight="1">
      <c r="A30" s="26" t="s">
        <v>19</v>
      </c>
      <c r="B30" s="18"/>
      <c r="C30" s="23">
        <v>35000.0</v>
      </c>
      <c r="D30" s="23">
        <v>35000.0</v>
      </c>
      <c r="E30" s="23">
        <v>35000.0</v>
      </c>
      <c r="F30" s="23">
        <v>35000.0</v>
      </c>
      <c r="G30" s="23">
        <v>35000.0</v>
      </c>
      <c r="H30" s="23">
        <v>35000.0</v>
      </c>
      <c r="I30" s="23">
        <v>45000.0</v>
      </c>
      <c r="J30" s="23">
        <v>50000.0</v>
      </c>
      <c r="K30" s="23">
        <v>50000.0</v>
      </c>
      <c r="L30" s="23">
        <v>60000.0</v>
      </c>
      <c r="M30" s="23">
        <v>60000.0</v>
      </c>
      <c r="N30" s="23">
        <v>60000.0</v>
      </c>
    </row>
    <row r="31" ht="15.75" customHeight="1">
      <c r="A31" s="26" t="s">
        <v>20</v>
      </c>
      <c r="B31" s="18"/>
      <c r="C31" s="19">
        <v>2.0</v>
      </c>
      <c r="D31" s="19">
        <v>2.0</v>
      </c>
      <c r="E31" s="19">
        <v>2.0</v>
      </c>
      <c r="F31" s="19">
        <v>2.0</v>
      </c>
      <c r="G31" s="19">
        <v>2.0</v>
      </c>
      <c r="H31" s="19">
        <v>3.0</v>
      </c>
      <c r="I31" s="19">
        <v>3.0</v>
      </c>
      <c r="J31" s="19">
        <v>3.0</v>
      </c>
      <c r="K31" s="19">
        <v>3.0</v>
      </c>
      <c r="L31" s="19">
        <v>3.0</v>
      </c>
      <c r="M31" s="19">
        <v>3.0</v>
      </c>
      <c r="N31" s="19">
        <v>3.0</v>
      </c>
    </row>
    <row r="32" ht="15.75" customHeight="1">
      <c r="A32" s="26" t="s">
        <v>21</v>
      </c>
      <c r="B32" s="18"/>
      <c r="C32" s="23" t="s">
        <v>18</v>
      </c>
      <c r="D32" s="23" t="s">
        <v>18</v>
      </c>
      <c r="E32" s="23" t="s">
        <v>18</v>
      </c>
      <c r="F32" s="23" t="s">
        <v>18</v>
      </c>
      <c r="G32" s="23">
        <f t="shared" ref="G32:N32" si="15">(G28/G30)*G31</f>
        <v>33.25714286</v>
      </c>
      <c r="H32" s="23">
        <f t="shared" si="15"/>
        <v>64.2</v>
      </c>
      <c r="I32" s="23">
        <f t="shared" si="15"/>
        <v>80.26666667</v>
      </c>
      <c r="J32" s="23">
        <f t="shared" si="15"/>
        <v>120</v>
      </c>
      <c r="K32" s="23">
        <f t="shared" si="15"/>
        <v>120</v>
      </c>
      <c r="L32" s="23">
        <f t="shared" si="15"/>
        <v>112.5</v>
      </c>
      <c r="M32" s="23">
        <f t="shared" si="15"/>
        <v>112.5</v>
      </c>
      <c r="N32" s="23">
        <f t="shared" si="15"/>
        <v>112.5</v>
      </c>
    </row>
    <row r="33" ht="15.75" customHeight="1">
      <c r="A33" s="26" t="s">
        <v>22</v>
      </c>
      <c r="B33" s="18"/>
      <c r="C33" s="19" t="s">
        <v>18</v>
      </c>
      <c r="D33" s="19" t="s">
        <v>18</v>
      </c>
      <c r="E33" s="19" t="s">
        <v>18</v>
      </c>
      <c r="F33" s="19" t="s">
        <v>18</v>
      </c>
      <c r="G33" s="23">
        <f t="shared" ref="G33:N33" si="16">G32-G27</f>
        <v>-27.74795714</v>
      </c>
      <c r="H33" s="23">
        <f t="shared" si="16"/>
        <v>-10.947</v>
      </c>
      <c r="I33" s="23">
        <f t="shared" si="16"/>
        <v>-1.981333333</v>
      </c>
      <c r="J33" s="23">
        <f t="shared" si="16"/>
        <v>31.797</v>
      </c>
      <c r="K33" s="23">
        <f t="shared" si="16"/>
        <v>20.1265</v>
      </c>
      <c r="L33" s="23">
        <f t="shared" si="16"/>
        <v>4.7269</v>
      </c>
      <c r="M33" s="23">
        <f t="shared" si="16"/>
        <v>-0.345</v>
      </c>
      <c r="N33" s="23">
        <f t="shared" si="16"/>
        <v>-2.4885</v>
      </c>
    </row>
    <row r="34" ht="15.75" customHeight="1">
      <c r="A34" s="29" t="s">
        <v>23</v>
      </c>
      <c r="B34" s="18"/>
      <c r="C34" s="19" t="s">
        <v>33</v>
      </c>
      <c r="D34" s="19" t="s">
        <v>33</v>
      </c>
      <c r="E34" s="19" t="s">
        <v>33</v>
      </c>
      <c r="F34" s="19" t="s">
        <v>33</v>
      </c>
      <c r="G34" s="30">
        <f t="shared" ref="G34:N34" si="17">G27/G32</f>
        <v>1.83434579</v>
      </c>
      <c r="H34" s="30">
        <f t="shared" si="17"/>
        <v>1.170514019</v>
      </c>
      <c r="I34" s="30">
        <f t="shared" si="17"/>
        <v>1.024684385</v>
      </c>
      <c r="J34" s="30">
        <f t="shared" si="17"/>
        <v>0.735025</v>
      </c>
      <c r="K34" s="30">
        <f t="shared" si="17"/>
        <v>0.8322791667</v>
      </c>
      <c r="L34" s="30">
        <f t="shared" si="17"/>
        <v>0.9579831111</v>
      </c>
      <c r="M34" s="30">
        <f t="shared" si="17"/>
        <v>1.003066667</v>
      </c>
      <c r="N34" s="30">
        <f t="shared" si="17"/>
        <v>1.02212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34:N34">
    <cfRule type="cellIs" dxfId="0" priority="1" operator="greaterThanOrEqual">
      <formula>0.9</formula>
    </cfRule>
  </conditionalFormatting>
  <conditionalFormatting sqref="C34:N34">
    <cfRule type="cellIs" dxfId="1" priority="2" operator="between">
      <formula>0.7</formula>
      <formula>0.9</formula>
    </cfRule>
  </conditionalFormatting>
  <conditionalFormatting sqref="C34:N34">
    <cfRule type="cellIs" dxfId="2" priority="3" operator="lessThan">
      <formula>0.7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.25"/>
    <col customWidth="1" min="3" max="3" width="11.63"/>
    <col customWidth="1" min="4" max="4" width="10.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</cols>
  <sheetData>
    <row r="1" ht="15.75" customHeight="1">
      <c r="A1" s="17" t="s">
        <v>0</v>
      </c>
      <c r="B1" s="17" t="s">
        <v>1</v>
      </c>
      <c r="C1" s="17"/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</row>
    <row r="2" ht="15.75" customHeight="1">
      <c r="A2" s="17" t="s">
        <v>2</v>
      </c>
      <c r="B2" s="18"/>
      <c r="C2" s="18"/>
      <c r="D2" s="18"/>
      <c r="E2" s="19">
        <v>0.13</v>
      </c>
      <c r="F2" s="19">
        <v>0.43</v>
      </c>
      <c r="G2" s="19">
        <v>0.36</v>
      </c>
      <c r="H2" s="19">
        <v>0.08</v>
      </c>
      <c r="I2" s="18"/>
      <c r="J2" s="18"/>
      <c r="K2" s="18"/>
      <c r="L2" s="18"/>
      <c r="M2" s="18"/>
      <c r="N2" s="18"/>
      <c r="O2" s="18"/>
      <c r="P2" s="18"/>
    </row>
    <row r="3" ht="15.75" customHeight="1">
      <c r="A3" s="17" t="s">
        <v>3</v>
      </c>
      <c r="B3" s="18"/>
      <c r="C3" s="18"/>
      <c r="D3" s="18"/>
      <c r="E3" s="18"/>
      <c r="F3" s="19">
        <v>0.13</v>
      </c>
      <c r="G3" s="19">
        <v>0.43</v>
      </c>
      <c r="H3" s="19">
        <v>0.36</v>
      </c>
      <c r="I3" s="19">
        <v>0.08</v>
      </c>
      <c r="J3" s="18"/>
      <c r="K3" s="18"/>
      <c r="L3" s="18"/>
      <c r="M3" s="18"/>
      <c r="N3" s="18"/>
      <c r="O3" s="18"/>
      <c r="P3" s="18"/>
    </row>
    <row r="4" ht="15.75" customHeight="1">
      <c r="A4" s="17" t="s">
        <v>4</v>
      </c>
      <c r="B4" s="18"/>
      <c r="C4" s="18"/>
      <c r="D4" s="18"/>
      <c r="E4" s="18"/>
      <c r="F4" s="18"/>
      <c r="G4" s="19">
        <v>0.13</v>
      </c>
      <c r="H4" s="19">
        <v>0.43</v>
      </c>
      <c r="I4" s="19">
        <v>0.36</v>
      </c>
      <c r="J4" s="19">
        <v>0.08</v>
      </c>
      <c r="K4" s="18"/>
      <c r="L4" s="18"/>
      <c r="M4" s="18"/>
      <c r="N4" s="18"/>
      <c r="O4" s="18"/>
      <c r="P4" s="18"/>
    </row>
    <row r="5" ht="15.75" customHeight="1">
      <c r="A5" s="17" t="s">
        <v>5</v>
      </c>
      <c r="B5" s="18"/>
      <c r="C5" s="18"/>
      <c r="D5" s="18"/>
      <c r="E5" s="18"/>
      <c r="F5" s="18"/>
      <c r="G5" s="18"/>
      <c r="H5" s="19">
        <v>0.13</v>
      </c>
      <c r="I5" s="19">
        <v>0.43</v>
      </c>
      <c r="J5" s="19">
        <v>0.36</v>
      </c>
      <c r="K5" s="19">
        <v>0.08</v>
      </c>
      <c r="L5" s="18"/>
      <c r="M5" s="18"/>
      <c r="N5" s="18"/>
      <c r="O5" s="18"/>
      <c r="P5" s="18"/>
    </row>
    <row r="6" ht="15.75" customHeight="1">
      <c r="A6" s="17" t="s">
        <v>6</v>
      </c>
      <c r="B6" s="18"/>
      <c r="C6" s="18"/>
      <c r="D6" s="18"/>
      <c r="E6" s="18"/>
      <c r="F6" s="18"/>
      <c r="G6" s="18"/>
      <c r="H6" s="18"/>
      <c r="I6" s="19">
        <v>0.13</v>
      </c>
      <c r="J6" s="19">
        <v>0.43</v>
      </c>
      <c r="K6" s="19">
        <v>0.36</v>
      </c>
      <c r="L6" s="19">
        <v>0.08</v>
      </c>
      <c r="M6" s="18"/>
      <c r="N6" s="18"/>
      <c r="O6" s="18"/>
      <c r="P6" s="18"/>
    </row>
    <row r="7" ht="15.75" customHeight="1">
      <c r="A7" s="17" t="s">
        <v>7</v>
      </c>
      <c r="B7" s="18"/>
      <c r="C7" s="18"/>
      <c r="D7" s="18"/>
      <c r="E7" s="18"/>
      <c r="F7" s="18"/>
      <c r="G7" s="18"/>
      <c r="H7" s="18"/>
      <c r="I7" s="18"/>
      <c r="J7" s="19">
        <v>0.13</v>
      </c>
      <c r="K7" s="19">
        <v>0.43</v>
      </c>
      <c r="L7" s="19">
        <v>0.36</v>
      </c>
      <c r="M7" s="19">
        <v>0.08</v>
      </c>
      <c r="N7" s="18"/>
      <c r="O7" s="18"/>
      <c r="P7" s="18"/>
    </row>
    <row r="8" ht="15.75" customHeight="1">
      <c r="A8" s="17" t="s">
        <v>8</v>
      </c>
      <c r="B8" s="18"/>
      <c r="C8" s="18"/>
      <c r="D8" s="18"/>
      <c r="E8" s="18"/>
      <c r="F8" s="18"/>
      <c r="G8" s="18"/>
      <c r="H8" s="18"/>
      <c r="I8" s="18"/>
      <c r="J8" s="18"/>
      <c r="K8" s="19">
        <v>0.13</v>
      </c>
      <c r="L8" s="19">
        <v>0.43</v>
      </c>
      <c r="M8" s="19">
        <v>0.36</v>
      </c>
      <c r="N8" s="19">
        <v>0.08</v>
      </c>
      <c r="O8" s="18"/>
      <c r="P8" s="18"/>
    </row>
    <row r="9" ht="15.75" customHeight="1">
      <c r="A9" s="17" t="s">
        <v>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9">
        <v>0.13</v>
      </c>
      <c r="M9" s="19">
        <v>0.43</v>
      </c>
      <c r="N9" s="19">
        <v>0.36</v>
      </c>
      <c r="O9" s="19">
        <v>0.08</v>
      </c>
      <c r="P9" s="18"/>
    </row>
    <row r="10" ht="15.75" customHeight="1">
      <c r="A10" s="17" t="s">
        <v>10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>
        <v>0.17</v>
      </c>
      <c r="N10" s="19">
        <v>0.5</v>
      </c>
      <c r="O10" s="19">
        <v>0.3</v>
      </c>
      <c r="P10" s="19">
        <v>0.03</v>
      </c>
    </row>
    <row r="11" ht="15.75" customHeight="1">
      <c r="A11" s="17" t="s">
        <v>11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>
        <v>0.17</v>
      </c>
      <c r="O11" s="19">
        <v>0.5</v>
      </c>
      <c r="P11" s="19">
        <v>0.3</v>
      </c>
    </row>
    <row r="12" ht="15.75" customHeight="1">
      <c r="A12" s="17" t="s">
        <v>12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>
        <v>0.17</v>
      </c>
      <c r="P12" s="19">
        <v>0.5</v>
      </c>
    </row>
    <row r="13" ht="15.75" customHeight="1">
      <c r="A13" s="17" t="s">
        <v>13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>
        <v>0.17</v>
      </c>
    </row>
    <row r="14" ht="15.75" customHeight="1">
      <c r="A14" s="20"/>
      <c r="B14" s="21" t="s">
        <v>14</v>
      </c>
      <c r="C14" s="21" t="s">
        <v>197</v>
      </c>
      <c r="D14" s="21" t="s">
        <v>198</v>
      </c>
      <c r="E14" s="21" t="s">
        <v>2</v>
      </c>
      <c r="F14" s="21" t="s">
        <v>3</v>
      </c>
      <c r="G14" s="21" t="s">
        <v>4</v>
      </c>
      <c r="H14" s="21" t="s">
        <v>5</v>
      </c>
      <c r="I14" s="21" t="s">
        <v>6</v>
      </c>
      <c r="J14" s="21" t="s">
        <v>7</v>
      </c>
      <c r="K14" s="21" t="s">
        <v>8</v>
      </c>
      <c r="L14" s="21" t="s">
        <v>9</v>
      </c>
      <c r="M14" s="21" t="s">
        <v>10</v>
      </c>
      <c r="N14" s="21" t="s">
        <v>11</v>
      </c>
      <c r="O14" s="21" t="s">
        <v>12</v>
      </c>
      <c r="P14" s="21" t="s">
        <v>13</v>
      </c>
    </row>
    <row r="15" ht="15.75" customHeight="1">
      <c r="A15" s="21" t="s">
        <v>2</v>
      </c>
      <c r="B15" s="19"/>
      <c r="C15" s="37"/>
      <c r="D15" s="22"/>
      <c r="E15" s="23">
        <f t="shared" ref="E15:H15" si="1">$B15*E2</f>
        <v>0</v>
      </c>
      <c r="F15" s="23">
        <f t="shared" si="1"/>
        <v>0</v>
      </c>
      <c r="G15" s="23">
        <f t="shared" si="1"/>
        <v>0</v>
      </c>
      <c r="H15" s="23">
        <f t="shared" si="1"/>
        <v>0</v>
      </c>
      <c r="I15" s="22"/>
      <c r="J15" s="22"/>
      <c r="K15" s="22"/>
      <c r="L15" s="22"/>
      <c r="M15" s="22"/>
      <c r="N15" s="22"/>
      <c r="O15" s="22"/>
      <c r="P15" s="22"/>
    </row>
    <row r="16" ht="15.75" customHeight="1">
      <c r="A16" s="21" t="s">
        <v>3</v>
      </c>
      <c r="B16" s="19"/>
      <c r="C16" s="37"/>
      <c r="D16" s="22"/>
      <c r="E16" s="22"/>
      <c r="F16" s="23">
        <f t="shared" ref="F16:I16" si="2">$B16*F3</f>
        <v>0</v>
      </c>
      <c r="G16" s="23">
        <f t="shared" si="2"/>
        <v>0</v>
      </c>
      <c r="H16" s="23">
        <f t="shared" si="2"/>
        <v>0</v>
      </c>
      <c r="I16" s="23">
        <f t="shared" si="2"/>
        <v>0</v>
      </c>
      <c r="J16" s="22"/>
      <c r="K16" s="22"/>
      <c r="L16" s="22"/>
      <c r="M16" s="22"/>
      <c r="N16" s="22"/>
      <c r="O16" s="22"/>
      <c r="P16" s="22"/>
    </row>
    <row r="17" ht="15.75" customHeight="1">
      <c r="A17" s="21" t="s">
        <v>4</v>
      </c>
      <c r="B17" s="19"/>
      <c r="C17" s="37"/>
      <c r="D17" s="22"/>
      <c r="E17" s="22"/>
      <c r="F17" s="22"/>
      <c r="G17" s="23">
        <f t="shared" ref="G17:J17" si="3">$B17*G4</f>
        <v>0</v>
      </c>
      <c r="H17" s="23">
        <f t="shared" si="3"/>
        <v>0</v>
      </c>
      <c r="I17" s="23">
        <f t="shared" si="3"/>
        <v>0</v>
      </c>
      <c r="J17" s="23">
        <f t="shared" si="3"/>
        <v>0</v>
      </c>
      <c r="K17" s="22"/>
      <c r="L17" s="22"/>
      <c r="M17" s="22"/>
      <c r="N17" s="22"/>
      <c r="O17" s="22"/>
      <c r="P17" s="22"/>
    </row>
    <row r="18" ht="15.75" customHeight="1">
      <c r="A18" s="21" t="s">
        <v>5</v>
      </c>
      <c r="B18" s="19"/>
      <c r="C18" s="37"/>
      <c r="D18" s="22"/>
      <c r="E18" s="22"/>
      <c r="F18" s="22"/>
      <c r="G18" s="22"/>
      <c r="H18" s="23">
        <f t="shared" ref="H18:K18" si="4">$B18*H5</f>
        <v>0</v>
      </c>
      <c r="I18" s="23">
        <f t="shared" si="4"/>
        <v>0</v>
      </c>
      <c r="J18" s="23">
        <f t="shared" si="4"/>
        <v>0</v>
      </c>
      <c r="K18" s="23">
        <f t="shared" si="4"/>
        <v>0</v>
      </c>
      <c r="L18" s="22"/>
      <c r="M18" s="22"/>
      <c r="N18" s="22"/>
      <c r="O18" s="22"/>
      <c r="P18" s="22"/>
    </row>
    <row r="19" ht="15.75" customHeight="1">
      <c r="A19" s="21" t="s">
        <v>6</v>
      </c>
      <c r="B19" s="19">
        <v>0.0</v>
      </c>
      <c r="C19" s="30">
        <v>0.25</v>
      </c>
      <c r="D19" s="23">
        <v>43400.0</v>
      </c>
      <c r="E19" s="22"/>
      <c r="F19" s="22"/>
      <c r="G19" s="22"/>
      <c r="H19" s="22"/>
      <c r="I19" s="23">
        <f t="shared" ref="I19:L19" si="5">$B19*I6</f>
        <v>0</v>
      </c>
      <c r="J19" s="23">
        <f t="shared" si="5"/>
        <v>0</v>
      </c>
      <c r="K19" s="23">
        <f t="shared" si="5"/>
        <v>0</v>
      </c>
      <c r="L19" s="23">
        <f t="shared" si="5"/>
        <v>0</v>
      </c>
      <c r="M19" s="22"/>
      <c r="N19" s="22"/>
      <c r="O19" s="22"/>
      <c r="P19" s="22"/>
    </row>
    <row r="20" ht="15.75" customHeight="1">
      <c r="A20" s="21" t="s">
        <v>7</v>
      </c>
      <c r="B20" s="24">
        <v>12.0</v>
      </c>
      <c r="C20" s="30">
        <v>0.5</v>
      </c>
      <c r="D20" s="23">
        <v>43400.0</v>
      </c>
      <c r="E20" s="22"/>
      <c r="F20" s="22"/>
      <c r="G20" s="22"/>
      <c r="H20" s="22"/>
      <c r="I20" s="22"/>
      <c r="J20" s="23">
        <f t="shared" ref="J20:M20" si="6">$B20*J7</f>
        <v>1.56</v>
      </c>
      <c r="K20" s="23">
        <f t="shared" si="6"/>
        <v>5.16</v>
      </c>
      <c r="L20" s="23">
        <f t="shared" si="6"/>
        <v>4.32</v>
      </c>
      <c r="M20" s="23">
        <f t="shared" si="6"/>
        <v>0.96</v>
      </c>
      <c r="N20" s="22"/>
      <c r="O20" s="22"/>
      <c r="P20" s="22"/>
    </row>
    <row r="21" ht="15.75" customHeight="1">
      <c r="A21" s="21" t="s">
        <v>8</v>
      </c>
      <c r="B21" s="23">
        <v>15.0</v>
      </c>
      <c r="C21" s="30">
        <v>1.0</v>
      </c>
      <c r="D21" s="23">
        <v>43400.0</v>
      </c>
      <c r="E21" s="22"/>
      <c r="F21" s="22"/>
      <c r="G21" s="22"/>
      <c r="H21" s="22"/>
      <c r="I21" s="22"/>
      <c r="J21" s="22"/>
      <c r="K21" s="23">
        <f t="shared" ref="K21:N21" si="7">$B21*K8</f>
        <v>1.95</v>
      </c>
      <c r="L21" s="23">
        <f t="shared" si="7"/>
        <v>6.45</v>
      </c>
      <c r="M21" s="23">
        <f t="shared" si="7"/>
        <v>5.4</v>
      </c>
      <c r="N21" s="23">
        <f t="shared" si="7"/>
        <v>1.2</v>
      </c>
      <c r="O21" s="22"/>
      <c r="P21" s="22"/>
    </row>
    <row r="22" ht="15.75" customHeight="1">
      <c r="A22" s="21" t="s">
        <v>9</v>
      </c>
      <c r="B22" s="23">
        <v>20.0</v>
      </c>
      <c r="C22" s="30">
        <v>1.0</v>
      </c>
      <c r="D22" s="23">
        <v>43400.0</v>
      </c>
      <c r="E22" s="22"/>
      <c r="F22" s="22"/>
      <c r="G22" s="22"/>
      <c r="H22" s="22"/>
      <c r="I22" s="22"/>
      <c r="J22" s="22"/>
      <c r="K22" s="22"/>
      <c r="L22" s="23">
        <f t="shared" ref="L22:O22" si="8">$B22*L9</f>
        <v>2.6</v>
      </c>
      <c r="M22" s="23">
        <f t="shared" si="8"/>
        <v>8.6</v>
      </c>
      <c r="N22" s="23">
        <f t="shared" si="8"/>
        <v>7.2</v>
      </c>
      <c r="O22" s="23">
        <f t="shared" si="8"/>
        <v>1.6</v>
      </c>
      <c r="P22" s="22"/>
    </row>
    <row r="23" ht="15.75" customHeight="1">
      <c r="A23" s="21" t="s">
        <v>10</v>
      </c>
      <c r="B23" s="23">
        <v>20.0</v>
      </c>
      <c r="C23" s="30">
        <v>1.0</v>
      </c>
      <c r="D23" s="23">
        <v>43400.0</v>
      </c>
      <c r="E23" s="22"/>
      <c r="F23" s="22"/>
      <c r="G23" s="22"/>
      <c r="H23" s="22"/>
      <c r="I23" s="22"/>
      <c r="J23" s="22"/>
      <c r="K23" s="22"/>
      <c r="L23" s="22"/>
      <c r="M23" s="23">
        <f t="shared" ref="M23:P23" si="9">$B23*M10</f>
        <v>3.4</v>
      </c>
      <c r="N23" s="23">
        <f t="shared" si="9"/>
        <v>10</v>
      </c>
      <c r="O23" s="23">
        <f t="shared" si="9"/>
        <v>6</v>
      </c>
      <c r="P23" s="23">
        <f t="shared" si="9"/>
        <v>0.6</v>
      </c>
    </row>
    <row r="24" ht="15.75" customHeight="1">
      <c r="A24" s="21" t="s">
        <v>11</v>
      </c>
      <c r="B24" s="23">
        <v>20.0</v>
      </c>
      <c r="C24" s="30">
        <v>1.0</v>
      </c>
      <c r="D24" s="23">
        <v>43400.0</v>
      </c>
      <c r="E24" s="22"/>
      <c r="F24" s="22"/>
      <c r="G24" s="22"/>
      <c r="H24" s="22"/>
      <c r="I24" s="22"/>
      <c r="J24" s="22"/>
      <c r="K24" s="22"/>
      <c r="L24" s="22"/>
      <c r="M24" s="22"/>
      <c r="N24" s="23">
        <f t="shared" ref="N24:P24" si="10">$B24*N11</f>
        <v>3.4</v>
      </c>
      <c r="O24" s="23">
        <f t="shared" si="10"/>
        <v>10</v>
      </c>
      <c r="P24" s="23">
        <f t="shared" si="10"/>
        <v>6</v>
      </c>
    </row>
    <row r="25" ht="15.75" customHeight="1">
      <c r="A25" s="21" t="s">
        <v>12</v>
      </c>
      <c r="B25" s="23">
        <v>20.0</v>
      </c>
      <c r="C25" s="30">
        <v>1.0</v>
      </c>
      <c r="D25" s="23">
        <v>43400.0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>
        <f t="shared" ref="O25:P25" si="11">$B25*O12</f>
        <v>3.4</v>
      </c>
      <c r="P25" s="23">
        <f t="shared" si="11"/>
        <v>10</v>
      </c>
    </row>
    <row r="26" ht="15.75" customHeight="1">
      <c r="A26" s="21" t="s">
        <v>13</v>
      </c>
      <c r="B26" s="23">
        <v>20.0</v>
      </c>
      <c r="C26" s="30">
        <v>1.0</v>
      </c>
      <c r="D26" s="23">
        <v>43400.0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>
        <f>$B26*P13</f>
        <v>3.4</v>
      </c>
    </row>
    <row r="27" ht="15.75" customHeight="1">
      <c r="A27" s="26" t="s">
        <v>15</v>
      </c>
      <c r="B27" s="18"/>
      <c r="C27" s="27"/>
      <c r="D27" s="27"/>
      <c r="E27" s="28">
        <f t="shared" ref="E27:P27" si="12">sum(E15:E26)</f>
        <v>0</v>
      </c>
      <c r="F27" s="28">
        <f t="shared" si="12"/>
        <v>0</v>
      </c>
      <c r="G27" s="28">
        <f t="shared" si="12"/>
        <v>0</v>
      </c>
      <c r="H27" s="28">
        <f t="shared" si="12"/>
        <v>0</v>
      </c>
      <c r="I27" s="28">
        <f t="shared" si="12"/>
        <v>0</v>
      </c>
      <c r="J27" s="28">
        <f t="shared" si="12"/>
        <v>1.56</v>
      </c>
      <c r="K27" s="28">
        <f t="shared" si="12"/>
        <v>7.11</v>
      </c>
      <c r="L27" s="28">
        <f t="shared" si="12"/>
        <v>13.37</v>
      </c>
      <c r="M27" s="28">
        <f t="shared" si="12"/>
        <v>18.36</v>
      </c>
      <c r="N27" s="28">
        <f t="shared" si="12"/>
        <v>21.8</v>
      </c>
      <c r="O27" s="28">
        <f t="shared" si="12"/>
        <v>21</v>
      </c>
      <c r="P27" s="28">
        <f t="shared" si="12"/>
        <v>20</v>
      </c>
    </row>
    <row r="28" ht="15.75" customHeight="1">
      <c r="A28" s="26" t="s">
        <v>199</v>
      </c>
      <c r="B28" s="18"/>
      <c r="C28" s="22"/>
      <c r="D28" s="22"/>
      <c r="E28" s="23"/>
      <c r="F28" s="23"/>
      <c r="G28" s="23"/>
      <c r="H28" s="23"/>
      <c r="I28" s="23">
        <f>(35000/$D$19)*25*$C$19</f>
        <v>5.040322581</v>
      </c>
      <c r="J28" s="23">
        <f>(35000/$D$20)*25*$C$20</f>
        <v>10.08064516</v>
      </c>
      <c r="K28" s="23">
        <f>(35000/$D$21)*25*$C$21</f>
        <v>20.16129032</v>
      </c>
      <c r="L28" s="23">
        <f>(35000/$D$22)*25*$C$22</f>
        <v>20.16129032</v>
      </c>
      <c r="M28" s="23">
        <f>(35000/$D$23)*25*$C$23</f>
        <v>20.16129032</v>
      </c>
      <c r="N28" s="23">
        <f>(35000/$D$24)*25*$C$24</f>
        <v>20.16129032</v>
      </c>
      <c r="O28" s="23">
        <f>(35000/$D$25)*25*$C$25</f>
        <v>20.16129032</v>
      </c>
      <c r="P28" s="23">
        <f>(35000/$D$26)*25*$C$26</f>
        <v>20.16129032</v>
      </c>
    </row>
    <row r="29" ht="15.75" customHeight="1">
      <c r="A29" s="26" t="s">
        <v>29</v>
      </c>
      <c r="B29" s="18"/>
      <c r="C29" s="22"/>
      <c r="D29" s="22"/>
      <c r="E29" s="23"/>
      <c r="F29" s="23"/>
      <c r="G29" s="23"/>
      <c r="H29" s="23"/>
      <c r="I29" s="23">
        <f t="shared" ref="I29:P29" si="13">I27-I28</f>
        <v>-5.040322581</v>
      </c>
      <c r="J29" s="23">
        <f t="shared" si="13"/>
        <v>-8.520645161</v>
      </c>
      <c r="K29" s="23">
        <f t="shared" si="13"/>
        <v>-13.05129032</v>
      </c>
      <c r="L29" s="23">
        <f t="shared" si="13"/>
        <v>-6.791290323</v>
      </c>
      <c r="M29" s="23">
        <f t="shared" si="13"/>
        <v>-1.801290323</v>
      </c>
      <c r="N29" s="23">
        <f t="shared" si="13"/>
        <v>1.638709677</v>
      </c>
      <c r="O29" s="23">
        <f t="shared" si="13"/>
        <v>0.8387096774</v>
      </c>
      <c r="P29" s="23">
        <f t="shared" si="13"/>
        <v>-0.1612903226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9:P29">
    <cfRule type="cellIs" dxfId="0" priority="1" operator="greaterThan">
      <formula>0</formula>
    </cfRule>
  </conditionalFormatting>
  <conditionalFormatting sqref="E29:P29">
    <cfRule type="cellIs" dxfId="1" priority="2" operator="between">
      <formula>-3</formula>
      <formula>0</formula>
    </cfRule>
  </conditionalFormatting>
  <conditionalFormatting sqref="E29:P29">
    <cfRule type="cellIs" dxfId="3" priority="3" operator="lessThan">
      <formula>-3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.25"/>
    <col customWidth="1" min="3" max="3" width="11.63"/>
    <col customWidth="1" min="4" max="4" width="10.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</cols>
  <sheetData>
    <row r="1" ht="15.75" customHeight="1">
      <c r="A1" s="17" t="s">
        <v>0</v>
      </c>
      <c r="B1" s="17" t="s">
        <v>1</v>
      </c>
      <c r="C1" s="17"/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</row>
    <row r="2" ht="15.75" customHeight="1">
      <c r="A2" s="17" t="s">
        <v>2</v>
      </c>
      <c r="B2" s="18"/>
      <c r="C2" s="18"/>
      <c r="D2" s="18"/>
      <c r="E2" s="19">
        <v>0.13</v>
      </c>
      <c r="F2" s="19">
        <v>0.43</v>
      </c>
      <c r="G2" s="19">
        <v>0.36</v>
      </c>
      <c r="H2" s="19">
        <v>0.08</v>
      </c>
      <c r="I2" s="18"/>
      <c r="J2" s="18"/>
      <c r="K2" s="18"/>
      <c r="L2" s="18"/>
      <c r="M2" s="18"/>
      <c r="N2" s="18"/>
      <c r="O2" s="18"/>
      <c r="P2" s="18"/>
    </row>
    <row r="3" ht="15.75" customHeight="1">
      <c r="A3" s="17" t="s">
        <v>3</v>
      </c>
      <c r="B3" s="18"/>
      <c r="C3" s="18"/>
      <c r="D3" s="18"/>
      <c r="E3" s="18"/>
      <c r="F3" s="19">
        <v>0.13</v>
      </c>
      <c r="G3" s="19">
        <v>0.43</v>
      </c>
      <c r="H3" s="19">
        <v>0.36</v>
      </c>
      <c r="I3" s="19">
        <v>0.08</v>
      </c>
      <c r="J3" s="18"/>
      <c r="K3" s="18"/>
      <c r="L3" s="18"/>
      <c r="M3" s="18"/>
      <c r="N3" s="18"/>
      <c r="O3" s="18"/>
      <c r="P3" s="18"/>
    </row>
    <row r="4" ht="15.75" customHeight="1">
      <c r="A4" s="17" t="s">
        <v>4</v>
      </c>
      <c r="B4" s="18"/>
      <c r="C4" s="18"/>
      <c r="D4" s="18"/>
      <c r="E4" s="18"/>
      <c r="F4" s="18"/>
      <c r="G4" s="19">
        <v>0.13</v>
      </c>
      <c r="H4" s="19">
        <v>0.43</v>
      </c>
      <c r="I4" s="19">
        <v>0.36</v>
      </c>
      <c r="J4" s="19">
        <v>0.08</v>
      </c>
      <c r="K4" s="18"/>
      <c r="L4" s="18"/>
      <c r="M4" s="18"/>
      <c r="N4" s="18"/>
      <c r="O4" s="18"/>
      <c r="P4" s="18"/>
    </row>
    <row r="5" ht="15.75" customHeight="1">
      <c r="A5" s="17" t="s">
        <v>5</v>
      </c>
      <c r="B5" s="18"/>
      <c r="C5" s="18"/>
      <c r="D5" s="18"/>
      <c r="E5" s="18"/>
      <c r="F5" s="18"/>
      <c r="G5" s="18"/>
      <c r="H5" s="19">
        <v>0.13</v>
      </c>
      <c r="I5" s="19">
        <v>0.43</v>
      </c>
      <c r="J5" s="19">
        <v>0.36</v>
      </c>
      <c r="K5" s="19">
        <v>0.08</v>
      </c>
      <c r="L5" s="18"/>
      <c r="M5" s="18"/>
      <c r="N5" s="18"/>
      <c r="O5" s="18"/>
      <c r="P5" s="18"/>
    </row>
    <row r="6" ht="15.75" customHeight="1">
      <c r="A6" s="17" t="s">
        <v>6</v>
      </c>
      <c r="B6" s="18"/>
      <c r="C6" s="18"/>
      <c r="D6" s="18"/>
      <c r="E6" s="18"/>
      <c r="F6" s="18"/>
      <c r="G6" s="18"/>
      <c r="H6" s="18"/>
      <c r="I6" s="19">
        <v>0.13</v>
      </c>
      <c r="J6" s="19">
        <v>0.43</v>
      </c>
      <c r="K6" s="19">
        <v>0.36</v>
      </c>
      <c r="L6" s="19">
        <v>0.08</v>
      </c>
      <c r="M6" s="18"/>
      <c r="N6" s="18"/>
      <c r="O6" s="18"/>
      <c r="P6" s="18"/>
    </row>
    <row r="7" ht="15.75" customHeight="1">
      <c r="A7" s="17" t="s">
        <v>7</v>
      </c>
      <c r="B7" s="18"/>
      <c r="C7" s="18"/>
      <c r="D7" s="18"/>
      <c r="E7" s="18"/>
      <c r="F7" s="18"/>
      <c r="G7" s="18"/>
      <c r="H7" s="18"/>
      <c r="I7" s="18"/>
      <c r="J7" s="19">
        <v>0.13</v>
      </c>
      <c r="K7" s="19">
        <v>0.43</v>
      </c>
      <c r="L7" s="19">
        <v>0.36</v>
      </c>
      <c r="M7" s="19">
        <v>0.08</v>
      </c>
      <c r="N7" s="18"/>
      <c r="O7" s="18"/>
      <c r="P7" s="18"/>
    </row>
    <row r="8" ht="15.75" customHeight="1">
      <c r="A8" s="17" t="s">
        <v>8</v>
      </c>
      <c r="B8" s="18"/>
      <c r="C8" s="18"/>
      <c r="D8" s="18"/>
      <c r="E8" s="18"/>
      <c r="F8" s="18"/>
      <c r="G8" s="18"/>
      <c r="H8" s="18"/>
      <c r="I8" s="18"/>
      <c r="J8" s="18"/>
      <c r="K8" s="19">
        <v>0.13</v>
      </c>
      <c r="L8" s="19">
        <v>0.43</v>
      </c>
      <c r="M8" s="19">
        <v>0.36</v>
      </c>
      <c r="N8" s="19">
        <v>0.08</v>
      </c>
      <c r="O8" s="18"/>
      <c r="P8" s="18"/>
    </row>
    <row r="9" ht="15.75" customHeight="1">
      <c r="A9" s="17" t="s">
        <v>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9">
        <v>0.13</v>
      </c>
      <c r="M9" s="19">
        <v>0.43</v>
      </c>
      <c r="N9" s="19">
        <v>0.36</v>
      </c>
      <c r="O9" s="19">
        <v>0.08</v>
      </c>
      <c r="P9" s="18"/>
    </row>
    <row r="10" ht="15.75" customHeight="1">
      <c r="A10" s="17" t="s">
        <v>10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>
        <v>0.17</v>
      </c>
      <c r="N10" s="19">
        <v>0.5</v>
      </c>
      <c r="O10" s="19">
        <v>0.3</v>
      </c>
      <c r="P10" s="19">
        <v>0.03</v>
      </c>
    </row>
    <row r="11" ht="15.75" customHeight="1">
      <c r="A11" s="17" t="s">
        <v>11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>
        <v>0.17</v>
      </c>
      <c r="O11" s="19">
        <v>0.5</v>
      </c>
      <c r="P11" s="19">
        <v>0.3</v>
      </c>
    </row>
    <row r="12" ht="15.75" customHeight="1">
      <c r="A12" s="17" t="s">
        <v>12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>
        <v>0.17</v>
      </c>
      <c r="P12" s="19">
        <v>0.5</v>
      </c>
    </row>
    <row r="13" ht="15.75" customHeight="1">
      <c r="A13" s="17" t="s">
        <v>13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>
        <v>0.17</v>
      </c>
    </row>
    <row r="14" ht="15.75" customHeight="1">
      <c r="A14" s="20"/>
      <c r="B14" s="21" t="s">
        <v>14</v>
      </c>
      <c r="C14" s="21" t="s">
        <v>197</v>
      </c>
      <c r="D14" s="21" t="s">
        <v>198</v>
      </c>
      <c r="E14" s="21" t="s">
        <v>2</v>
      </c>
      <c r="F14" s="21" t="s">
        <v>3</v>
      </c>
      <c r="G14" s="21" t="s">
        <v>4</v>
      </c>
      <c r="H14" s="21" t="s">
        <v>5</v>
      </c>
      <c r="I14" s="21" t="s">
        <v>6</v>
      </c>
      <c r="J14" s="21" t="s">
        <v>7</v>
      </c>
      <c r="K14" s="21" t="s">
        <v>8</v>
      </c>
      <c r="L14" s="21" t="s">
        <v>9</v>
      </c>
      <c r="M14" s="21" t="s">
        <v>10</v>
      </c>
      <c r="N14" s="21" t="s">
        <v>11</v>
      </c>
      <c r="O14" s="21" t="s">
        <v>12</v>
      </c>
      <c r="P14" s="21" t="s">
        <v>13</v>
      </c>
    </row>
    <row r="15" ht="15.75" customHeight="1">
      <c r="A15" s="21" t="s">
        <v>2</v>
      </c>
      <c r="B15" s="19"/>
      <c r="C15" s="37"/>
      <c r="D15" s="22"/>
      <c r="E15" s="23">
        <f t="shared" ref="E15:H15" si="1">$B15*E2</f>
        <v>0</v>
      </c>
      <c r="F15" s="23">
        <f t="shared" si="1"/>
        <v>0</v>
      </c>
      <c r="G15" s="23">
        <f t="shared" si="1"/>
        <v>0</v>
      </c>
      <c r="H15" s="23">
        <f t="shared" si="1"/>
        <v>0</v>
      </c>
      <c r="I15" s="22"/>
      <c r="J15" s="22"/>
      <c r="K15" s="22"/>
      <c r="L15" s="22"/>
      <c r="M15" s="22"/>
      <c r="N15" s="22"/>
      <c r="O15" s="22"/>
      <c r="P15" s="22"/>
    </row>
    <row r="16" ht="15.75" customHeight="1">
      <c r="A16" s="21" t="s">
        <v>3</v>
      </c>
      <c r="B16" s="19"/>
      <c r="C16" s="37"/>
      <c r="D16" s="22"/>
      <c r="E16" s="22"/>
      <c r="F16" s="23">
        <f t="shared" ref="F16:I16" si="2">$B16*F3</f>
        <v>0</v>
      </c>
      <c r="G16" s="23">
        <f t="shared" si="2"/>
        <v>0</v>
      </c>
      <c r="H16" s="23">
        <f t="shared" si="2"/>
        <v>0</v>
      </c>
      <c r="I16" s="23">
        <f t="shared" si="2"/>
        <v>0</v>
      </c>
      <c r="J16" s="22"/>
      <c r="K16" s="22"/>
      <c r="L16" s="22"/>
      <c r="M16" s="22"/>
      <c r="N16" s="22"/>
      <c r="O16" s="22"/>
      <c r="P16" s="22"/>
    </row>
    <row r="17" ht="15.75" customHeight="1">
      <c r="A17" s="21" t="s">
        <v>4</v>
      </c>
      <c r="B17" s="19">
        <v>0.0</v>
      </c>
      <c r="C17" s="30">
        <v>0.25</v>
      </c>
      <c r="D17" s="23">
        <v>34400.0</v>
      </c>
      <c r="E17" s="22"/>
      <c r="F17" s="22"/>
      <c r="G17" s="23">
        <f t="shared" ref="G17:J17" si="3">$B17*G4</f>
        <v>0</v>
      </c>
      <c r="H17" s="23">
        <f t="shared" si="3"/>
        <v>0</v>
      </c>
      <c r="I17" s="23">
        <f t="shared" si="3"/>
        <v>0</v>
      </c>
      <c r="J17" s="23">
        <f t="shared" si="3"/>
        <v>0</v>
      </c>
      <c r="K17" s="22"/>
      <c r="L17" s="22"/>
      <c r="M17" s="22"/>
      <c r="N17" s="22"/>
      <c r="O17" s="22"/>
      <c r="P17" s="22"/>
    </row>
    <row r="18" ht="15.75" customHeight="1">
      <c r="A18" s="21" t="s">
        <v>5</v>
      </c>
      <c r="B18" s="19">
        <v>0.0</v>
      </c>
      <c r="C18" s="30">
        <v>0.5</v>
      </c>
      <c r="D18" s="23">
        <v>34400.0</v>
      </c>
      <c r="E18" s="22"/>
      <c r="F18" s="22"/>
      <c r="G18" s="22"/>
      <c r="H18" s="23">
        <f t="shared" ref="H18:K18" si="4">$B18*H5</f>
        <v>0</v>
      </c>
      <c r="I18" s="23">
        <f t="shared" si="4"/>
        <v>0</v>
      </c>
      <c r="J18" s="23">
        <f t="shared" si="4"/>
        <v>0</v>
      </c>
      <c r="K18" s="23">
        <f t="shared" si="4"/>
        <v>0</v>
      </c>
      <c r="L18" s="22"/>
      <c r="M18" s="22"/>
      <c r="N18" s="22"/>
      <c r="O18" s="22"/>
      <c r="P18" s="22"/>
    </row>
    <row r="19" ht="15.75" customHeight="1">
      <c r="A19" s="21" t="s">
        <v>6</v>
      </c>
      <c r="B19" s="19">
        <v>18.0</v>
      </c>
      <c r="C19" s="30">
        <v>1.0</v>
      </c>
      <c r="D19" s="23">
        <v>34400.0</v>
      </c>
      <c r="E19" s="22"/>
      <c r="F19" s="22"/>
      <c r="G19" s="22"/>
      <c r="H19" s="22"/>
      <c r="I19" s="23">
        <f t="shared" ref="I19:L19" si="5">$B19*I6</f>
        <v>2.34</v>
      </c>
      <c r="J19" s="23">
        <f t="shared" si="5"/>
        <v>7.74</v>
      </c>
      <c r="K19" s="23">
        <f t="shared" si="5"/>
        <v>6.48</v>
      </c>
      <c r="L19" s="23">
        <f t="shared" si="5"/>
        <v>1.44</v>
      </c>
      <c r="M19" s="22"/>
      <c r="N19" s="22"/>
      <c r="O19" s="22"/>
      <c r="P19" s="22"/>
    </row>
    <row r="20" ht="15.75" customHeight="1">
      <c r="A20" s="21" t="s">
        <v>7</v>
      </c>
      <c r="B20" s="24">
        <v>14.0</v>
      </c>
      <c r="C20" s="30">
        <v>1.0</v>
      </c>
      <c r="D20" s="23">
        <v>34400.0</v>
      </c>
      <c r="E20" s="22"/>
      <c r="F20" s="22"/>
      <c r="G20" s="22"/>
      <c r="H20" s="22"/>
      <c r="I20" s="22"/>
      <c r="J20" s="23">
        <f t="shared" ref="J20:M20" si="6">$B20*J7</f>
        <v>1.82</v>
      </c>
      <c r="K20" s="23">
        <f t="shared" si="6"/>
        <v>6.02</v>
      </c>
      <c r="L20" s="23">
        <f t="shared" si="6"/>
        <v>5.04</v>
      </c>
      <c r="M20" s="23">
        <f t="shared" si="6"/>
        <v>1.12</v>
      </c>
      <c r="N20" s="22"/>
      <c r="O20" s="22"/>
      <c r="P20" s="22"/>
    </row>
    <row r="21" ht="15.75" customHeight="1">
      <c r="A21" s="21" t="s">
        <v>8</v>
      </c>
      <c r="B21" s="23">
        <f>4*(3/2)</f>
        <v>6</v>
      </c>
      <c r="C21" s="30">
        <v>1.0</v>
      </c>
      <c r="D21" s="23">
        <v>34400.0</v>
      </c>
      <c r="E21" s="22"/>
      <c r="F21" s="22"/>
      <c r="G21" s="22"/>
      <c r="H21" s="22"/>
      <c r="I21" s="22"/>
      <c r="J21" s="22"/>
      <c r="K21" s="23">
        <f t="shared" ref="K21:N21" si="7">$B21*K8</f>
        <v>0.78</v>
      </c>
      <c r="L21" s="23">
        <f t="shared" si="7"/>
        <v>2.58</v>
      </c>
      <c r="M21" s="23">
        <f t="shared" si="7"/>
        <v>2.16</v>
      </c>
      <c r="N21" s="23">
        <f t="shared" si="7"/>
        <v>0.48</v>
      </c>
      <c r="O21" s="22"/>
      <c r="P21" s="22"/>
    </row>
    <row r="22" ht="15.75" customHeight="1">
      <c r="A22" s="21" t="s">
        <v>9</v>
      </c>
      <c r="B22" s="23">
        <v>25.0</v>
      </c>
      <c r="C22" s="30">
        <v>1.0</v>
      </c>
      <c r="D22" s="23">
        <v>34400.0</v>
      </c>
      <c r="E22" s="22"/>
      <c r="F22" s="22"/>
      <c r="G22" s="22"/>
      <c r="H22" s="22"/>
      <c r="I22" s="22"/>
      <c r="J22" s="22"/>
      <c r="K22" s="22"/>
      <c r="L22" s="23">
        <f t="shared" ref="L22:O22" si="8">$B22*L9</f>
        <v>3.25</v>
      </c>
      <c r="M22" s="23">
        <f t="shared" si="8"/>
        <v>10.75</v>
      </c>
      <c r="N22" s="23">
        <f t="shared" si="8"/>
        <v>9</v>
      </c>
      <c r="O22" s="23">
        <f t="shared" si="8"/>
        <v>2</v>
      </c>
      <c r="P22" s="22"/>
    </row>
    <row r="23" ht="15.75" customHeight="1">
      <c r="A23" s="21" t="s">
        <v>10</v>
      </c>
      <c r="B23" s="23">
        <v>25.0</v>
      </c>
      <c r="C23" s="30">
        <v>1.0</v>
      </c>
      <c r="D23" s="23">
        <v>34400.0</v>
      </c>
      <c r="E23" s="22"/>
      <c r="F23" s="22"/>
      <c r="G23" s="22"/>
      <c r="H23" s="22"/>
      <c r="I23" s="22"/>
      <c r="J23" s="22"/>
      <c r="K23" s="22"/>
      <c r="L23" s="22"/>
      <c r="M23" s="23">
        <f t="shared" ref="M23:P23" si="9">$B23*M10</f>
        <v>4.25</v>
      </c>
      <c r="N23" s="23">
        <f t="shared" si="9"/>
        <v>12.5</v>
      </c>
      <c r="O23" s="23">
        <f t="shared" si="9"/>
        <v>7.5</v>
      </c>
      <c r="P23" s="23">
        <f t="shared" si="9"/>
        <v>0.75</v>
      </c>
    </row>
    <row r="24" ht="15.75" customHeight="1">
      <c r="A24" s="21" t="s">
        <v>11</v>
      </c>
      <c r="B24" s="23">
        <v>25.0</v>
      </c>
      <c r="C24" s="30">
        <v>1.0</v>
      </c>
      <c r="D24" s="23">
        <v>34400.0</v>
      </c>
      <c r="E24" s="22"/>
      <c r="F24" s="22"/>
      <c r="G24" s="22"/>
      <c r="H24" s="22"/>
      <c r="I24" s="22"/>
      <c r="J24" s="22"/>
      <c r="K24" s="22"/>
      <c r="L24" s="22"/>
      <c r="M24" s="22"/>
      <c r="N24" s="23">
        <f t="shared" ref="N24:P24" si="10">$B24*N11</f>
        <v>4.25</v>
      </c>
      <c r="O24" s="23">
        <f t="shared" si="10"/>
        <v>12.5</v>
      </c>
      <c r="P24" s="23">
        <f t="shared" si="10"/>
        <v>7.5</v>
      </c>
    </row>
    <row r="25" ht="15.75" customHeight="1">
      <c r="A25" s="21" t="s">
        <v>12</v>
      </c>
      <c r="B25" s="23">
        <v>25.0</v>
      </c>
      <c r="C25" s="30">
        <v>1.0</v>
      </c>
      <c r="D25" s="23">
        <v>34400.0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>
        <f t="shared" ref="O25:P25" si="11">$B25*O12</f>
        <v>4.25</v>
      </c>
      <c r="P25" s="23">
        <f t="shared" si="11"/>
        <v>12.5</v>
      </c>
    </row>
    <row r="26" ht="15.75" customHeight="1">
      <c r="A26" s="21" t="s">
        <v>13</v>
      </c>
      <c r="B26" s="23">
        <v>25.0</v>
      </c>
      <c r="C26" s="30">
        <v>1.0</v>
      </c>
      <c r="D26" s="23">
        <v>34400.0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>
        <f>$B26*P13</f>
        <v>4.25</v>
      </c>
    </row>
    <row r="27" ht="15.75" customHeight="1">
      <c r="A27" s="26" t="s">
        <v>15</v>
      </c>
      <c r="B27" s="18"/>
      <c r="C27" s="27"/>
      <c r="D27" s="27"/>
      <c r="E27" s="28">
        <f t="shared" ref="E27:P27" si="12">sum(E15:E26)</f>
        <v>0</v>
      </c>
      <c r="F27" s="28">
        <f t="shared" si="12"/>
        <v>0</v>
      </c>
      <c r="G27" s="28">
        <f t="shared" si="12"/>
        <v>0</v>
      </c>
      <c r="H27" s="28">
        <f t="shared" si="12"/>
        <v>0</v>
      </c>
      <c r="I27" s="28">
        <f t="shared" si="12"/>
        <v>2.34</v>
      </c>
      <c r="J27" s="28">
        <f t="shared" si="12"/>
        <v>9.56</v>
      </c>
      <c r="K27" s="28">
        <f t="shared" si="12"/>
        <v>13.28</v>
      </c>
      <c r="L27" s="28">
        <f t="shared" si="12"/>
        <v>12.31</v>
      </c>
      <c r="M27" s="28">
        <f t="shared" si="12"/>
        <v>18.28</v>
      </c>
      <c r="N27" s="28">
        <f t="shared" si="12"/>
        <v>26.23</v>
      </c>
      <c r="O27" s="28">
        <f t="shared" si="12"/>
        <v>26.25</v>
      </c>
      <c r="P27" s="28">
        <f t="shared" si="12"/>
        <v>25</v>
      </c>
    </row>
    <row r="28" ht="15.75" customHeight="1">
      <c r="A28" s="26" t="s">
        <v>199</v>
      </c>
      <c r="B28" s="18"/>
      <c r="C28" s="22"/>
      <c r="D28" s="22"/>
      <c r="E28" s="23"/>
      <c r="F28" s="23"/>
      <c r="G28" s="23"/>
      <c r="H28" s="23"/>
      <c r="I28" s="23">
        <f>(35000/$D$19)*25*$C$19</f>
        <v>25.43604651</v>
      </c>
      <c r="J28" s="23">
        <f>(35000/$D$20)*25*$C$20</f>
        <v>25.43604651</v>
      </c>
      <c r="K28" s="23">
        <f>(35000/$D$21)*25*$C$21</f>
        <v>25.43604651</v>
      </c>
      <c r="L28" s="23">
        <f>(35000/$D$22)*25*$C$22</f>
        <v>25.43604651</v>
      </c>
      <c r="M28" s="23">
        <f>(35000/$D$23)*25*$C$23</f>
        <v>25.43604651</v>
      </c>
      <c r="N28" s="23">
        <f>(35000/$D$24)*25*$C$24</f>
        <v>25.43604651</v>
      </c>
      <c r="O28" s="23">
        <f>(35000/$D$25)*25*$C$25</f>
        <v>25.43604651</v>
      </c>
      <c r="P28" s="23">
        <f>(35000/$D$26)*25*$C$26</f>
        <v>25.43604651</v>
      </c>
    </row>
    <row r="29" ht="15.75" customHeight="1">
      <c r="A29" s="26" t="s">
        <v>29</v>
      </c>
      <c r="B29" s="18"/>
      <c r="C29" s="22"/>
      <c r="D29" s="22"/>
      <c r="E29" s="23"/>
      <c r="F29" s="23"/>
      <c r="G29" s="23"/>
      <c r="H29" s="23"/>
      <c r="I29" s="23">
        <f t="shared" ref="I29:P29" si="13">I27-I28</f>
        <v>-23.09604651</v>
      </c>
      <c r="J29" s="23">
        <f t="shared" si="13"/>
        <v>-15.87604651</v>
      </c>
      <c r="K29" s="23">
        <f t="shared" si="13"/>
        <v>-12.15604651</v>
      </c>
      <c r="L29" s="23">
        <f t="shared" si="13"/>
        <v>-13.12604651</v>
      </c>
      <c r="M29" s="23">
        <f t="shared" si="13"/>
        <v>-7.156046512</v>
      </c>
      <c r="N29" s="23">
        <f t="shared" si="13"/>
        <v>0.7939534884</v>
      </c>
      <c r="O29" s="23">
        <f t="shared" si="13"/>
        <v>0.8139534884</v>
      </c>
      <c r="P29" s="23">
        <f t="shared" si="13"/>
        <v>-0.4360465116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9:P29">
    <cfRule type="cellIs" dxfId="0" priority="1" operator="greaterThan">
      <formula>0</formula>
    </cfRule>
  </conditionalFormatting>
  <conditionalFormatting sqref="E29:P29">
    <cfRule type="cellIs" dxfId="1" priority="2" operator="between">
      <formula>-3</formula>
      <formula>0</formula>
    </cfRule>
  </conditionalFormatting>
  <conditionalFormatting sqref="E29:P29">
    <cfRule type="cellIs" dxfId="3" priority="3" operator="lessThan">
      <formula>-3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.25"/>
    <col customWidth="1" min="3" max="3" width="11.63"/>
    <col customWidth="1" min="4" max="4" width="10.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</cols>
  <sheetData>
    <row r="1" ht="15.75" customHeight="1">
      <c r="A1" s="17" t="s">
        <v>0</v>
      </c>
      <c r="B1" s="17" t="s">
        <v>1</v>
      </c>
      <c r="C1" s="17"/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</row>
    <row r="2" ht="15.75" customHeight="1">
      <c r="A2" s="17" t="s">
        <v>2</v>
      </c>
      <c r="B2" s="18"/>
      <c r="C2" s="18"/>
      <c r="D2" s="18"/>
      <c r="E2" s="19">
        <v>0.13</v>
      </c>
      <c r="F2" s="19">
        <v>0.43</v>
      </c>
      <c r="G2" s="19">
        <v>0.36</v>
      </c>
      <c r="H2" s="19">
        <v>0.08</v>
      </c>
      <c r="I2" s="18"/>
      <c r="J2" s="18"/>
      <c r="K2" s="18"/>
      <c r="L2" s="18"/>
      <c r="M2" s="18"/>
      <c r="N2" s="18"/>
      <c r="O2" s="18"/>
      <c r="P2" s="18"/>
    </row>
    <row r="3" ht="15.75" customHeight="1">
      <c r="A3" s="17" t="s">
        <v>3</v>
      </c>
      <c r="B3" s="18"/>
      <c r="C3" s="18"/>
      <c r="D3" s="18"/>
      <c r="E3" s="18"/>
      <c r="F3" s="19">
        <v>0.13</v>
      </c>
      <c r="G3" s="19">
        <v>0.43</v>
      </c>
      <c r="H3" s="19">
        <v>0.36</v>
      </c>
      <c r="I3" s="19">
        <v>0.08</v>
      </c>
      <c r="J3" s="18"/>
      <c r="K3" s="18"/>
      <c r="L3" s="18"/>
      <c r="M3" s="18"/>
      <c r="N3" s="18"/>
      <c r="O3" s="18"/>
      <c r="P3" s="18"/>
    </row>
    <row r="4" ht="15.75" customHeight="1">
      <c r="A4" s="17" t="s">
        <v>4</v>
      </c>
      <c r="B4" s="18"/>
      <c r="C4" s="18"/>
      <c r="D4" s="18"/>
      <c r="E4" s="18"/>
      <c r="F4" s="18"/>
      <c r="G4" s="19">
        <v>0.13</v>
      </c>
      <c r="H4" s="19">
        <v>0.43</v>
      </c>
      <c r="I4" s="19">
        <v>0.36</v>
      </c>
      <c r="J4" s="19">
        <v>0.08</v>
      </c>
      <c r="K4" s="18"/>
      <c r="L4" s="18"/>
      <c r="M4" s="18"/>
      <c r="N4" s="18"/>
      <c r="O4" s="18"/>
      <c r="P4" s="18"/>
    </row>
    <row r="5" ht="15.75" customHeight="1">
      <c r="A5" s="17" t="s">
        <v>5</v>
      </c>
      <c r="B5" s="18"/>
      <c r="C5" s="18"/>
      <c r="D5" s="18"/>
      <c r="E5" s="18"/>
      <c r="F5" s="18"/>
      <c r="G5" s="18"/>
      <c r="H5" s="19">
        <v>0.13</v>
      </c>
      <c r="I5" s="19">
        <v>0.43</v>
      </c>
      <c r="J5" s="19">
        <v>0.36</v>
      </c>
      <c r="K5" s="19">
        <v>0.08</v>
      </c>
      <c r="L5" s="18"/>
      <c r="M5" s="18"/>
      <c r="N5" s="18"/>
      <c r="O5" s="18"/>
      <c r="P5" s="18"/>
    </row>
    <row r="6" ht="15.75" customHeight="1">
      <c r="A6" s="17" t="s">
        <v>6</v>
      </c>
      <c r="B6" s="18"/>
      <c r="C6" s="18"/>
      <c r="D6" s="18"/>
      <c r="E6" s="18"/>
      <c r="F6" s="18"/>
      <c r="G6" s="18"/>
      <c r="H6" s="18"/>
      <c r="I6" s="19">
        <v>0.13</v>
      </c>
      <c r="J6" s="19">
        <v>0.43</v>
      </c>
      <c r="K6" s="19">
        <v>0.36</v>
      </c>
      <c r="L6" s="19">
        <v>0.08</v>
      </c>
      <c r="M6" s="18"/>
      <c r="N6" s="18"/>
      <c r="O6" s="18"/>
      <c r="P6" s="18"/>
    </row>
    <row r="7" ht="15.75" customHeight="1">
      <c r="A7" s="17" t="s">
        <v>7</v>
      </c>
      <c r="B7" s="18"/>
      <c r="C7" s="18"/>
      <c r="D7" s="18"/>
      <c r="E7" s="18"/>
      <c r="F7" s="18"/>
      <c r="G7" s="18"/>
      <c r="H7" s="18"/>
      <c r="I7" s="18"/>
      <c r="J7" s="19">
        <v>0.13</v>
      </c>
      <c r="K7" s="19">
        <v>0.43</v>
      </c>
      <c r="L7" s="19">
        <v>0.36</v>
      </c>
      <c r="M7" s="19">
        <v>0.08</v>
      </c>
      <c r="N7" s="18"/>
      <c r="O7" s="18"/>
      <c r="P7" s="18"/>
    </row>
    <row r="8" ht="15.75" customHeight="1">
      <c r="A8" s="17" t="s">
        <v>8</v>
      </c>
      <c r="B8" s="18"/>
      <c r="C8" s="18"/>
      <c r="D8" s="18"/>
      <c r="E8" s="18"/>
      <c r="F8" s="18"/>
      <c r="G8" s="18"/>
      <c r="H8" s="18"/>
      <c r="I8" s="18"/>
      <c r="J8" s="18"/>
      <c r="K8" s="19">
        <v>0.13</v>
      </c>
      <c r="L8" s="19">
        <v>0.43</v>
      </c>
      <c r="M8" s="19">
        <v>0.36</v>
      </c>
      <c r="N8" s="19">
        <v>0.08</v>
      </c>
      <c r="O8" s="18"/>
      <c r="P8" s="18"/>
    </row>
    <row r="9" ht="15.75" customHeight="1">
      <c r="A9" s="17" t="s">
        <v>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9">
        <v>0.13</v>
      </c>
      <c r="M9" s="19">
        <v>0.43</v>
      </c>
      <c r="N9" s="19">
        <v>0.36</v>
      </c>
      <c r="O9" s="19">
        <v>0.08</v>
      </c>
      <c r="P9" s="18"/>
    </row>
    <row r="10" ht="15.75" customHeight="1">
      <c r="A10" s="17" t="s">
        <v>10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>
        <v>0.17</v>
      </c>
      <c r="N10" s="19">
        <v>0.5</v>
      </c>
      <c r="O10" s="19">
        <v>0.3</v>
      </c>
      <c r="P10" s="19">
        <v>0.03</v>
      </c>
    </row>
    <row r="11" ht="15.75" customHeight="1">
      <c r="A11" s="17" t="s">
        <v>11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>
        <v>0.17</v>
      </c>
      <c r="O11" s="19">
        <v>0.5</v>
      </c>
      <c r="P11" s="19">
        <v>0.3</v>
      </c>
    </row>
    <row r="12" ht="15.75" customHeight="1">
      <c r="A12" s="17" t="s">
        <v>12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>
        <v>0.17</v>
      </c>
      <c r="P12" s="19">
        <v>0.5</v>
      </c>
    </row>
    <row r="13" ht="15.75" customHeight="1">
      <c r="A13" s="17" t="s">
        <v>13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>
        <v>0.17</v>
      </c>
    </row>
    <row r="14" ht="15.75" customHeight="1">
      <c r="A14" s="20"/>
      <c r="B14" s="21" t="s">
        <v>14</v>
      </c>
      <c r="C14" s="21" t="s">
        <v>197</v>
      </c>
      <c r="D14" s="21" t="s">
        <v>198</v>
      </c>
      <c r="E14" s="21" t="s">
        <v>2</v>
      </c>
      <c r="F14" s="21" t="s">
        <v>3</v>
      </c>
      <c r="G14" s="21" t="s">
        <v>4</v>
      </c>
      <c r="H14" s="21" t="s">
        <v>5</v>
      </c>
      <c r="I14" s="21" t="s">
        <v>6</v>
      </c>
      <c r="J14" s="21" t="s">
        <v>7</v>
      </c>
      <c r="K14" s="21" t="s">
        <v>8</v>
      </c>
      <c r="L14" s="21" t="s">
        <v>9</v>
      </c>
      <c r="M14" s="21" t="s">
        <v>10</v>
      </c>
      <c r="N14" s="21" t="s">
        <v>11</v>
      </c>
      <c r="O14" s="21" t="s">
        <v>12</v>
      </c>
      <c r="P14" s="21" t="s">
        <v>13</v>
      </c>
    </row>
    <row r="15" ht="15.75" customHeight="1">
      <c r="A15" s="21" t="s">
        <v>2</v>
      </c>
      <c r="B15" s="19"/>
      <c r="C15" s="37"/>
      <c r="D15" s="22"/>
      <c r="E15" s="23">
        <f t="shared" ref="E15:H15" si="1">$B15*E2</f>
        <v>0</v>
      </c>
      <c r="F15" s="23">
        <f t="shared" si="1"/>
        <v>0</v>
      </c>
      <c r="G15" s="23">
        <f t="shared" si="1"/>
        <v>0</v>
      </c>
      <c r="H15" s="23">
        <f t="shared" si="1"/>
        <v>0</v>
      </c>
      <c r="I15" s="22"/>
      <c r="J15" s="22"/>
      <c r="K15" s="22"/>
      <c r="L15" s="22"/>
      <c r="M15" s="22"/>
      <c r="N15" s="22"/>
      <c r="O15" s="22"/>
      <c r="P15" s="22"/>
    </row>
    <row r="16" ht="15.75" customHeight="1">
      <c r="A16" s="21" t="s">
        <v>3</v>
      </c>
      <c r="B16" s="19"/>
      <c r="C16" s="37"/>
      <c r="D16" s="22"/>
      <c r="E16" s="22"/>
      <c r="F16" s="23">
        <f t="shared" ref="F16:I16" si="2">$B16*F3</f>
        <v>0</v>
      </c>
      <c r="G16" s="23">
        <f t="shared" si="2"/>
        <v>0</v>
      </c>
      <c r="H16" s="23">
        <f t="shared" si="2"/>
        <v>0</v>
      </c>
      <c r="I16" s="23">
        <f t="shared" si="2"/>
        <v>0</v>
      </c>
      <c r="J16" s="22"/>
      <c r="K16" s="22"/>
      <c r="L16" s="22"/>
      <c r="M16" s="22"/>
      <c r="N16" s="22"/>
      <c r="O16" s="22"/>
      <c r="P16" s="22"/>
    </row>
    <row r="17" ht="15.75" customHeight="1">
      <c r="A17" s="21" t="s">
        <v>4</v>
      </c>
      <c r="B17" s="19"/>
      <c r="C17" s="37"/>
      <c r="D17" s="22"/>
      <c r="E17" s="22"/>
      <c r="F17" s="22"/>
      <c r="G17" s="23">
        <f t="shared" ref="G17:J17" si="3">$B17*G4</f>
        <v>0</v>
      </c>
      <c r="H17" s="23">
        <f t="shared" si="3"/>
        <v>0</v>
      </c>
      <c r="I17" s="23">
        <f t="shared" si="3"/>
        <v>0</v>
      </c>
      <c r="J17" s="23">
        <f t="shared" si="3"/>
        <v>0</v>
      </c>
      <c r="K17" s="22"/>
      <c r="L17" s="22"/>
      <c r="M17" s="22"/>
      <c r="N17" s="22"/>
      <c r="O17" s="22"/>
      <c r="P17" s="22"/>
    </row>
    <row r="18" ht="15.75" customHeight="1">
      <c r="A18" s="21" t="s">
        <v>5</v>
      </c>
      <c r="B18" s="19"/>
      <c r="C18" s="37"/>
      <c r="D18" s="22"/>
      <c r="E18" s="22"/>
      <c r="F18" s="22"/>
      <c r="G18" s="22"/>
      <c r="H18" s="23">
        <f t="shared" ref="H18:K18" si="4">$B18*H5</f>
        <v>0</v>
      </c>
      <c r="I18" s="23">
        <f t="shared" si="4"/>
        <v>0</v>
      </c>
      <c r="J18" s="23">
        <f t="shared" si="4"/>
        <v>0</v>
      </c>
      <c r="K18" s="23">
        <f t="shared" si="4"/>
        <v>0</v>
      </c>
      <c r="L18" s="22"/>
      <c r="M18" s="22"/>
      <c r="N18" s="22"/>
      <c r="O18" s="22"/>
      <c r="P18" s="22"/>
    </row>
    <row r="19" ht="15.75" customHeight="1">
      <c r="A19" s="21" t="s">
        <v>6</v>
      </c>
      <c r="B19" s="19"/>
      <c r="C19" s="37"/>
      <c r="D19" s="22"/>
      <c r="E19" s="22"/>
      <c r="F19" s="22"/>
      <c r="G19" s="22"/>
      <c r="H19" s="22"/>
      <c r="I19" s="23">
        <f t="shared" ref="I19:L19" si="5">$B19*I6</f>
        <v>0</v>
      </c>
      <c r="J19" s="23">
        <f t="shared" si="5"/>
        <v>0</v>
      </c>
      <c r="K19" s="23">
        <f t="shared" si="5"/>
        <v>0</v>
      </c>
      <c r="L19" s="23">
        <f t="shared" si="5"/>
        <v>0</v>
      </c>
      <c r="M19" s="22"/>
      <c r="N19" s="22"/>
      <c r="O19" s="22"/>
      <c r="P19" s="22"/>
    </row>
    <row r="20" ht="15.75" customHeight="1">
      <c r="A20" s="21" t="s">
        <v>7</v>
      </c>
      <c r="B20" s="24"/>
      <c r="C20" s="37"/>
      <c r="D20" s="22"/>
      <c r="E20" s="22"/>
      <c r="F20" s="22"/>
      <c r="G20" s="22"/>
      <c r="H20" s="22"/>
      <c r="I20" s="22"/>
      <c r="J20" s="23">
        <f t="shared" ref="J20:M20" si="6">$B20*J7</f>
        <v>0</v>
      </c>
      <c r="K20" s="23">
        <f t="shared" si="6"/>
        <v>0</v>
      </c>
      <c r="L20" s="23">
        <f t="shared" si="6"/>
        <v>0</v>
      </c>
      <c r="M20" s="23">
        <f t="shared" si="6"/>
        <v>0</v>
      </c>
      <c r="N20" s="22"/>
      <c r="O20" s="22"/>
      <c r="P20" s="22"/>
    </row>
    <row r="21" ht="15.75" customHeight="1">
      <c r="A21" s="21" t="s">
        <v>8</v>
      </c>
      <c r="B21" s="23">
        <f>7*(3/2)</f>
        <v>10.5</v>
      </c>
      <c r="C21" s="30">
        <v>0.25</v>
      </c>
      <c r="D21" s="23">
        <v>71800.0</v>
      </c>
      <c r="E21" s="22"/>
      <c r="F21" s="22"/>
      <c r="G21" s="22"/>
      <c r="H21" s="22"/>
      <c r="I21" s="22"/>
      <c r="J21" s="22"/>
      <c r="K21" s="23">
        <f t="shared" ref="K21:N21" si="7">$B21*K8</f>
        <v>1.365</v>
      </c>
      <c r="L21" s="23">
        <f t="shared" si="7"/>
        <v>4.515</v>
      </c>
      <c r="M21" s="23">
        <f t="shared" si="7"/>
        <v>3.78</v>
      </c>
      <c r="N21" s="23">
        <f t="shared" si="7"/>
        <v>0.84</v>
      </c>
      <c r="O21" s="22"/>
      <c r="P21" s="22"/>
    </row>
    <row r="22" ht="15.75" customHeight="1">
      <c r="A22" s="21" t="s">
        <v>9</v>
      </c>
      <c r="B22" s="23">
        <v>20.0</v>
      </c>
      <c r="C22" s="30">
        <v>0.5</v>
      </c>
      <c r="D22" s="23">
        <v>71800.0</v>
      </c>
      <c r="E22" s="22"/>
      <c r="F22" s="22"/>
      <c r="G22" s="22"/>
      <c r="H22" s="22"/>
      <c r="I22" s="22"/>
      <c r="J22" s="22"/>
      <c r="K22" s="22"/>
      <c r="L22" s="23">
        <f t="shared" ref="L22:O22" si="8">$B22*L9</f>
        <v>2.6</v>
      </c>
      <c r="M22" s="23">
        <f t="shared" si="8"/>
        <v>8.6</v>
      </c>
      <c r="N22" s="23">
        <f t="shared" si="8"/>
        <v>7.2</v>
      </c>
      <c r="O22" s="23">
        <f t="shared" si="8"/>
        <v>1.6</v>
      </c>
      <c r="P22" s="22"/>
    </row>
    <row r="23" ht="15.75" customHeight="1">
      <c r="A23" s="21" t="s">
        <v>10</v>
      </c>
      <c r="B23" s="23">
        <v>20.0</v>
      </c>
      <c r="C23" s="30">
        <v>1.0</v>
      </c>
      <c r="D23" s="23">
        <v>71800.0</v>
      </c>
      <c r="E23" s="22"/>
      <c r="F23" s="22"/>
      <c r="G23" s="22"/>
      <c r="H23" s="22"/>
      <c r="I23" s="22"/>
      <c r="J23" s="22"/>
      <c r="K23" s="22"/>
      <c r="L23" s="22"/>
      <c r="M23" s="23">
        <f t="shared" ref="M23:P23" si="9">$B23*M10</f>
        <v>3.4</v>
      </c>
      <c r="N23" s="23">
        <f t="shared" si="9"/>
        <v>10</v>
      </c>
      <c r="O23" s="23">
        <f t="shared" si="9"/>
        <v>6</v>
      </c>
      <c r="P23" s="23">
        <f t="shared" si="9"/>
        <v>0.6</v>
      </c>
    </row>
    <row r="24" ht="15.75" customHeight="1">
      <c r="A24" s="21" t="s">
        <v>11</v>
      </c>
      <c r="B24" s="23">
        <v>20.0</v>
      </c>
      <c r="C24" s="30">
        <v>1.0</v>
      </c>
      <c r="D24" s="23">
        <v>71800.0</v>
      </c>
      <c r="E24" s="22"/>
      <c r="F24" s="22"/>
      <c r="G24" s="22"/>
      <c r="H24" s="22"/>
      <c r="I24" s="22"/>
      <c r="J24" s="22"/>
      <c r="K24" s="22"/>
      <c r="L24" s="22"/>
      <c r="M24" s="22"/>
      <c r="N24" s="23">
        <f t="shared" ref="N24:P24" si="10">$B24*N11</f>
        <v>3.4</v>
      </c>
      <c r="O24" s="23">
        <f t="shared" si="10"/>
        <v>10</v>
      </c>
      <c r="P24" s="23">
        <f t="shared" si="10"/>
        <v>6</v>
      </c>
    </row>
    <row r="25" ht="15.75" customHeight="1">
      <c r="A25" s="21" t="s">
        <v>12</v>
      </c>
      <c r="B25" s="23">
        <v>20.0</v>
      </c>
      <c r="C25" s="30">
        <v>1.0</v>
      </c>
      <c r="D25" s="23">
        <v>71800.0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>
        <f t="shared" ref="O25:P25" si="11">$B25*O12</f>
        <v>3.4</v>
      </c>
      <c r="P25" s="23">
        <f t="shared" si="11"/>
        <v>10</v>
      </c>
    </row>
    <row r="26" ht="15.75" customHeight="1">
      <c r="A26" s="21" t="s">
        <v>13</v>
      </c>
      <c r="B26" s="23">
        <v>20.0</v>
      </c>
      <c r="C26" s="30">
        <v>1.0</v>
      </c>
      <c r="D26" s="23">
        <v>71800.0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>
        <f>$B26*P13</f>
        <v>3.4</v>
      </c>
    </row>
    <row r="27" ht="15.75" customHeight="1">
      <c r="A27" s="26" t="s">
        <v>15</v>
      </c>
      <c r="B27" s="18"/>
      <c r="C27" s="27"/>
      <c r="D27" s="27"/>
      <c r="E27" s="28">
        <f t="shared" ref="E27:P27" si="12">sum(E15:E26)</f>
        <v>0</v>
      </c>
      <c r="F27" s="28">
        <f t="shared" si="12"/>
        <v>0</v>
      </c>
      <c r="G27" s="28">
        <f t="shared" si="12"/>
        <v>0</v>
      </c>
      <c r="H27" s="28">
        <f t="shared" si="12"/>
        <v>0</v>
      </c>
      <c r="I27" s="28">
        <f t="shared" si="12"/>
        <v>0</v>
      </c>
      <c r="J27" s="28">
        <f t="shared" si="12"/>
        <v>0</v>
      </c>
      <c r="K27" s="28">
        <f t="shared" si="12"/>
        <v>1.365</v>
      </c>
      <c r="L27" s="28">
        <f t="shared" si="12"/>
        <v>7.115</v>
      </c>
      <c r="M27" s="28">
        <f t="shared" si="12"/>
        <v>15.78</v>
      </c>
      <c r="N27" s="28">
        <f t="shared" si="12"/>
        <v>21.44</v>
      </c>
      <c r="O27" s="28">
        <f t="shared" si="12"/>
        <v>21</v>
      </c>
      <c r="P27" s="28">
        <f t="shared" si="12"/>
        <v>20</v>
      </c>
    </row>
    <row r="28" ht="15.75" customHeight="1">
      <c r="A28" s="26" t="s">
        <v>199</v>
      </c>
      <c r="B28" s="18"/>
      <c r="C28" s="22"/>
      <c r="D28" s="22"/>
      <c r="E28" s="23"/>
      <c r="F28" s="23"/>
      <c r="G28" s="23"/>
      <c r="H28" s="23"/>
      <c r="I28" s="23" t="str">
        <f>(35000/$D$19)*25*$C$19</f>
        <v>#DIV/0!</v>
      </c>
      <c r="J28" s="23" t="str">
        <f>(35000/$D$20)*25*$C$20</f>
        <v>#DIV/0!</v>
      </c>
      <c r="K28" s="23">
        <f>(35000/$D$21)*25*$C$21</f>
        <v>3.046657382</v>
      </c>
      <c r="L28" s="23">
        <f>(35000/$D$22)*25*$C$22</f>
        <v>6.093314763</v>
      </c>
      <c r="M28" s="23">
        <f>(35000/$D$23)*25*$C$23</f>
        <v>12.18662953</v>
      </c>
      <c r="N28" s="23">
        <f>(35000/$D$24)*25*$C$24</f>
        <v>12.18662953</v>
      </c>
      <c r="O28" s="23">
        <f>(35000/$D$25)*25*$C$25</f>
        <v>12.18662953</v>
      </c>
      <c r="P28" s="23">
        <f>(35000/$D$26)*25*$C$26</f>
        <v>12.18662953</v>
      </c>
    </row>
    <row r="29" ht="15.75" customHeight="1">
      <c r="A29" s="26" t="s">
        <v>29</v>
      </c>
      <c r="B29" s="18"/>
      <c r="C29" s="22"/>
      <c r="D29" s="22"/>
      <c r="E29" s="23"/>
      <c r="F29" s="23"/>
      <c r="G29" s="23"/>
      <c r="H29" s="23"/>
      <c r="I29" s="23" t="str">
        <f t="shared" ref="I29:P29" si="13">I27-I28</f>
        <v>#DIV/0!</v>
      </c>
      <c r="J29" s="23" t="str">
        <f t="shared" si="13"/>
        <v>#DIV/0!</v>
      </c>
      <c r="K29" s="23">
        <f t="shared" si="13"/>
        <v>-1.681657382</v>
      </c>
      <c r="L29" s="23">
        <f t="shared" si="13"/>
        <v>1.021685237</v>
      </c>
      <c r="M29" s="23">
        <f t="shared" si="13"/>
        <v>3.593370474</v>
      </c>
      <c r="N29" s="23">
        <f t="shared" si="13"/>
        <v>9.253370474</v>
      </c>
      <c r="O29" s="23">
        <f t="shared" si="13"/>
        <v>8.813370474</v>
      </c>
      <c r="P29" s="23">
        <f t="shared" si="13"/>
        <v>7.813370474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9:P29">
    <cfRule type="cellIs" dxfId="0" priority="1" operator="greaterThan">
      <formula>0</formula>
    </cfRule>
  </conditionalFormatting>
  <conditionalFormatting sqref="E29:P29">
    <cfRule type="cellIs" dxfId="1" priority="2" operator="between">
      <formula>-3</formula>
      <formula>0</formula>
    </cfRule>
  </conditionalFormatting>
  <conditionalFormatting sqref="E29:P29">
    <cfRule type="cellIs" dxfId="3" priority="3" operator="lessThan">
      <formula>-3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.25"/>
    <col customWidth="1" min="3" max="3" width="11.63"/>
    <col customWidth="1" min="4" max="4" width="10.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</cols>
  <sheetData>
    <row r="1" ht="15.75" customHeight="1">
      <c r="A1" s="17" t="s">
        <v>0</v>
      </c>
      <c r="B1" s="17" t="s">
        <v>1</v>
      </c>
      <c r="C1" s="17"/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</row>
    <row r="2" ht="15.75" customHeight="1">
      <c r="A2" s="17" t="s">
        <v>2</v>
      </c>
      <c r="B2" s="18"/>
      <c r="C2" s="18"/>
      <c r="D2" s="18"/>
      <c r="E2" s="19">
        <v>0.13</v>
      </c>
      <c r="F2" s="19">
        <v>0.43</v>
      </c>
      <c r="G2" s="19">
        <v>0.36</v>
      </c>
      <c r="H2" s="19">
        <v>0.08</v>
      </c>
      <c r="I2" s="18"/>
      <c r="J2" s="18"/>
      <c r="K2" s="18"/>
      <c r="L2" s="18"/>
      <c r="M2" s="18"/>
      <c r="N2" s="18"/>
      <c r="O2" s="18"/>
      <c r="P2" s="18"/>
    </row>
    <row r="3" ht="15.75" customHeight="1">
      <c r="A3" s="17" t="s">
        <v>3</v>
      </c>
      <c r="B3" s="18"/>
      <c r="C3" s="18"/>
      <c r="D3" s="18"/>
      <c r="E3" s="18"/>
      <c r="F3" s="19">
        <v>0.13</v>
      </c>
      <c r="G3" s="19">
        <v>0.43</v>
      </c>
      <c r="H3" s="19">
        <v>0.36</v>
      </c>
      <c r="I3" s="19">
        <v>0.08</v>
      </c>
      <c r="J3" s="18"/>
      <c r="K3" s="18"/>
      <c r="L3" s="18"/>
      <c r="M3" s="18"/>
      <c r="N3" s="18"/>
      <c r="O3" s="18"/>
      <c r="P3" s="18"/>
    </row>
    <row r="4" ht="15.75" customHeight="1">
      <c r="A4" s="17" t="s">
        <v>4</v>
      </c>
      <c r="B4" s="18"/>
      <c r="C4" s="18"/>
      <c r="D4" s="18"/>
      <c r="E4" s="18"/>
      <c r="F4" s="18"/>
      <c r="G4" s="19">
        <v>0.13</v>
      </c>
      <c r="H4" s="19">
        <v>0.43</v>
      </c>
      <c r="I4" s="19">
        <v>0.36</v>
      </c>
      <c r="J4" s="19">
        <v>0.08</v>
      </c>
      <c r="K4" s="18"/>
      <c r="L4" s="18"/>
      <c r="M4" s="18"/>
      <c r="N4" s="18"/>
      <c r="O4" s="18"/>
      <c r="P4" s="18"/>
    </row>
    <row r="5" ht="15.75" customHeight="1">
      <c r="A5" s="17" t="s">
        <v>5</v>
      </c>
      <c r="B5" s="18"/>
      <c r="C5" s="18"/>
      <c r="D5" s="18"/>
      <c r="E5" s="18"/>
      <c r="F5" s="18"/>
      <c r="G5" s="18"/>
      <c r="H5" s="19">
        <v>0.13</v>
      </c>
      <c r="I5" s="19">
        <v>0.43</v>
      </c>
      <c r="J5" s="19">
        <v>0.36</v>
      </c>
      <c r="K5" s="19">
        <v>0.08</v>
      </c>
      <c r="L5" s="18"/>
      <c r="M5" s="18"/>
      <c r="N5" s="18"/>
      <c r="O5" s="18"/>
      <c r="P5" s="18"/>
    </row>
    <row r="6" ht="15.75" customHeight="1">
      <c r="A6" s="17" t="s">
        <v>6</v>
      </c>
      <c r="B6" s="18"/>
      <c r="C6" s="18"/>
      <c r="D6" s="18"/>
      <c r="E6" s="18"/>
      <c r="F6" s="18"/>
      <c r="G6" s="18"/>
      <c r="H6" s="18"/>
      <c r="I6" s="19">
        <v>0.13</v>
      </c>
      <c r="J6" s="19">
        <v>0.43</v>
      </c>
      <c r="K6" s="19">
        <v>0.36</v>
      </c>
      <c r="L6" s="19">
        <v>0.08</v>
      </c>
      <c r="M6" s="18"/>
      <c r="N6" s="18"/>
      <c r="O6" s="18"/>
      <c r="P6" s="18"/>
    </row>
    <row r="7" ht="15.75" customHeight="1">
      <c r="A7" s="17" t="s">
        <v>7</v>
      </c>
      <c r="B7" s="18"/>
      <c r="C7" s="18"/>
      <c r="D7" s="18"/>
      <c r="E7" s="18"/>
      <c r="F7" s="18"/>
      <c r="G7" s="18"/>
      <c r="H7" s="18"/>
      <c r="I7" s="18"/>
      <c r="J7" s="19">
        <v>0.13</v>
      </c>
      <c r="K7" s="19">
        <v>0.43</v>
      </c>
      <c r="L7" s="19">
        <v>0.36</v>
      </c>
      <c r="M7" s="19">
        <v>0.08</v>
      </c>
      <c r="N7" s="18"/>
      <c r="O7" s="18"/>
      <c r="P7" s="18"/>
    </row>
    <row r="8" ht="15.75" customHeight="1">
      <c r="A8" s="17" t="s">
        <v>8</v>
      </c>
      <c r="B8" s="18"/>
      <c r="C8" s="18"/>
      <c r="D8" s="18"/>
      <c r="E8" s="18"/>
      <c r="F8" s="18"/>
      <c r="G8" s="18"/>
      <c r="H8" s="18"/>
      <c r="I8" s="18"/>
      <c r="J8" s="18"/>
      <c r="K8" s="19">
        <v>0.13</v>
      </c>
      <c r="L8" s="19">
        <v>0.43</v>
      </c>
      <c r="M8" s="19">
        <v>0.36</v>
      </c>
      <c r="N8" s="19">
        <v>0.08</v>
      </c>
      <c r="O8" s="18"/>
      <c r="P8" s="18"/>
    </row>
    <row r="9" ht="15.75" customHeight="1">
      <c r="A9" s="17" t="s">
        <v>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9">
        <v>0.13</v>
      </c>
      <c r="M9" s="19">
        <v>0.43</v>
      </c>
      <c r="N9" s="19">
        <v>0.36</v>
      </c>
      <c r="O9" s="19">
        <v>0.08</v>
      </c>
      <c r="P9" s="18"/>
    </row>
    <row r="10" ht="15.75" customHeight="1">
      <c r="A10" s="17" t="s">
        <v>10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>
        <v>0.17</v>
      </c>
      <c r="N10" s="19">
        <v>0.5</v>
      </c>
      <c r="O10" s="19">
        <v>0.3</v>
      </c>
      <c r="P10" s="19">
        <v>0.03</v>
      </c>
    </row>
    <row r="11" ht="15.75" customHeight="1">
      <c r="A11" s="17" t="s">
        <v>11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>
        <v>0.17</v>
      </c>
      <c r="O11" s="19">
        <v>0.5</v>
      </c>
      <c r="P11" s="19">
        <v>0.3</v>
      </c>
    </row>
    <row r="12" ht="15.75" customHeight="1">
      <c r="A12" s="17" t="s">
        <v>12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>
        <v>0.17</v>
      </c>
      <c r="P12" s="19">
        <v>0.5</v>
      </c>
    </row>
    <row r="13" ht="15.75" customHeight="1">
      <c r="A13" s="17" t="s">
        <v>13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>
        <v>0.17</v>
      </c>
    </row>
    <row r="14" ht="15.75" customHeight="1">
      <c r="A14" s="20"/>
      <c r="B14" s="21" t="s">
        <v>14</v>
      </c>
      <c r="C14" s="21" t="s">
        <v>197</v>
      </c>
      <c r="D14" s="21" t="s">
        <v>198</v>
      </c>
      <c r="E14" s="21" t="s">
        <v>2</v>
      </c>
      <c r="F14" s="21" t="s">
        <v>3</v>
      </c>
      <c r="G14" s="21" t="s">
        <v>4</v>
      </c>
      <c r="H14" s="21" t="s">
        <v>5</v>
      </c>
      <c r="I14" s="21" t="s">
        <v>6</v>
      </c>
      <c r="J14" s="21" t="s">
        <v>7</v>
      </c>
      <c r="K14" s="21" t="s">
        <v>8</v>
      </c>
      <c r="L14" s="21" t="s">
        <v>9</v>
      </c>
      <c r="M14" s="21" t="s">
        <v>10</v>
      </c>
      <c r="N14" s="21" t="s">
        <v>11</v>
      </c>
      <c r="O14" s="21" t="s">
        <v>12</v>
      </c>
      <c r="P14" s="21" t="s">
        <v>13</v>
      </c>
    </row>
    <row r="15" ht="15.75" customHeight="1">
      <c r="A15" s="21" t="s">
        <v>2</v>
      </c>
      <c r="B15" s="19"/>
      <c r="C15" s="37"/>
      <c r="D15" s="22"/>
      <c r="E15" s="23">
        <f t="shared" ref="E15:H15" si="1">$B15*E2</f>
        <v>0</v>
      </c>
      <c r="F15" s="23">
        <f t="shared" si="1"/>
        <v>0</v>
      </c>
      <c r="G15" s="23">
        <f t="shared" si="1"/>
        <v>0</v>
      </c>
      <c r="H15" s="23">
        <f t="shared" si="1"/>
        <v>0</v>
      </c>
      <c r="I15" s="22"/>
      <c r="J15" s="22"/>
      <c r="K15" s="22"/>
      <c r="L15" s="22"/>
      <c r="M15" s="22"/>
      <c r="N15" s="22"/>
      <c r="O15" s="22"/>
      <c r="P15" s="22"/>
    </row>
    <row r="16" ht="15.75" customHeight="1">
      <c r="A16" s="21" t="s">
        <v>3</v>
      </c>
      <c r="B16" s="19"/>
      <c r="C16" s="37"/>
      <c r="D16" s="22"/>
      <c r="E16" s="22"/>
      <c r="F16" s="23">
        <f t="shared" ref="F16:I16" si="2">$B16*F3</f>
        <v>0</v>
      </c>
      <c r="G16" s="23">
        <f t="shared" si="2"/>
        <v>0</v>
      </c>
      <c r="H16" s="23">
        <f t="shared" si="2"/>
        <v>0</v>
      </c>
      <c r="I16" s="23">
        <f t="shared" si="2"/>
        <v>0</v>
      </c>
      <c r="J16" s="22"/>
      <c r="K16" s="22"/>
      <c r="L16" s="22"/>
      <c r="M16" s="22"/>
      <c r="N16" s="22"/>
      <c r="O16" s="22"/>
      <c r="P16" s="22"/>
    </row>
    <row r="17" ht="15.75" customHeight="1">
      <c r="A17" s="21" t="s">
        <v>4</v>
      </c>
      <c r="B17" s="19"/>
      <c r="C17" s="37"/>
      <c r="D17" s="22"/>
      <c r="E17" s="22"/>
      <c r="F17" s="22"/>
      <c r="G17" s="23">
        <f t="shared" ref="G17:J17" si="3">$B17*G4</f>
        <v>0</v>
      </c>
      <c r="H17" s="23">
        <f t="shared" si="3"/>
        <v>0</v>
      </c>
      <c r="I17" s="23">
        <f t="shared" si="3"/>
        <v>0</v>
      </c>
      <c r="J17" s="23">
        <f t="shared" si="3"/>
        <v>0</v>
      </c>
      <c r="K17" s="22"/>
      <c r="L17" s="22"/>
      <c r="M17" s="22"/>
      <c r="N17" s="22"/>
      <c r="O17" s="22"/>
      <c r="P17" s="22"/>
    </row>
    <row r="18" ht="15.75" customHeight="1">
      <c r="A18" s="21" t="s">
        <v>5</v>
      </c>
      <c r="B18" s="19"/>
      <c r="C18" s="37"/>
      <c r="D18" s="22"/>
      <c r="E18" s="22"/>
      <c r="F18" s="22"/>
      <c r="G18" s="22"/>
      <c r="H18" s="23">
        <f t="shared" ref="H18:K18" si="4">$B18*H5</f>
        <v>0</v>
      </c>
      <c r="I18" s="23">
        <f t="shared" si="4"/>
        <v>0</v>
      </c>
      <c r="J18" s="23">
        <f t="shared" si="4"/>
        <v>0</v>
      </c>
      <c r="K18" s="23">
        <f t="shared" si="4"/>
        <v>0</v>
      </c>
      <c r="L18" s="22"/>
      <c r="M18" s="22"/>
      <c r="N18" s="22"/>
      <c r="O18" s="22"/>
      <c r="P18" s="22"/>
    </row>
    <row r="19" ht="15.75" customHeight="1">
      <c r="A19" s="21" t="s">
        <v>6</v>
      </c>
      <c r="B19" s="19">
        <v>7.0</v>
      </c>
      <c r="C19" s="30">
        <f>25%/2</f>
        <v>0.125</v>
      </c>
      <c r="D19" s="23">
        <v>98700.0</v>
      </c>
      <c r="E19" s="22"/>
      <c r="F19" s="22"/>
      <c r="G19" s="22"/>
      <c r="H19" s="22"/>
      <c r="I19" s="23">
        <f t="shared" ref="I19:L19" si="5">$B19*I6</f>
        <v>0.91</v>
      </c>
      <c r="J19" s="23">
        <f t="shared" si="5"/>
        <v>3.01</v>
      </c>
      <c r="K19" s="23">
        <f t="shared" si="5"/>
        <v>2.52</v>
      </c>
      <c r="L19" s="23">
        <f t="shared" si="5"/>
        <v>0.56</v>
      </c>
      <c r="M19" s="22"/>
      <c r="N19" s="22"/>
      <c r="O19" s="22"/>
      <c r="P19" s="22"/>
    </row>
    <row r="20" ht="15.75" customHeight="1">
      <c r="A20" s="21" t="s">
        <v>7</v>
      </c>
      <c r="B20" s="24">
        <v>15.0</v>
      </c>
      <c r="C20" s="30">
        <f>50%*(4.5/6)</f>
        <v>0.375</v>
      </c>
      <c r="D20" s="23">
        <v>98700.0</v>
      </c>
      <c r="E20" s="22"/>
      <c r="F20" s="22"/>
      <c r="G20" s="22"/>
      <c r="H20" s="22"/>
      <c r="I20" s="22"/>
      <c r="J20" s="23">
        <f t="shared" ref="J20:M20" si="6">$B20*J7</f>
        <v>1.95</v>
      </c>
      <c r="K20" s="23">
        <f t="shared" si="6"/>
        <v>6.45</v>
      </c>
      <c r="L20" s="23">
        <f t="shared" si="6"/>
        <v>5.4</v>
      </c>
      <c r="M20" s="23">
        <f t="shared" si="6"/>
        <v>1.2</v>
      </c>
      <c r="N20" s="22"/>
      <c r="O20" s="22"/>
      <c r="P20" s="22"/>
    </row>
    <row r="21" ht="15.75" customHeight="1">
      <c r="A21" s="21" t="s">
        <v>8</v>
      </c>
      <c r="B21" s="23">
        <f>7*(3/2)</f>
        <v>10.5</v>
      </c>
      <c r="C21" s="30">
        <v>0.6</v>
      </c>
      <c r="D21" s="23">
        <v>98700.0</v>
      </c>
      <c r="E21" s="22"/>
      <c r="F21" s="22"/>
      <c r="G21" s="22"/>
      <c r="H21" s="22"/>
      <c r="I21" s="22"/>
      <c r="J21" s="22"/>
      <c r="K21" s="23">
        <f t="shared" ref="K21:N21" si="7">$B21*K8</f>
        <v>1.365</v>
      </c>
      <c r="L21" s="23">
        <f t="shared" si="7"/>
        <v>4.515</v>
      </c>
      <c r="M21" s="23">
        <f t="shared" si="7"/>
        <v>3.78</v>
      </c>
      <c r="N21" s="23">
        <f t="shared" si="7"/>
        <v>0.84</v>
      </c>
      <c r="O21" s="22"/>
      <c r="P21" s="22"/>
    </row>
    <row r="22" ht="15.75" customHeight="1">
      <c r="A22" s="21" t="s">
        <v>9</v>
      </c>
      <c r="B22" s="23">
        <v>15.0</v>
      </c>
      <c r="C22" s="30">
        <v>0.6</v>
      </c>
      <c r="D22" s="23">
        <v>98700.0</v>
      </c>
      <c r="E22" s="22"/>
      <c r="F22" s="22"/>
      <c r="G22" s="22"/>
      <c r="H22" s="22"/>
      <c r="I22" s="22"/>
      <c r="J22" s="22"/>
      <c r="K22" s="22"/>
      <c r="L22" s="23">
        <f t="shared" ref="L22:O22" si="8">$B22*L9</f>
        <v>1.95</v>
      </c>
      <c r="M22" s="23">
        <f t="shared" si="8"/>
        <v>6.45</v>
      </c>
      <c r="N22" s="23">
        <f t="shared" si="8"/>
        <v>5.4</v>
      </c>
      <c r="O22" s="23">
        <f t="shared" si="8"/>
        <v>1.2</v>
      </c>
      <c r="P22" s="22"/>
    </row>
    <row r="23" ht="15.75" customHeight="1">
      <c r="A23" s="21" t="s">
        <v>10</v>
      </c>
      <c r="B23" s="23">
        <v>15.0</v>
      </c>
      <c r="C23" s="30">
        <v>0.6</v>
      </c>
      <c r="D23" s="23">
        <v>98700.0</v>
      </c>
      <c r="E23" s="22"/>
      <c r="F23" s="22"/>
      <c r="G23" s="22"/>
      <c r="H23" s="22"/>
      <c r="I23" s="22"/>
      <c r="J23" s="22"/>
      <c r="K23" s="22"/>
      <c r="L23" s="22"/>
      <c r="M23" s="23">
        <f t="shared" ref="M23:P23" si="9">$B23*M10</f>
        <v>2.55</v>
      </c>
      <c r="N23" s="23">
        <f t="shared" si="9"/>
        <v>7.5</v>
      </c>
      <c r="O23" s="23">
        <f t="shared" si="9"/>
        <v>4.5</v>
      </c>
      <c r="P23" s="23">
        <f t="shared" si="9"/>
        <v>0.45</v>
      </c>
    </row>
    <row r="24" ht="15.75" customHeight="1">
      <c r="A24" s="21" t="s">
        <v>11</v>
      </c>
      <c r="B24" s="23">
        <v>15.0</v>
      </c>
      <c r="C24" s="30">
        <v>0.6</v>
      </c>
      <c r="D24" s="23">
        <v>98700.0</v>
      </c>
      <c r="E24" s="22"/>
      <c r="F24" s="22"/>
      <c r="G24" s="22"/>
      <c r="H24" s="22"/>
      <c r="I24" s="22"/>
      <c r="J24" s="22"/>
      <c r="K24" s="22"/>
      <c r="L24" s="22"/>
      <c r="M24" s="22"/>
      <c r="N24" s="23">
        <f t="shared" ref="N24:P24" si="10">$B24*N11</f>
        <v>2.55</v>
      </c>
      <c r="O24" s="23">
        <f t="shared" si="10"/>
        <v>7.5</v>
      </c>
      <c r="P24" s="23">
        <f t="shared" si="10"/>
        <v>4.5</v>
      </c>
    </row>
    <row r="25" ht="15.75" customHeight="1">
      <c r="A25" s="21" t="s">
        <v>12</v>
      </c>
      <c r="B25" s="23">
        <v>15.0</v>
      </c>
      <c r="C25" s="30">
        <v>0.6</v>
      </c>
      <c r="D25" s="23">
        <v>98700.0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>
        <f t="shared" ref="O25:P25" si="11">$B25*O12</f>
        <v>2.55</v>
      </c>
      <c r="P25" s="23">
        <f t="shared" si="11"/>
        <v>7.5</v>
      </c>
    </row>
    <row r="26" ht="15.75" customHeight="1">
      <c r="A26" s="21" t="s">
        <v>13</v>
      </c>
      <c r="B26" s="23">
        <v>15.0</v>
      </c>
      <c r="C26" s="30">
        <v>0.6</v>
      </c>
      <c r="D26" s="23">
        <v>98700.0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>
        <f>$B26*P13</f>
        <v>2.55</v>
      </c>
    </row>
    <row r="27" ht="15.75" customHeight="1">
      <c r="A27" s="26" t="s">
        <v>15</v>
      </c>
      <c r="B27" s="18"/>
      <c r="C27" s="27"/>
      <c r="D27" s="27"/>
      <c r="E27" s="28">
        <f t="shared" ref="E27:P27" si="12">sum(E15:E26)</f>
        <v>0</v>
      </c>
      <c r="F27" s="28">
        <f t="shared" si="12"/>
        <v>0</v>
      </c>
      <c r="G27" s="28">
        <f t="shared" si="12"/>
        <v>0</v>
      </c>
      <c r="H27" s="28">
        <f t="shared" si="12"/>
        <v>0</v>
      </c>
      <c r="I27" s="248">
        <f t="shared" si="12"/>
        <v>0.91</v>
      </c>
      <c r="J27" s="249">
        <f t="shared" si="12"/>
        <v>4.96</v>
      </c>
      <c r="K27" s="249">
        <f t="shared" si="12"/>
        <v>10.335</v>
      </c>
      <c r="L27" s="249">
        <f t="shared" si="12"/>
        <v>12.425</v>
      </c>
      <c r="M27" s="249">
        <f t="shared" si="12"/>
        <v>13.98</v>
      </c>
      <c r="N27" s="249">
        <f t="shared" si="12"/>
        <v>16.29</v>
      </c>
      <c r="O27" s="249">
        <f t="shared" si="12"/>
        <v>15.75</v>
      </c>
      <c r="P27" s="249">
        <f t="shared" si="12"/>
        <v>15</v>
      </c>
    </row>
    <row r="28" ht="15.75" customHeight="1">
      <c r="A28" s="26" t="s">
        <v>199</v>
      </c>
      <c r="B28" s="18"/>
      <c r="C28" s="22"/>
      <c r="D28" s="22"/>
      <c r="E28" s="23"/>
      <c r="F28" s="23"/>
      <c r="G28" s="23"/>
      <c r="H28" s="23"/>
      <c r="I28" s="23">
        <f>(35000/$D$19)*25*$C$19</f>
        <v>1.108156028</v>
      </c>
      <c r="J28" s="23">
        <f>(35000/$D$20)*25*$C$20</f>
        <v>3.324468085</v>
      </c>
      <c r="K28" s="23">
        <f>(35000/$D$21)*25*$C$21</f>
        <v>5.319148936</v>
      </c>
      <c r="L28" s="23">
        <f>(35000/$D$22)*25*$C$22</f>
        <v>5.319148936</v>
      </c>
      <c r="M28" s="23">
        <f>(35000/$D$23)*25*$C$23</f>
        <v>5.319148936</v>
      </c>
      <c r="N28" s="23">
        <f>(35000/$D$24)*25*$C$24</f>
        <v>5.319148936</v>
      </c>
      <c r="O28" s="23">
        <f>(35000/$D$25)*25*$C$25</f>
        <v>5.319148936</v>
      </c>
      <c r="P28" s="23">
        <f>(35000/$D$26)*25*$C$26</f>
        <v>5.319148936</v>
      </c>
    </row>
    <row r="29" ht="15.75" customHeight="1">
      <c r="A29" s="26" t="s">
        <v>29</v>
      </c>
      <c r="B29" s="18"/>
      <c r="C29" s="22"/>
      <c r="D29" s="22"/>
      <c r="E29" s="23"/>
      <c r="F29" s="23"/>
      <c r="G29" s="23"/>
      <c r="H29" s="23"/>
      <c r="I29" s="60">
        <f t="shared" ref="I29:P29" si="13">I27-I28</f>
        <v>-0.1981560284</v>
      </c>
      <c r="J29" s="250">
        <f t="shared" si="13"/>
        <v>1.635531915</v>
      </c>
      <c r="K29" s="251">
        <f t="shared" si="13"/>
        <v>5.015851064</v>
      </c>
      <c r="L29" s="251">
        <f t="shared" si="13"/>
        <v>7.105851064</v>
      </c>
      <c r="M29" s="251">
        <f t="shared" si="13"/>
        <v>8.660851064</v>
      </c>
      <c r="N29" s="251">
        <f t="shared" si="13"/>
        <v>10.97085106</v>
      </c>
      <c r="O29" s="251">
        <f t="shared" si="13"/>
        <v>10.43085106</v>
      </c>
      <c r="P29" s="251">
        <f t="shared" si="13"/>
        <v>9.680851064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9:P29">
    <cfRule type="cellIs" dxfId="0" priority="1" operator="greaterThan">
      <formula>0</formula>
    </cfRule>
  </conditionalFormatting>
  <conditionalFormatting sqref="E29:P29">
    <cfRule type="cellIs" dxfId="1" priority="2" operator="between">
      <formula>-3</formula>
      <formula>0</formula>
    </cfRule>
  </conditionalFormatting>
  <conditionalFormatting sqref="E29:P29">
    <cfRule type="cellIs" dxfId="3" priority="3" operator="lessThan">
      <formula>-3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.25"/>
    <col customWidth="1" min="3" max="3" width="11.63"/>
    <col customWidth="1" min="4" max="4" width="10.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</cols>
  <sheetData>
    <row r="1" ht="15.75" customHeight="1">
      <c r="A1" s="17" t="s">
        <v>0</v>
      </c>
      <c r="B1" s="17" t="s">
        <v>1</v>
      </c>
      <c r="C1" s="17"/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</row>
    <row r="2" ht="15.75" customHeight="1">
      <c r="A2" s="17" t="s">
        <v>2</v>
      </c>
      <c r="B2" s="18"/>
      <c r="C2" s="18"/>
      <c r="D2" s="18"/>
      <c r="E2" s="19">
        <v>0.13</v>
      </c>
      <c r="F2" s="19">
        <v>0.43</v>
      </c>
      <c r="G2" s="19">
        <v>0.36</v>
      </c>
      <c r="H2" s="19">
        <v>0.08</v>
      </c>
      <c r="I2" s="18"/>
      <c r="J2" s="18"/>
      <c r="K2" s="18"/>
      <c r="L2" s="18"/>
      <c r="M2" s="18"/>
      <c r="N2" s="18"/>
      <c r="O2" s="18"/>
      <c r="P2" s="18"/>
    </row>
    <row r="3" ht="15.75" customHeight="1">
      <c r="A3" s="17" t="s">
        <v>3</v>
      </c>
      <c r="B3" s="18"/>
      <c r="C3" s="18"/>
      <c r="D3" s="18"/>
      <c r="E3" s="18"/>
      <c r="F3" s="19">
        <v>0.13</v>
      </c>
      <c r="G3" s="19">
        <v>0.43</v>
      </c>
      <c r="H3" s="19">
        <v>0.36</v>
      </c>
      <c r="I3" s="19">
        <v>0.08</v>
      </c>
      <c r="J3" s="18"/>
      <c r="K3" s="18"/>
      <c r="L3" s="18"/>
      <c r="M3" s="18"/>
      <c r="N3" s="18"/>
      <c r="O3" s="18"/>
      <c r="P3" s="18"/>
    </row>
    <row r="4" ht="15.75" customHeight="1">
      <c r="A4" s="17" t="s">
        <v>4</v>
      </c>
      <c r="B4" s="18"/>
      <c r="C4" s="18"/>
      <c r="D4" s="18"/>
      <c r="E4" s="18"/>
      <c r="F4" s="18"/>
      <c r="G4" s="19">
        <v>0.13</v>
      </c>
      <c r="H4" s="19">
        <v>0.43</v>
      </c>
      <c r="I4" s="19">
        <v>0.36</v>
      </c>
      <c r="J4" s="19">
        <v>0.08</v>
      </c>
      <c r="K4" s="18"/>
      <c r="L4" s="18"/>
      <c r="M4" s="18"/>
      <c r="N4" s="18"/>
      <c r="O4" s="18"/>
      <c r="P4" s="18"/>
    </row>
    <row r="5" ht="15.75" customHeight="1">
      <c r="A5" s="17" t="s">
        <v>5</v>
      </c>
      <c r="B5" s="18"/>
      <c r="C5" s="18"/>
      <c r="D5" s="18"/>
      <c r="E5" s="18"/>
      <c r="F5" s="18"/>
      <c r="G5" s="18"/>
      <c r="H5" s="19">
        <v>0.13</v>
      </c>
      <c r="I5" s="19">
        <v>0.43</v>
      </c>
      <c r="J5" s="19">
        <v>0.36</v>
      </c>
      <c r="K5" s="19">
        <v>0.08</v>
      </c>
      <c r="L5" s="18"/>
      <c r="M5" s="18"/>
      <c r="N5" s="18"/>
      <c r="O5" s="18"/>
      <c r="P5" s="18"/>
    </row>
    <row r="6" ht="15.75" customHeight="1">
      <c r="A6" s="17" t="s">
        <v>6</v>
      </c>
      <c r="B6" s="18"/>
      <c r="C6" s="18"/>
      <c r="D6" s="18"/>
      <c r="E6" s="18"/>
      <c r="F6" s="18"/>
      <c r="G6" s="18"/>
      <c r="H6" s="18"/>
      <c r="I6" s="19">
        <v>0.13</v>
      </c>
      <c r="J6" s="19">
        <v>0.43</v>
      </c>
      <c r="K6" s="19">
        <v>0.36</v>
      </c>
      <c r="L6" s="19">
        <v>0.08</v>
      </c>
      <c r="M6" s="18"/>
      <c r="N6" s="18"/>
      <c r="O6" s="18"/>
      <c r="P6" s="18"/>
    </row>
    <row r="7" ht="15.75" customHeight="1">
      <c r="A7" s="17" t="s">
        <v>7</v>
      </c>
      <c r="B7" s="18"/>
      <c r="C7" s="18"/>
      <c r="D7" s="18"/>
      <c r="E7" s="18"/>
      <c r="F7" s="18"/>
      <c r="G7" s="18"/>
      <c r="H7" s="18"/>
      <c r="I7" s="18"/>
      <c r="J7" s="19">
        <v>0.13</v>
      </c>
      <c r="K7" s="19">
        <v>0.43</v>
      </c>
      <c r="L7" s="19">
        <v>0.36</v>
      </c>
      <c r="M7" s="19">
        <v>0.08</v>
      </c>
      <c r="N7" s="18"/>
      <c r="O7" s="18"/>
      <c r="P7" s="18"/>
    </row>
    <row r="8" ht="15.75" customHeight="1">
      <c r="A8" s="17" t="s">
        <v>8</v>
      </c>
      <c r="B8" s="18"/>
      <c r="C8" s="18"/>
      <c r="D8" s="18"/>
      <c r="E8" s="18"/>
      <c r="F8" s="18"/>
      <c r="G8" s="18"/>
      <c r="H8" s="18"/>
      <c r="I8" s="18"/>
      <c r="J8" s="18"/>
      <c r="K8" s="19">
        <v>0.13</v>
      </c>
      <c r="L8" s="19">
        <v>0.43</v>
      </c>
      <c r="M8" s="19">
        <v>0.36</v>
      </c>
      <c r="N8" s="19">
        <v>0.08</v>
      </c>
      <c r="O8" s="18"/>
      <c r="P8" s="18"/>
    </row>
    <row r="9" ht="15.75" customHeight="1">
      <c r="A9" s="17" t="s">
        <v>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9">
        <v>0.13</v>
      </c>
      <c r="M9" s="19">
        <v>0.43</v>
      </c>
      <c r="N9" s="19">
        <v>0.36</v>
      </c>
      <c r="O9" s="19">
        <v>0.08</v>
      </c>
      <c r="P9" s="18"/>
    </row>
    <row r="10" ht="15.75" customHeight="1">
      <c r="A10" s="17" t="s">
        <v>10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>
        <v>0.17</v>
      </c>
      <c r="N10" s="19">
        <v>0.5</v>
      </c>
      <c r="O10" s="19">
        <v>0.3</v>
      </c>
      <c r="P10" s="19">
        <v>0.03</v>
      </c>
    </row>
    <row r="11" ht="15.75" customHeight="1">
      <c r="A11" s="17" t="s">
        <v>11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>
        <v>0.17</v>
      </c>
      <c r="O11" s="19">
        <v>0.5</v>
      </c>
      <c r="P11" s="19">
        <v>0.3</v>
      </c>
    </row>
    <row r="12" ht="15.75" customHeight="1">
      <c r="A12" s="17" t="s">
        <v>12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>
        <v>0.17</v>
      </c>
      <c r="P12" s="19">
        <v>0.5</v>
      </c>
    </row>
    <row r="13" ht="15.75" customHeight="1">
      <c r="A13" s="17" t="s">
        <v>13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>
        <v>0.17</v>
      </c>
    </row>
    <row r="14" ht="15.75" customHeight="1">
      <c r="A14" s="20"/>
      <c r="B14" s="21" t="s">
        <v>14</v>
      </c>
      <c r="C14" s="21" t="s">
        <v>197</v>
      </c>
      <c r="D14" s="21" t="s">
        <v>198</v>
      </c>
      <c r="E14" s="21" t="s">
        <v>2</v>
      </c>
      <c r="F14" s="21" t="s">
        <v>3</v>
      </c>
      <c r="G14" s="21" t="s">
        <v>4</v>
      </c>
      <c r="H14" s="21" t="s">
        <v>5</v>
      </c>
      <c r="I14" s="21" t="s">
        <v>6</v>
      </c>
      <c r="J14" s="21" t="s">
        <v>7</v>
      </c>
      <c r="K14" s="21" t="s">
        <v>8</v>
      </c>
      <c r="L14" s="21" t="s">
        <v>9</v>
      </c>
      <c r="M14" s="21" t="s">
        <v>10</v>
      </c>
      <c r="N14" s="21" t="s">
        <v>11</v>
      </c>
      <c r="O14" s="21" t="s">
        <v>12</v>
      </c>
      <c r="P14" s="21" t="s">
        <v>13</v>
      </c>
    </row>
    <row r="15" ht="15.75" customHeight="1">
      <c r="A15" s="21" t="s">
        <v>2</v>
      </c>
      <c r="B15" s="19"/>
      <c r="C15" s="37"/>
      <c r="D15" s="22"/>
      <c r="E15" s="23">
        <f t="shared" ref="E15:H15" si="1">$B15*E2</f>
        <v>0</v>
      </c>
      <c r="F15" s="23">
        <f t="shared" si="1"/>
        <v>0</v>
      </c>
      <c r="G15" s="23">
        <f t="shared" si="1"/>
        <v>0</v>
      </c>
      <c r="H15" s="23">
        <f t="shared" si="1"/>
        <v>0</v>
      </c>
      <c r="I15" s="22"/>
      <c r="J15" s="22"/>
      <c r="K15" s="22"/>
      <c r="L15" s="22"/>
      <c r="M15" s="22"/>
      <c r="N15" s="22"/>
      <c r="O15" s="22"/>
      <c r="P15" s="22"/>
    </row>
    <row r="16" ht="15.75" customHeight="1">
      <c r="A16" s="21" t="s">
        <v>3</v>
      </c>
      <c r="B16" s="19"/>
      <c r="C16" s="37"/>
      <c r="D16" s="22"/>
      <c r="E16" s="22"/>
      <c r="F16" s="23">
        <f t="shared" ref="F16:I16" si="2">$B16*F3</f>
        <v>0</v>
      </c>
      <c r="G16" s="23">
        <f t="shared" si="2"/>
        <v>0</v>
      </c>
      <c r="H16" s="23">
        <f t="shared" si="2"/>
        <v>0</v>
      </c>
      <c r="I16" s="23">
        <f t="shared" si="2"/>
        <v>0</v>
      </c>
      <c r="J16" s="22"/>
      <c r="K16" s="22"/>
      <c r="L16" s="22"/>
      <c r="M16" s="22"/>
      <c r="N16" s="22"/>
      <c r="O16" s="22"/>
      <c r="P16" s="22"/>
    </row>
    <row r="17" ht="15.75" customHeight="1">
      <c r="A17" s="21" t="s">
        <v>4</v>
      </c>
      <c r="B17" s="19"/>
      <c r="C17" s="37"/>
      <c r="D17" s="22"/>
      <c r="E17" s="22"/>
      <c r="F17" s="22"/>
      <c r="G17" s="23">
        <f t="shared" ref="G17:J17" si="3">$B17*G4</f>
        <v>0</v>
      </c>
      <c r="H17" s="23">
        <f t="shared" si="3"/>
        <v>0</v>
      </c>
      <c r="I17" s="23">
        <f t="shared" si="3"/>
        <v>0</v>
      </c>
      <c r="J17" s="23">
        <f t="shared" si="3"/>
        <v>0</v>
      </c>
      <c r="K17" s="22"/>
      <c r="L17" s="22"/>
      <c r="M17" s="22"/>
      <c r="N17" s="22"/>
      <c r="O17" s="22"/>
      <c r="P17" s="22"/>
    </row>
    <row r="18" ht="15.75" customHeight="1">
      <c r="A18" s="21" t="s">
        <v>5</v>
      </c>
      <c r="B18" s="19"/>
      <c r="C18" s="37"/>
      <c r="D18" s="22"/>
      <c r="E18" s="22"/>
      <c r="F18" s="22"/>
      <c r="G18" s="22"/>
      <c r="H18" s="23">
        <f t="shared" ref="H18:K18" si="4">$B18*H5</f>
        <v>0</v>
      </c>
      <c r="I18" s="23">
        <f t="shared" si="4"/>
        <v>0</v>
      </c>
      <c r="J18" s="23">
        <f t="shared" si="4"/>
        <v>0</v>
      </c>
      <c r="K18" s="23">
        <f t="shared" si="4"/>
        <v>0</v>
      </c>
      <c r="L18" s="22"/>
      <c r="M18" s="22"/>
      <c r="N18" s="22"/>
      <c r="O18" s="22"/>
      <c r="P18" s="22"/>
    </row>
    <row r="19" ht="15.75" customHeight="1">
      <c r="A19" s="21" t="s">
        <v>6</v>
      </c>
      <c r="B19" s="19"/>
      <c r="C19" s="37"/>
      <c r="D19" s="22"/>
      <c r="E19" s="22"/>
      <c r="F19" s="22"/>
      <c r="G19" s="22"/>
      <c r="H19" s="22"/>
      <c r="I19" s="23">
        <f t="shared" ref="I19:L19" si="5">$B19*I6</f>
        <v>0</v>
      </c>
      <c r="J19" s="23">
        <f t="shared" si="5"/>
        <v>0</v>
      </c>
      <c r="K19" s="23">
        <f t="shared" si="5"/>
        <v>0</v>
      </c>
      <c r="L19" s="23">
        <f t="shared" si="5"/>
        <v>0</v>
      </c>
      <c r="M19" s="22"/>
      <c r="N19" s="22"/>
      <c r="O19" s="22"/>
      <c r="P19" s="22"/>
    </row>
    <row r="20" ht="15.75" customHeight="1">
      <c r="A20" s="21" t="s">
        <v>7</v>
      </c>
      <c r="B20" s="24"/>
      <c r="C20" s="37"/>
      <c r="D20" s="22"/>
      <c r="E20" s="22"/>
      <c r="F20" s="22"/>
      <c r="G20" s="22"/>
      <c r="H20" s="22"/>
      <c r="I20" s="22"/>
      <c r="J20" s="23">
        <f t="shared" ref="J20:M20" si="6">$B20*J7</f>
        <v>0</v>
      </c>
      <c r="K20" s="23">
        <f t="shared" si="6"/>
        <v>0</v>
      </c>
      <c r="L20" s="23">
        <f t="shared" si="6"/>
        <v>0</v>
      </c>
      <c r="M20" s="23">
        <f t="shared" si="6"/>
        <v>0</v>
      </c>
      <c r="N20" s="22"/>
      <c r="O20" s="22"/>
      <c r="P20" s="22"/>
    </row>
    <row r="21" ht="15.75" customHeight="1">
      <c r="A21" s="21" t="s">
        <v>8</v>
      </c>
      <c r="B21" s="23"/>
      <c r="C21" s="37"/>
      <c r="D21" s="22"/>
      <c r="E21" s="22"/>
      <c r="F21" s="22"/>
      <c r="G21" s="22"/>
      <c r="H21" s="22"/>
      <c r="I21" s="22"/>
      <c r="J21" s="22"/>
      <c r="K21" s="23">
        <f t="shared" ref="K21:N21" si="7">$B21*K8</f>
        <v>0</v>
      </c>
      <c r="L21" s="23">
        <f t="shared" si="7"/>
        <v>0</v>
      </c>
      <c r="M21" s="23">
        <f t="shared" si="7"/>
        <v>0</v>
      </c>
      <c r="N21" s="23">
        <f t="shared" si="7"/>
        <v>0</v>
      </c>
      <c r="O21" s="22"/>
      <c r="P21" s="22"/>
    </row>
    <row r="22" ht="15.75" customHeight="1">
      <c r="A22" s="21" t="s">
        <v>9</v>
      </c>
      <c r="B22" s="23">
        <v>15.0</v>
      </c>
      <c r="C22" s="30">
        <v>0.25</v>
      </c>
      <c r="D22" s="23">
        <v>40000.0</v>
      </c>
      <c r="E22" s="22"/>
      <c r="F22" s="22"/>
      <c r="G22" s="22"/>
      <c r="H22" s="22"/>
      <c r="I22" s="22"/>
      <c r="J22" s="22"/>
      <c r="K22" s="22"/>
      <c r="L22" s="23">
        <f t="shared" ref="L22:O22" si="8">$B22*L9</f>
        <v>1.95</v>
      </c>
      <c r="M22" s="23">
        <f t="shared" si="8"/>
        <v>6.45</v>
      </c>
      <c r="N22" s="23">
        <f t="shared" si="8"/>
        <v>5.4</v>
      </c>
      <c r="O22" s="23">
        <f t="shared" si="8"/>
        <v>1.2</v>
      </c>
      <c r="P22" s="22"/>
    </row>
    <row r="23" ht="15.75" customHeight="1">
      <c r="A23" s="21" t="s">
        <v>10</v>
      </c>
      <c r="B23" s="23">
        <v>20.0</v>
      </c>
      <c r="C23" s="30">
        <v>0.5</v>
      </c>
      <c r="D23" s="23">
        <v>40000.0</v>
      </c>
      <c r="E23" s="22"/>
      <c r="F23" s="22"/>
      <c r="G23" s="22"/>
      <c r="H23" s="22"/>
      <c r="I23" s="22"/>
      <c r="J23" s="22"/>
      <c r="K23" s="22"/>
      <c r="L23" s="22"/>
      <c r="M23" s="23">
        <f t="shared" ref="M23:P23" si="9">$B23*M10</f>
        <v>3.4</v>
      </c>
      <c r="N23" s="23">
        <f t="shared" si="9"/>
        <v>10</v>
      </c>
      <c r="O23" s="23">
        <f t="shared" si="9"/>
        <v>6</v>
      </c>
      <c r="P23" s="23">
        <f t="shared" si="9"/>
        <v>0.6</v>
      </c>
    </row>
    <row r="24" ht="15.75" customHeight="1">
      <c r="A24" s="21" t="s">
        <v>11</v>
      </c>
      <c r="B24" s="23">
        <v>23.0</v>
      </c>
      <c r="C24" s="30">
        <v>1.0</v>
      </c>
      <c r="D24" s="23">
        <v>40000.0</v>
      </c>
      <c r="E24" s="22"/>
      <c r="F24" s="22"/>
      <c r="G24" s="22"/>
      <c r="H24" s="22"/>
      <c r="I24" s="22"/>
      <c r="J24" s="22"/>
      <c r="K24" s="22"/>
      <c r="L24" s="22"/>
      <c r="M24" s="22"/>
      <c r="N24" s="23">
        <f t="shared" ref="N24:P24" si="10">$B24*N11</f>
        <v>3.91</v>
      </c>
      <c r="O24" s="23">
        <f t="shared" si="10"/>
        <v>11.5</v>
      </c>
      <c r="P24" s="23">
        <f t="shared" si="10"/>
        <v>6.9</v>
      </c>
    </row>
    <row r="25" ht="15.75" customHeight="1">
      <c r="A25" s="21" t="s">
        <v>12</v>
      </c>
      <c r="B25" s="23">
        <v>23.0</v>
      </c>
      <c r="C25" s="30">
        <v>1.0</v>
      </c>
      <c r="D25" s="23">
        <v>40000.0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>
        <f t="shared" ref="O25:P25" si="11">$B25*O12</f>
        <v>3.91</v>
      </c>
      <c r="P25" s="23">
        <f t="shared" si="11"/>
        <v>11.5</v>
      </c>
    </row>
    <row r="26" ht="15.75" customHeight="1">
      <c r="A26" s="21" t="s">
        <v>13</v>
      </c>
      <c r="B26" s="23">
        <v>23.0</v>
      </c>
      <c r="C26" s="30">
        <v>1.0</v>
      </c>
      <c r="D26" s="23">
        <v>40000.0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>
        <f>$B26*P13</f>
        <v>3.91</v>
      </c>
    </row>
    <row r="27" ht="15.75" customHeight="1">
      <c r="A27" s="26" t="s">
        <v>15</v>
      </c>
      <c r="B27" s="18"/>
      <c r="C27" s="27"/>
      <c r="D27" s="27"/>
      <c r="E27" s="28">
        <f t="shared" ref="E27:P27" si="12">sum(E15:E26)</f>
        <v>0</v>
      </c>
      <c r="F27" s="28">
        <f t="shared" si="12"/>
        <v>0</v>
      </c>
      <c r="G27" s="28">
        <f t="shared" si="12"/>
        <v>0</v>
      </c>
      <c r="H27" s="28">
        <f t="shared" si="12"/>
        <v>0</v>
      </c>
      <c r="I27" s="248">
        <f t="shared" si="12"/>
        <v>0</v>
      </c>
      <c r="J27" s="249">
        <f t="shared" si="12"/>
        <v>0</v>
      </c>
      <c r="K27" s="249">
        <f t="shared" si="12"/>
        <v>0</v>
      </c>
      <c r="L27" s="249">
        <f t="shared" si="12"/>
        <v>1.95</v>
      </c>
      <c r="M27" s="249">
        <f t="shared" si="12"/>
        <v>9.85</v>
      </c>
      <c r="N27" s="249">
        <f t="shared" si="12"/>
        <v>19.31</v>
      </c>
      <c r="O27" s="249">
        <f t="shared" si="12"/>
        <v>22.61</v>
      </c>
      <c r="P27" s="249">
        <f t="shared" si="12"/>
        <v>22.91</v>
      </c>
    </row>
    <row r="28" ht="15.75" customHeight="1">
      <c r="A28" s="26" t="s">
        <v>199</v>
      </c>
      <c r="B28" s="18"/>
      <c r="C28" s="22"/>
      <c r="D28" s="22"/>
      <c r="E28" s="23"/>
      <c r="F28" s="23"/>
      <c r="G28" s="23"/>
      <c r="H28" s="23"/>
      <c r="I28" s="23" t="str">
        <f>(35000/$D$19)*25*$C$19</f>
        <v>#DIV/0!</v>
      </c>
      <c r="J28" s="23" t="str">
        <f>(35000/$D$20)*25*$C$20</f>
        <v>#DIV/0!</v>
      </c>
      <c r="K28" s="23" t="str">
        <f>(35000/$D$21)*25*$C$21</f>
        <v>#DIV/0!</v>
      </c>
      <c r="L28" s="23">
        <f>(35000/$D$22)*25*$C$22</f>
        <v>5.46875</v>
      </c>
      <c r="M28" s="23">
        <f>(35000/$D$23)*25*$C$23</f>
        <v>10.9375</v>
      </c>
      <c r="N28" s="23">
        <f>(35000/$D$24)*25*$C$24</f>
        <v>21.875</v>
      </c>
      <c r="O28" s="23">
        <f>(35000/$D$25)*25*$C$25</f>
        <v>21.875</v>
      </c>
      <c r="P28" s="23">
        <f>(35000/$D$26)*25*$C$26</f>
        <v>21.875</v>
      </c>
    </row>
    <row r="29" ht="15.75" customHeight="1">
      <c r="A29" s="26" t="s">
        <v>29</v>
      </c>
      <c r="B29" s="18"/>
      <c r="C29" s="22"/>
      <c r="D29" s="22"/>
      <c r="E29" s="23"/>
      <c r="F29" s="23"/>
      <c r="G29" s="23"/>
      <c r="H29" s="23"/>
      <c r="I29" s="60" t="str">
        <f t="shared" ref="I29:P29" si="13">I27-I28</f>
        <v>#DIV/0!</v>
      </c>
      <c r="J29" s="250" t="str">
        <f t="shared" si="13"/>
        <v>#DIV/0!</v>
      </c>
      <c r="K29" s="251" t="str">
        <f t="shared" si="13"/>
        <v>#DIV/0!</v>
      </c>
      <c r="L29" s="251">
        <f t="shared" si="13"/>
        <v>-3.51875</v>
      </c>
      <c r="M29" s="251">
        <f t="shared" si="13"/>
        <v>-1.0875</v>
      </c>
      <c r="N29" s="251">
        <f t="shared" si="13"/>
        <v>-2.565</v>
      </c>
      <c r="O29" s="251">
        <f t="shared" si="13"/>
        <v>0.735</v>
      </c>
      <c r="P29" s="251">
        <f t="shared" si="13"/>
        <v>1.035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9:P29">
    <cfRule type="cellIs" dxfId="0" priority="1" operator="greaterThan">
      <formula>0</formula>
    </cfRule>
  </conditionalFormatting>
  <conditionalFormatting sqref="E29:P29">
    <cfRule type="cellIs" dxfId="1" priority="2" operator="between">
      <formula>-3</formula>
      <formula>0</formula>
    </cfRule>
  </conditionalFormatting>
  <conditionalFormatting sqref="E29:P29">
    <cfRule type="cellIs" dxfId="3" priority="3" operator="lessThan">
      <formula>-3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5.25"/>
    <col customWidth="1" min="3" max="3" width="11.63"/>
    <col customWidth="1" min="4" max="4" width="10.5"/>
    <col customWidth="1" min="5" max="8" width="7.0"/>
    <col customWidth="1" min="9" max="10" width="8.38"/>
    <col customWidth="1" min="11" max="11" width="8.25"/>
    <col customWidth="1" min="12" max="12" width="8.38"/>
    <col customWidth="1" min="13" max="16" width="9.38"/>
  </cols>
  <sheetData>
    <row r="1" ht="15.75" customHeight="1">
      <c r="A1" s="17" t="s">
        <v>0</v>
      </c>
      <c r="B1" s="17" t="s">
        <v>1</v>
      </c>
      <c r="C1" s="17"/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</row>
    <row r="2" ht="15.75" customHeight="1">
      <c r="A2" s="17" t="s">
        <v>2</v>
      </c>
      <c r="B2" s="18"/>
      <c r="C2" s="18"/>
      <c r="D2" s="18"/>
      <c r="E2" s="19">
        <v>0.13</v>
      </c>
      <c r="F2" s="19">
        <v>0.43</v>
      </c>
      <c r="G2" s="19">
        <v>0.36</v>
      </c>
      <c r="H2" s="19">
        <v>0.08</v>
      </c>
      <c r="I2" s="18"/>
      <c r="J2" s="18"/>
      <c r="K2" s="18"/>
      <c r="L2" s="18"/>
      <c r="M2" s="18"/>
      <c r="N2" s="18"/>
      <c r="O2" s="18"/>
      <c r="P2" s="18"/>
    </row>
    <row r="3" ht="15.75" customHeight="1">
      <c r="A3" s="17" t="s">
        <v>3</v>
      </c>
      <c r="B3" s="18"/>
      <c r="C3" s="18"/>
      <c r="D3" s="18"/>
      <c r="E3" s="18"/>
      <c r="F3" s="19">
        <v>0.13</v>
      </c>
      <c r="G3" s="19">
        <v>0.43</v>
      </c>
      <c r="H3" s="19">
        <v>0.36</v>
      </c>
      <c r="I3" s="19">
        <v>0.08</v>
      </c>
      <c r="J3" s="18"/>
      <c r="K3" s="18"/>
      <c r="L3" s="18"/>
      <c r="M3" s="18"/>
      <c r="N3" s="18"/>
      <c r="O3" s="18"/>
      <c r="P3" s="18"/>
    </row>
    <row r="4" ht="15.75" customHeight="1">
      <c r="A4" s="17" t="s">
        <v>4</v>
      </c>
      <c r="B4" s="18"/>
      <c r="C4" s="18"/>
      <c r="D4" s="18"/>
      <c r="E4" s="18"/>
      <c r="F4" s="18"/>
      <c r="G4" s="19">
        <v>0.13</v>
      </c>
      <c r="H4" s="19">
        <v>0.43</v>
      </c>
      <c r="I4" s="19">
        <v>0.36</v>
      </c>
      <c r="J4" s="19">
        <v>0.08</v>
      </c>
      <c r="K4" s="18"/>
      <c r="L4" s="18"/>
      <c r="M4" s="18"/>
      <c r="N4" s="18"/>
      <c r="O4" s="18"/>
      <c r="P4" s="18"/>
    </row>
    <row r="5" ht="15.75" customHeight="1">
      <c r="A5" s="17" t="s">
        <v>5</v>
      </c>
      <c r="B5" s="18"/>
      <c r="C5" s="18"/>
      <c r="D5" s="18"/>
      <c r="E5" s="18"/>
      <c r="F5" s="18"/>
      <c r="G5" s="18"/>
      <c r="H5" s="19">
        <v>0.13</v>
      </c>
      <c r="I5" s="19">
        <v>0.43</v>
      </c>
      <c r="J5" s="19">
        <v>0.36</v>
      </c>
      <c r="K5" s="19">
        <v>0.08</v>
      </c>
      <c r="L5" s="18"/>
      <c r="M5" s="18"/>
      <c r="N5" s="18"/>
      <c r="O5" s="18"/>
      <c r="P5" s="18"/>
    </row>
    <row r="6" ht="15.75" customHeight="1">
      <c r="A6" s="17" t="s">
        <v>6</v>
      </c>
      <c r="B6" s="18"/>
      <c r="C6" s="18"/>
      <c r="D6" s="18"/>
      <c r="E6" s="18"/>
      <c r="F6" s="18"/>
      <c r="G6" s="18"/>
      <c r="H6" s="18"/>
      <c r="I6" s="19">
        <v>0.13</v>
      </c>
      <c r="J6" s="19">
        <v>0.43</v>
      </c>
      <c r="K6" s="19">
        <v>0.36</v>
      </c>
      <c r="L6" s="19">
        <v>0.08</v>
      </c>
      <c r="M6" s="18"/>
      <c r="N6" s="18"/>
      <c r="O6" s="18"/>
      <c r="P6" s="18"/>
    </row>
    <row r="7" ht="15.75" customHeight="1">
      <c r="A7" s="17" t="s">
        <v>7</v>
      </c>
      <c r="B7" s="18"/>
      <c r="C7" s="18"/>
      <c r="D7" s="18"/>
      <c r="E7" s="18"/>
      <c r="F7" s="18"/>
      <c r="G7" s="18"/>
      <c r="H7" s="18"/>
      <c r="I7" s="18"/>
      <c r="J7" s="19">
        <v>0.13</v>
      </c>
      <c r="K7" s="19">
        <v>0.43</v>
      </c>
      <c r="L7" s="19">
        <v>0.36</v>
      </c>
      <c r="M7" s="19">
        <v>0.08</v>
      </c>
      <c r="N7" s="18"/>
      <c r="O7" s="18"/>
      <c r="P7" s="18"/>
    </row>
    <row r="8" ht="15.75" customHeight="1">
      <c r="A8" s="17" t="s">
        <v>8</v>
      </c>
      <c r="B8" s="18"/>
      <c r="C8" s="18"/>
      <c r="D8" s="18"/>
      <c r="E8" s="18"/>
      <c r="F8" s="18"/>
      <c r="G8" s="18"/>
      <c r="H8" s="18"/>
      <c r="I8" s="18"/>
      <c r="J8" s="18"/>
      <c r="K8" s="19">
        <v>0.13</v>
      </c>
      <c r="L8" s="19">
        <v>0.43</v>
      </c>
      <c r="M8" s="19">
        <v>0.36</v>
      </c>
      <c r="N8" s="19">
        <v>0.08</v>
      </c>
      <c r="O8" s="18"/>
      <c r="P8" s="18"/>
    </row>
    <row r="9" ht="15.75" customHeight="1">
      <c r="A9" s="17" t="s">
        <v>9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9">
        <v>0.13</v>
      </c>
      <c r="M9" s="19">
        <v>0.43</v>
      </c>
      <c r="N9" s="19">
        <v>0.36</v>
      </c>
      <c r="O9" s="19">
        <v>0.08</v>
      </c>
      <c r="P9" s="18"/>
    </row>
    <row r="10" ht="15.75" customHeight="1">
      <c r="A10" s="17" t="s">
        <v>10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9">
        <v>0.17</v>
      </c>
      <c r="N10" s="19">
        <v>0.5</v>
      </c>
      <c r="O10" s="19">
        <v>0.3</v>
      </c>
      <c r="P10" s="19">
        <v>0.03</v>
      </c>
    </row>
    <row r="11" ht="15.75" customHeight="1">
      <c r="A11" s="17" t="s">
        <v>11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9">
        <v>0.17</v>
      </c>
      <c r="O11" s="19">
        <v>0.5</v>
      </c>
      <c r="P11" s="19">
        <v>0.3</v>
      </c>
    </row>
    <row r="12" ht="15.75" customHeight="1">
      <c r="A12" s="17" t="s">
        <v>12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9">
        <v>0.17</v>
      </c>
      <c r="P12" s="19">
        <v>0.5</v>
      </c>
    </row>
    <row r="13" ht="15.75" customHeight="1">
      <c r="A13" s="17" t="s">
        <v>13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>
        <v>0.17</v>
      </c>
    </row>
    <row r="14" ht="15.75" customHeight="1">
      <c r="A14" s="20"/>
      <c r="B14" s="21" t="s">
        <v>14</v>
      </c>
      <c r="C14" s="21" t="s">
        <v>197</v>
      </c>
      <c r="D14" s="21" t="s">
        <v>198</v>
      </c>
      <c r="E14" s="21" t="s">
        <v>2</v>
      </c>
      <c r="F14" s="21" t="s">
        <v>3</v>
      </c>
      <c r="G14" s="21" t="s">
        <v>4</v>
      </c>
      <c r="H14" s="21" t="s">
        <v>5</v>
      </c>
      <c r="I14" s="21" t="s">
        <v>6</v>
      </c>
      <c r="J14" s="21" t="s">
        <v>7</v>
      </c>
      <c r="K14" s="21" t="s">
        <v>8</v>
      </c>
      <c r="L14" s="21" t="s">
        <v>9</v>
      </c>
      <c r="M14" s="21" t="s">
        <v>10</v>
      </c>
      <c r="N14" s="21" t="s">
        <v>11</v>
      </c>
      <c r="O14" s="21" t="s">
        <v>12</v>
      </c>
      <c r="P14" s="21" t="s">
        <v>13</v>
      </c>
    </row>
    <row r="15" ht="15.75" customHeight="1">
      <c r="A15" s="21" t="s">
        <v>2</v>
      </c>
      <c r="B15" s="19"/>
      <c r="C15" s="37"/>
      <c r="D15" s="22"/>
      <c r="E15" s="23">
        <f t="shared" ref="E15:H15" si="1">$B15*E2</f>
        <v>0</v>
      </c>
      <c r="F15" s="23">
        <f t="shared" si="1"/>
        <v>0</v>
      </c>
      <c r="G15" s="23">
        <f t="shared" si="1"/>
        <v>0</v>
      </c>
      <c r="H15" s="23">
        <f t="shared" si="1"/>
        <v>0</v>
      </c>
      <c r="I15" s="22"/>
      <c r="J15" s="22"/>
      <c r="K15" s="22"/>
      <c r="L15" s="22"/>
      <c r="M15" s="22"/>
      <c r="N15" s="22"/>
      <c r="O15" s="22"/>
      <c r="P15" s="22"/>
    </row>
    <row r="16" ht="15.75" customHeight="1">
      <c r="A16" s="21" t="s">
        <v>3</v>
      </c>
      <c r="B16" s="19"/>
      <c r="C16" s="37"/>
      <c r="D16" s="22"/>
      <c r="E16" s="22"/>
      <c r="F16" s="23">
        <f t="shared" ref="F16:I16" si="2">$B16*F3</f>
        <v>0</v>
      </c>
      <c r="G16" s="23">
        <f t="shared" si="2"/>
        <v>0</v>
      </c>
      <c r="H16" s="23">
        <f t="shared" si="2"/>
        <v>0</v>
      </c>
      <c r="I16" s="23">
        <f t="shared" si="2"/>
        <v>0</v>
      </c>
      <c r="J16" s="22"/>
      <c r="K16" s="22"/>
      <c r="L16" s="22"/>
      <c r="M16" s="22"/>
      <c r="N16" s="22"/>
      <c r="O16" s="22"/>
      <c r="P16" s="22"/>
    </row>
    <row r="17" ht="15.75" customHeight="1">
      <c r="A17" s="21" t="s">
        <v>4</v>
      </c>
      <c r="B17" s="19"/>
      <c r="C17" s="37"/>
      <c r="D17" s="22"/>
      <c r="E17" s="22"/>
      <c r="F17" s="22"/>
      <c r="G17" s="23">
        <f t="shared" ref="G17:J17" si="3">$B17*G4</f>
        <v>0</v>
      </c>
      <c r="H17" s="23">
        <f t="shared" si="3"/>
        <v>0</v>
      </c>
      <c r="I17" s="23">
        <f t="shared" si="3"/>
        <v>0</v>
      </c>
      <c r="J17" s="23">
        <f t="shared" si="3"/>
        <v>0</v>
      </c>
      <c r="K17" s="22"/>
      <c r="L17" s="22"/>
      <c r="M17" s="22"/>
      <c r="N17" s="22"/>
      <c r="O17" s="22"/>
      <c r="P17" s="22"/>
    </row>
    <row r="18" ht="15.75" customHeight="1">
      <c r="A18" s="21" t="s">
        <v>5</v>
      </c>
      <c r="B18" s="19"/>
      <c r="C18" s="37"/>
      <c r="D18" s="22"/>
      <c r="E18" s="22"/>
      <c r="F18" s="22"/>
      <c r="G18" s="22"/>
      <c r="H18" s="23">
        <f t="shared" ref="H18:K18" si="4">$B18*H5</f>
        <v>0</v>
      </c>
      <c r="I18" s="23">
        <f t="shared" si="4"/>
        <v>0</v>
      </c>
      <c r="J18" s="23">
        <f t="shared" si="4"/>
        <v>0</v>
      </c>
      <c r="K18" s="23">
        <f t="shared" si="4"/>
        <v>0</v>
      </c>
      <c r="L18" s="22"/>
      <c r="M18" s="22"/>
      <c r="N18" s="22"/>
      <c r="O18" s="22"/>
      <c r="P18" s="22"/>
    </row>
    <row r="19" ht="15.75" customHeight="1">
      <c r="A19" s="21" t="s">
        <v>6</v>
      </c>
      <c r="B19" s="19"/>
      <c r="C19" s="37"/>
      <c r="D19" s="22"/>
      <c r="E19" s="22"/>
      <c r="F19" s="22"/>
      <c r="G19" s="22"/>
      <c r="H19" s="22"/>
      <c r="I19" s="23">
        <f t="shared" ref="I19:L19" si="5">$B19*I6</f>
        <v>0</v>
      </c>
      <c r="J19" s="23">
        <f t="shared" si="5"/>
        <v>0</v>
      </c>
      <c r="K19" s="23">
        <f t="shared" si="5"/>
        <v>0</v>
      </c>
      <c r="L19" s="23">
        <f t="shared" si="5"/>
        <v>0</v>
      </c>
      <c r="M19" s="22"/>
      <c r="N19" s="22"/>
      <c r="O19" s="22"/>
      <c r="P19" s="22"/>
    </row>
    <row r="20" ht="15.75" customHeight="1">
      <c r="A20" s="21" t="s">
        <v>7</v>
      </c>
      <c r="B20" s="24"/>
      <c r="C20" s="37"/>
      <c r="D20" s="22"/>
      <c r="E20" s="22"/>
      <c r="F20" s="22"/>
      <c r="G20" s="22"/>
      <c r="H20" s="22"/>
      <c r="I20" s="22"/>
      <c r="J20" s="23">
        <f t="shared" ref="J20:M20" si="6">$B20*J7</f>
        <v>0</v>
      </c>
      <c r="K20" s="23">
        <f t="shared" si="6"/>
        <v>0</v>
      </c>
      <c r="L20" s="23">
        <f t="shared" si="6"/>
        <v>0</v>
      </c>
      <c r="M20" s="23">
        <f t="shared" si="6"/>
        <v>0</v>
      </c>
      <c r="N20" s="22"/>
      <c r="O20" s="22"/>
      <c r="P20" s="22"/>
    </row>
    <row r="21" ht="15.75" customHeight="1">
      <c r="A21" s="21" t="s">
        <v>8</v>
      </c>
      <c r="B21" s="23"/>
      <c r="C21" s="37"/>
      <c r="D21" s="22"/>
      <c r="E21" s="22"/>
      <c r="F21" s="22"/>
      <c r="G21" s="22"/>
      <c r="H21" s="22"/>
      <c r="I21" s="22"/>
      <c r="J21" s="22"/>
      <c r="K21" s="23">
        <f t="shared" ref="K21:N21" si="7">$B21*K8</f>
        <v>0</v>
      </c>
      <c r="L21" s="23">
        <f t="shared" si="7"/>
        <v>0</v>
      </c>
      <c r="M21" s="23">
        <f t="shared" si="7"/>
        <v>0</v>
      </c>
      <c r="N21" s="23">
        <f t="shared" si="7"/>
        <v>0</v>
      </c>
      <c r="O21" s="22"/>
      <c r="P21" s="22"/>
    </row>
    <row r="22" ht="15.75" customHeight="1">
      <c r="A22" s="21" t="s">
        <v>9</v>
      </c>
      <c r="B22" s="23">
        <v>15.0</v>
      </c>
      <c r="C22" s="30">
        <v>0.25</v>
      </c>
      <c r="D22" s="23">
        <v>45000.0</v>
      </c>
      <c r="E22" s="22"/>
      <c r="F22" s="22"/>
      <c r="G22" s="22"/>
      <c r="H22" s="22"/>
      <c r="I22" s="22"/>
      <c r="J22" s="22"/>
      <c r="K22" s="22"/>
      <c r="L22" s="23">
        <f t="shared" ref="L22:O22" si="8">$B22*L9</f>
        <v>1.95</v>
      </c>
      <c r="M22" s="23">
        <f t="shared" si="8"/>
        <v>6.45</v>
      </c>
      <c r="N22" s="23">
        <f t="shared" si="8"/>
        <v>5.4</v>
      </c>
      <c r="O22" s="23">
        <f t="shared" si="8"/>
        <v>1.2</v>
      </c>
      <c r="P22" s="22"/>
    </row>
    <row r="23" ht="15.75" customHeight="1">
      <c r="A23" s="21" t="s">
        <v>10</v>
      </c>
      <c r="B23" s="23">
        <v>20.0</v>
      </c>
      <c r="C23" s="30">
        <v>0.5</v>
      </c>
      <c r="D23" s="23">
        <v>45000.0</v>
      </c>
      <c r="E23" s="22"/>
      <c r="F23" s="22"/>
      <c r="G23" s="22"/>
      <c r="H23" s="22"/>
      <c r="I23" s="22"/>
      <c r="J23" s="22"/>
      <c r="K23" s="22"/>
      <c r="L23" s="22"/>
      <c r="M23" s="23">
        <f t="shared" ref="M23:P23" si="9">$B23*M10</f>
        <v>3.4</v>
      </c>
      <c r="N23" s="23">
        <f t="shared" si="9"/>
        <v>10</v>
      </c>
      <c r="O23" s="23">
        <f t="shared" si="9"/>
        <v>6</v>
      </c>
      <c r="P23" s="23">
        <f t="shared" si="9"/>
        <v>0.6</v>
      </c>
    </row>
    <row r="24" ht="15.75" customHeight="1">
      <c r="A24" s="21" t="s">
        <v>11</v>
      </c>
      <c r="B24" s="23">
        <v>23.0</v>
      </c>
      <c r="C24" s="30">
        <v>1.0</v>
      </c>
      <c r="D24" s="23">
        <v>45000.0</v>
      </c>
      <c r="E24" s="22"/>
      <c r="F24" s="22"/>
      <c r="G24" s="22"/>
      <c r="H24" s="22"/>
      <c r="I24" s="22"/>
      <c r="J24" s="22"/>
      <c r="K24" s="22"/>
      <c r="L24" s="22"/>
      <c r="M24" s="22"/>
      <c r="N24" s="23">
        <f t="shared" ref="N24:P24" si="10">$B24*N11</f>
        <v>3.91</v>
      </c>
      <c r="O24" s="23">
        <f t="shared" si="10"/>
        <v>11.5</v>
      </c>
      <c r="P24" s="23">
        <f t="shared" si="10"/>
        <v>6.9</v>
      </c>
    </row>
    <row r="25" ht="15.75" customHeight="1">
      <c r="A25" s="21" t="s">
        <v>12</v>
      </c>
      <c r="B25" s="23">
        <v>23.0</v>
      </c>
      <c r="C25" s="30">
        <v>1.0</v>
      </c>
      <c r="D25" s="23">
        <v>45000.0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>
        <f t="shared" ref="O25:P25" si="11">$B25*O12</f>
        <v>3.91</v>
      </c>
      <c r="P25" s="23">
        <f t="shared" si="11"/>
        <v>11.5</v>
      </c>
    </row>
    <row r="26" ht="15.75" customHeight="1">
      <c r="A26" s="21" t="s">
        <v>13</v>
      </c>
      <c r="B26" s="23">
        <v>23.0</v>
      </c>
      <c r="C26" s="30">
        <v>1.0</v>
      </c>
      <c r="D26" s="23">
        <v>45000.0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>
        <f>$B26*P13</f>
        <v>3.91</v>
      </c>
    </row>
    <row r="27" ht="15.75" customHeight="1">
      <c r="A27" s="26" t="s">
        <v>15</v>
      </c>
      <c r="B27" s="18"/>
      <c r="C27" s="27"/>
      <c r="D27" s="27"/>
      <c r="E27" s="28">
        <f t="shared" ref="E27:P27" si="12">sum(E15:E26)</f>
        <v>0</v>
      </c>
      <c r="F27" s="28">
        <f t="shared" si="12"/>
        <v>0</v>
      </c>
      <c r="G27" s="28">
        <f t="shared" si="12"/>
        <v>0</v>
      </c>
      <c r="H27" s="28">
        <f t="shared" si="12"/>
        <v>0</v>
      </c>
      <c r="I27" s="248">
        <f t="shared" si="12"/>
        <v>0</v>
      </c>
      <c r="J27" s="249">
        <f t="shared" si="12"/>
        <v>0</v>
      </c>
      <c r="K27" s="249">
        <f t="shared" si="12"/>
        <v>0</v>
      </c>
      <c r="L27" s="249">
        <f t="shared" si="12"/>
        <v>1.95</v>
      </c>
      <c r="M27" s="249">
        <f t="shared" si="12"/>
        <v>9.85</v>
      </c>
      <c r="N27" s="249">
        <f t="shared" si="12"/>
        <v>19.31</v>
      </c>
      <c r="O27" s="249">
        <f t="shared" si="12"/>
        <v>22.61</v>
      </c>
      <c r="P27" s="249">
        <f t="shared" si="12"/>
        <v>22.91</v>
      </c>
    </row>
    <row r="28" ht="15.75" customHeight="1">
      <c r="A28" s="26" t="s">
        <v>199</v>
      </c>
      <c r="B28" s="18"/>
      <c r="C28" s="22"/>
      <c r="D28" s="22"/>
      <c r="E28" s="23"/>
      <c r="F28" s="23"/>
      <c r="G28" s="23"/>
      <c r="H28" s="23"/>
      <c r="I28" s="23" t="str">
        <f>(35000/$D$19)*25*$C$19</f>
        <v>#DIV/0!</v>
      </c>
      <c r="J28" s="23" t="str">
        <f>(35000/$D$20)*25*$C$20</f>
        <v>#DIV/0!</v>
      </c>
      <c r="K28" s="23" t="str">
        <f>(35000/$D$21)*25*$C$21</f>
        <v>#DIV/0!</v>
      </c>
      <c r="L28" s="23">
        <f>(35000/$D$22)*25*$C$22</f>
        <v>4.861111111</v>
      </c>
      <c r="M28" s="23">
        <f>(35000/$D$23)*25*$C$23</f>
        <v>9.722222222</v>
      </c>
      <c r="N28" s="23">
        <f>(35000/$D$24)*25*$C$24</f>
        <v>19.44444444</v>
      </c>
      <c r="O28" s="23">
        <f>(35000/$D$25)*25*$C$25</f>
        <v>19.44444444</v>
      </c>
      <c r="P28" s="23">
        <f>(35000/$D$26)*25*$C$26</f>
        <v>19.44444444</v>
      </c>
    </row>
    <row r="29" ht="15.75" customHeight="1">
      <c r="A29" s="26" t="s">
        <v>29</v>
      </c>
      <c r="B29" s="18"/>
      <c r="C29" s="22"/>
      <c r="D29" s="22"/>
      <c r="E29" s="23"/>
      <c r="F29" s="23"/>
      <c r="G29" s="23"/>
      <c r="H29" s="23"/>
      <c r="I29" s="60" t="str">
        <f t="shared" ref="I29:P29" si="13">I27-I28</f>
        <v>#DIV/0!</v>
      </c>
      <c r="J29" s="250" t="str">
        <f t="shared" si="13"/>
        <v>#DIV/0!</v>
      </c>
      <c r="K29" s="251" t="str">
        <f t="shared" si="13"/>
        <v>#DIV/0!</v>
      </c>
      <c r="L29" s="251">
        <f t="shared" si="13"/>
        <v>-2.911111111</v>
      </c>
      <c r="M29" s="251">
        <f t="shared" si="13"/>
        <v>0.1277777778</v>
      </c>
      <c r="N29" s="251">
        <f t="shared" si="13"/>
        <v>-0.1344444444</v>
      </c>
      <c r="O29" s="251">
        <f t="shared" si="13"/>
        <v>3.165555556</v>
      </c>
      <c r="P29" s="251">
        <f t="shared" si="13"/>
        <v>3.465555556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9:P29">
    <cfRule type="cellIs" dxfId="0" priority="1" operator="greaterThan">
      <formula>0</formula>
    </cfRule>
  </conditionalFormatting>
  <conditionalFormatting sqref="E29:P29">
    <cfRule type="cellIs" dxfId="1" priority="2" operator="between">
      <formula>-3</formula>
      <formula>0</formula>
    </cfRule>
  </conditionalFormatting>
  <conditionalFormatting sqref="E29:P29">
    <cfRule type="cellIs" dxfId="3" priority="3" operator="lessThan">
      <formula>-3</formula>
    </cfRule>
  </conditionalFormatting>
  <drawing r:id="rId1"/>
</worksheet>
</file>